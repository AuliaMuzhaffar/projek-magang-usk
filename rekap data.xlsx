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kapitulasi Data" sheetId="1" r:id="rId5"/>
    <sheet state="visible" name="UKT_S1_2022 (Maba)" sheetId="2" r:id="rId6"/>
    <sheet state="visible" name="UKT_S1_2022 (Mandiri)" sheetId="3" r:id="rId7"/>
    <sheet state="visible" name="UKT_D3_2022 (Reguler)" sheetId="4" r:id="rId8"/>
    <sheet state="visible" name="UKT_D3_2022 (Mandiri)" sheetId="5" r:id="rId9"/>
    <sheet state="visible" name="UKT_S1_2022 (Maba) (1)" sheetId="6" r:id="rId10"/>
    <sheet state="visible" name="UKT_S1_2022 (Mandiri) (1)" sheetId="7" r:id="rId11"/>
    <sheet state="visible" name="UKT_D3_2022 (Reguler) (1)" sheetId="8" r:id="rId12"/>
    <sheet state="visible" name="UKT_D3_2022 (Mandiri) (1)" sheetId="9" r:id="rId13"/>
    <sheet state="visible" name="UKT_S1_2023 (SNBP_SNBT)" sheetId="10" r:id="rId14"/>
    <sheet state="visible" name="UKT_S1_2023 (Mandiri)" sheetId="11" r:id="rId15"/>
    <sheet state="visible" name="UKT_D3_2023 (Reguler)" sheetId="12" r:id="rId16"/>
    <sheet state="visible" name="UKT_D3_2023 (Mandiri)" sheetId="13" r:id="rId17"/>
    <sheet state="visible" name="UKT_S1_2024 (SNBP_SNBT_Mandiri)" sheetId="14" r:id="rId18"/>
    <sheet state="visible" name="UKT_Diploma_2024" sheetId="15" r:id="rId19"/>
    <sheet state="visible" name="Tarif_IPI_2024 (Lampiran IV)" sheetId="16" r:id="rId20"/>
    <sheet state="visible" name="UKT_S1_2025_April" sheetId="17" r:id="rId21"/>
    <sheet state="visible" name="UKT_Diploma_2025_April" sheetId="18" r:id="rId22"/>
    <sheet state="visible" name="Tarif_IPI_2025_April" sheetId="19" r:id="rId23"/>
    <sheet state="visible" name="UKT_S1_2026" sheetId="20" r:id="rId24"/>
    <sheet state="visible" name="UKT_Diploma_2026" sheetId="21" r:id="rId25"/>
    <sheet state="visible" name="Tarif_IPI_2026" sheetId="22" r:id="rId26"/>
  </sheets>
  <definedNames/>
  <calcPr/>
</workbook>
</file>

<file path=xl/sharedStrings.xml><?xml version="1.0" encoding="utf-8"?>
<sst xmlns="http://schemas.openxmlformats.org/spreadsheetml/2006/main" count="4120" uniqueCount="507">
  <si>
    <t>No</t>
  </si>
  <si>
    <t>Fakultas</t>
  </si>
  <si>
    <t>Program Studi</t>
  </si>
  <si>
    <t>Jenjang</t>
  </si>
  <si>
    <t>BKT per Semester (Rp)</t>
  </si>
  <si>
    <t>UKT Kelompok IV (Rp)</t>
  </si>
  <si>
    <t>UKT Kelompok V (Rp)</t>
  </si>
  <si>
    <t>UKT Kelompok VI (Rp)</t>
  </si>
  <si>
    <t>Sumbangan Pengembangan Institusi / SPI (Rp)</t>
  </si>
  <si>
    <t>Fakultas Ekonomi dan Bisnis</t>
  </si>
  <si>
    <t>Jalur</t>
  </si>
  <si>
    <t>Angkatan</t>
  </si>
  <si>
    <t>Biaya Pendidikan per Semester (Rp)</t>
  </si>
  <si>
    <t>Biaya Pendidikan per Tahun (Rp)</t>
  </si>
  <si>
    <t>Akuntansi</t>
  </si>
  <si>
    <t>S1</t>
  </si>
  <si>
    <t>UKT Kelompok I (Rp)</t>
  </si>
  <si>
    <t>UKT Kelompok II (Rp)</t>
  </si>
  <si>
    <t>UKT Kelompok III (Rp)</t>
  </si>
  <si>
    <t>2.990.000 s/d 5.040.000</t>
  </si>
  <si>
    <t>5.050.000 s/d 7.000.000</t>
  </si>
  <si>
    <t>7.010.000 s/d 8.230.000</t>
  </si>
  <si>
    <t>D3</t>
  </si>
  <si>
    <t>Ekonomi Islam</t>
  </si>
  <si>
    <t>Reguler</t>
  </si>
  <si>
    <t>2022</t>
  </si>
  <si>
    <t>500.000 s/d 1.000.000</t>
  </si>
  <si>
    <t>1.010.000 s/d 1.370.000</t>
  </si>
  <si>
    <t>2.670.000 s/d 4.500.000</t>
  </si>
  <si>
    <t>1.380.000 s/d 2.980.000</t>
  </si>
  <si>
    <t>4.510.000 s/d 6.250.000</t>
  </si>
  <si>
    <t>6.260.000 s/d 7.340.000</t>
  </si>
  <si>
    <t>Manajemen Pemasaran</t>
  </si>
  <si>
    <t>Ekonomi Pembangunan</t>
  </si>
  <si>
    <t>2.780.000 s/d 4.680.000</t>
  </si>
  <si>
    <t>4.590.000 s/d 6.500.000</t>
  </si>
  <si>
    <t>6.510.000 s/d 7.640.000</t>
  </si>
  <si>
    <t>Manajemen</t>
  </si>
  <si>
    <t>4.690.000 s/d 6.500.000</t>
  </si>
  <si>
    <t>Perpajakan</t>
  </si>
  <si>
    <t>Manajemen (Kampus Gayo Lues)</t>
  </si>
  <si>
    <t>3.010.000 s/d 5.100.000</t>
  </si>
  <si>
    <t>1.010.000 s/d 1.300.000</t>
  </si>
  <si>
    <t>5.110.000 s/d 7.050.000</t>
  </si>
  <si>
    <t>7.060.000 s/d 8.940.000</t>
  </si>
  <si>
    <t>1.310.000 s/d 2.660.000</t>
  </si>
  <si>
    <t>Fakultas Kedokteran Hewan</t>
  </si>
  <si>
    <t>Pendidikan Dokter Hewan</t>
  </si>
  <si>
    <t>9.560.000 s/d 16.140.000</t>
  </si>
  <si>
    <t>16.150.000 s/d 22.400.000</t>
  </si>
  <si>
    <t>22.410.000 s/d 26.350.000</t>
  </si>
  <si>
    <t>Manajemen Perusahaan</t>
  </si>
  <si>
    <t>Fakultas Hukum</t>
  </si>
  <si>
    <t>Ilmu Hukum</t>
  </si>
  <si>
    <t>1.010.000 s/d 1.320.000</t>
  </si>
  <si>
    <t>2.780.000 s/d 4.630.000</t>
  </si>
  <si>
    <t>1.330.000 s/d 2.770.000</t>
  </si>
  <si>
    <t>Fakultas Teknik</t>
  </si>
  <si>
    <t>Arsitektur</t>
  </si>
  <si>
    <t>Keuangan dan Perbankan</t>
  </si>
  <si>
    <t>4.450.000 s/d 7.500.000</t>
  </si>
  <si>
    <t>7.510.000 s/d 10.400.000</t>
  </si>
  <si>
    <t>10.410.000 s/d 12.230.000</t>
  </si>
  <si>
    <t>Perencanaan Wilayah dan Kota</t>
  </si>
  <si>
    <t>Sekretari</t>
  </si>
  <si>
    <t>280.000 s/d 7.210.000</t>
  </si>
  <si>
    <t>7.220.000 s/d 10.000.000</t>
  </si>
  <si>
    <t>10.010.000 s/d 11.760.000</t>
  </si>
  <si>
    <t>Teknik Elektro</t>
  </si>
  <si>
    <t>4.960.000 s/d 8.360.000</t>
  </si>
  <si>
    <t>8.370.000 s/d 11.600.000</t>
  </si>
  <si>
    <t>11.610.000 s/d 13.650.000</t>
  </si>
  <si>
    <t>Teknik Geofisika</t>
  </si>
  <si>
    <t>Fakultas MIPA</t>
  </si>
  <si>
    <t>Manajemen Informatika</t>
  </si>
  <si>
    <t>1.010.000 s/d 2.730.000</t>
  </si>
  <si>
    <t>2.740.000 s/d 9.550.000</t>
  </si>
  <si>
    <t>Teknik Geologi</t>
  </si>
  <si>
    <t>4.620.000 s/d 780.000</t>
  </si>
  <si>
    <t>7.790.000 s/d 10.800.000</t>
  </si>
  <si>
    <t>10.810.000 s/d 12.700.000</t>
  </si>
  <si>
    <t>Teknik Elektronika</t>
  </si>
  <si>
    <t>Teknik Industri</t>
  </si>
  <si>
    <t>Kode Prodi</t>
  </si>
  <si>
    <t>4.280.000 s/d 7.210.000</t>
  </si>
  <si>
    <t>Teknik Kimia</t>
  </si>
  <si>
    <t>5.570.000 s/d 9.400.000</t>
  </si>
  <si>
    <t>9.410.000 s/d 13.040.000</t>
  </si>
  <si>
    <t>Teknik Mesin</t>
  </si>
  <si>
    <t>13.050.000 s/d 15.340.000</t>
  </si>
  <si>
    <t>Teknik Komputer</t>
  </si>
  <si>
    <t>1.010.000 s/d 1.670.000</t>
  </si>
  <si>
    <t>1.680.000 s/d 4.440.000</t>
  </si>
  <si>
    <t>Teknik Sipil</t>
  </si>
  <si>
    <t>11.510.000 s/d 13.650.000</t>
  </si>
  <si>
    <t>Teknik Pertambangan</t>
  </si>
  <si>
    <t>1.010.000 s/d 1.630.000</t>
  </si>
  <si>
    <t>1.640.000 s/d 4.270.000</t>
  </si>
  <si>
    <t>Nama Prodi</t>
  </si>
  <si>
    <t>4.280.000 s/d 1.210.000</t>
  </si>
  <si>
    <t>Fakultas Pertanian</t>
  </si>
  <si>
    <t>Teknik Listrik</t>
  </si>
  <si>
    <t>Agribisnis</t>
  </si>
  <si>
    <t>3.950.000 s/d 6.650.000</t>
  </si>
  <si>
    <t>6.660.000 s/d 9.230.000</t>
  </si>
  <si>
    <t>9.240.000 s/d 10.850.000</t>
  </si>
  <si>
    <t>Agroteknologi</t>
  </si>
  <si>
    <t>4.170.000 s/d 7.020.000</t>
  </si>
  <si>
    <t>Manajemen Agribisnis</t>
  </si>
  <si>
    <t>7.030.000 s/d 9.740.000</t>
  </si>
  <si>
    <t>1.010.000 s/d 1.770.000</t>
  </si>
  <si>
    <t>750.000 s/d 11.460.000</t>
  </si>
  <si>
    <t>1.780.000 s/d 4.950.000</t>
  </si>
  <si>
    <t>Agroteknologi (Kampus Gayo Lues)</t>
  </si>
  <si>
    <t>Budidaya Peternakan</t>
  </si>
  <si>
    <t>Ilmu Tanah</t>
  </si>
  <si>
    <t>4.020.000 s/d 6.770.000</t>
  </si>
  <si>
    <t>6.780.000 s/d 9.400.000</t>
  </si>
  <si>
    <t>9.420.000 s/d 11.050.000</t>
  </si>
  <si>
    <t>Kehutanan</t>
  </si>
  <si>
    <t>4.170.000 s/d 020.000</t>
  </si>
  <si>
    <t>9.750.000 s/d 11.460.000</t>
  </si>
  <si>
    <t>Kehutanan (Kampus Gayo Lues)</t>
  </si>
  <si>
    <t>Kesehatan Hewan</t>
  </si>
  <si>
    <t>Total Peminat</t>
  </si>
  <si>
    <t>Proteksi Tanaman</t>
  </si>
  <si>
    <t>5.380.000 s/d 9.070.000</t>
  </si>
  <si>
    <t>9.080.000 s/d 12.590.000</t>
  </si>
  <si>
    <t>12.600.000 s/d 14.810.000</t>
  </si>
  <si>
    <t>Peternakan</t>
  </si>
  <si>
    <t>Total Daya Tampung</t>
  </si>
  <si>
    <t>1.010.000 s/d 1.700.000</t>
  </si>
  <si>
    <t>1.710.000 s/d 4.610.000</t>
  </si>
  <si>
    <t>4.620.000 s/d 7.780.000</t>
  </si>
  <si>
    <t>Teknologi Hasil Pertanian</t>
  </si>
  <si>
    <t>Rasio Peminat</t>
  </si>
  <si>
    <t>Teknik Pertanian</t>
  </si>
  <si>
    <t>Fakultas Keguruan dan Ilmu Pendidikan</t>
  </si>
  <si>
    <t>Bimbingan dan Konseling</t>
  </si>
  <si>
    <t>Pendidikan Bahasa dan Sastra Indonesia</t>
  </si>
  <si>
    <t>1.010.000 s/d 1.900.000</t>
  </si>
  <si>
    <t>Pendidikan Bahasa Inggris</t>
  </si>
  <si>
    <t>1.910.000 s/d 5.560.000</t>
  </si>
  <si>
    <t>Pendidikan Biologi</t>
  </si>
  <si>
    <t>Pendidikan Biologi (Kampus Gayo Lues)</t>
  </si>
  <si>
    <t>3.070.000 s/d 5.180.000</t>
  </si>
  <si>
    <t>5.190.000 s/d 7.180.000</t>
  </si>
  <si>
    <t>7.190.000 s/d 8.450.000</t>
  </si>
  <si>
    <t>Pendidikan Ekonomi</t>
  </si>
  <si>
    <t>3.470.000 s/d 5.850.000</t>
  </si>
  <si>
    <t>5.860.000 s/d 8.320.000</t>
  </si>
  <si>
    <t>8.130.000 s/d 9.550.000</t>
  </si>
  <si>
    <t>Pendidikan Fisika</t>
  </si>
  <si>
    <t>5.860.000 s/d 8.120.000</t>
  </si>
  <si>
    <t>88.370.000 s/d 11.600.000</t>
  </si>
  <si>
    <t>Pendidikan Geografi</t>
  </si>
  <si>
    <t>4.440.000 s/d 7.490.000</t>
  </si>
  <si>
    <t>7.500.000 s/d 10.390.000</t>
  </si>
  <si>
    <t>10.400.000 s/d 12.220.000</t>
  </si>
  <si>
    <t>Persentase Perubahan Peminat (2022-2023)</t>
  </si>
  <si>
    <t>Pendidikan Guru PAUD (PG-PAUD)</t>
  </si>
  <si>
    <t>Pendidikan Guru Sekolah Dasar (PGSD)</t>
  </si>
  <si>
    <t>4.170.000 ₴/d</t>
  </si>
  <si>
    <t>7.030.000 s/d 9.750.000</t>
  </si>
  <si>
    <t>Pendidikan Jasmani Kesehatan &amp; Rekreasi</t>
  </si>
  <si>
    <t>9.740.000 s/d 11.460.000</t>
  </si>
  <si>
    <t>Pendidikan Kesejahteraan Keluarga</t>
  </si>
  <si>
    <t>1.010.000 s/d 1.560.000</t>
  </si>
  <si>
    <t>3.790.000 s/d 6.390.000</t>
  </si>
  <si>
    <t>6.400.000 s/d 8.870.000</t>
  </si>
  <si>
    <t>1.570.000 s/d 3.940.000</t>
  </si>
  <si>
    <t>8.880.000 s/d 10.430.000</t>
  </si>
  <si>
    <t>Pendidikan Kimia</t>
  </si>
  <si>
    <t>Pendidikan Matematika</t>
  </si>
  <si>
    <t>3.570.000 s/d 4.500.000</t>
  </si>
  <si>
    <t>1.010.000 s/d 1.610.000</t>
  </si>
  <si>
    <t>Pendidikan Pancasila dan Kewarganegaraan</t>
  </si>
  <si>
    <t>1.620.000 s/d 4.160.000</t>
  </si>
  <si>
    <t>Pendidikan Sejarah</t>
  </si>
  <si>
    <t>3.070.000 B/d</t>
  </si>
  <si>
    <t>Persentase Perubahan Peminat (2023-2024)</t>
  </si>
  <si>
    <t>Pendidikan Seni Drama, Tari dan Musik</t>
  </si>
  <si>
    <t>Fakultas Kedokteran</t>
  </si>
  <si>
    <t>Pendidikan Dokter</t>
  </si>
  <si>
    <t>Psikologi</t>
  </si>
  <si>
    <t>1.010.000 s/d 1.580.000</t>
  </si>
  <si>
    <t>1.590.000 s/d 4.010.000</t>
  </si>
  <si>
    <t>Biologi</t>
  </si>
  <si>
    <t>9.200.000 s/d 15.520.000</t>
  </si>
  <si>
    <t>15.530.000 s/d 21.540.000</t>
  </si>
  <si>
    <t>21.550.000 s/d 25.340.000</t>
  </si>
  <si>
    <t>9.410.000 s/d 11.050.000</t>
  </si>
  <si>
    <t>Farmasi</t>
  </si>
  <si>
    <t>Fisika</t>
  </si>
  <si>
    <t>Kimia</t>
  </si>
  <si>
    <t>Matematika</t>
  </si>
  <si>
    <t>Persentase Perubahan Peminat (2024-2025)</t>
  </si>
  <si>
    <t>Statistika</t>
  </si>
  <si>
    <t>Informatika</t>
  </si>
  <si>
    <t>Fakultas Ilmu Sosial dan Ilmu Politik</t>
  </si>
  <si>
    <t>Ilmu Komunikasi</t>
  </si>
  <si>
    <t>1.010.000 s/d 1.860.000</t>
  </si>
  <si>
    <t>1.870.000 s/d 5.370.000</t>
  </si>
  <si>
    <t>Ilmu Pemerintahan</t>
  </si>
  <si>
    <t>Ilmu Politik</t>
  </si>
  <si>
    <t>4.010.000 s/d 6.750.000</t>
  </si>
  <si>
    <t>6.760.000 s/d 9.370.000</t>
  </si>
  <si>
    <t>9.380.000 s/d 11.020.000</t>
  </si>
  <si>
    <t>Sosiologi</t>
  </si>
  <si>
    <t>4.380.000 s/d 7.380.000</t>
  </si>
  <si>
    <t>7.390.000 s/d 10.240.000</t>
  </si>
  <si>
    <t>10.250.000 s/d 12.040.000</t>
  </si>
  <si>
    <t>Fakultas Kelautan dan Perikanan</t>
  </si>
  <si>
    <t>Budi Daya Perairan</t>
  </si>
  <si>
    <t>Ilmu Kelautan</t>
  </si>
  <si>
    <t>4.800.000 s/d 8.100.000</t>
  </si>
  <si>
    <t>8.110 s/d 11.240.000</t>
  </si>
  <si>
    <t>11.250.000 s/d 13.220.000</t>
  </si>
  <si>
    <t>Pemanfaatan Sumberdaya Perikanan</t>
  </si>
  <si>
    <t>Fakultas Keperawatan</t>
  </si>
  <si>
    <t>Ilmu Keperawatan</t>
  </si>
  <si>
    <t>Perubahan Persentase Peminat (2025-2026)</t>
  </si>
  <si>
    <t>Fakultas Kedokteran Gigi</t>
  </si>
  <si>
    <t>Pendidikan Dokter Gigi</t>
  </si>
  <si>
    <t>SNMPTN</t>
  </si>
  <si>
    <t>1.010.000 s/d 1.380.000</t>
  </si>
  <si>
    <t>1.390.000 s/d 3.060.000</t>
  </si>
  <si>
    <t>SBMPTN</t>
  </si>
  <si>
    <t>1.010.000 s/d 1.470.000</t>
  </si>
  <si>
    <t>1.480.000 s/d 3.460.000</t>
  </si>
  <si>
    <t>SMMPTN</t>
  </si>
  <si>
    <t>SNBP</t>
  </si>
  <si>
    <t>SNBT</t>
  </si>
  <si>
    <t>1.680.000 s/d 4.430.000</t>
  </si>
  <si>
    <t>1.010.000 s/d 1.530.000</t>
  </si>
  <si>
    <t>1.540.000 s/d 3.780.000</t>
  </si>
  <si>
    <t>TALENTA</t>
  </si>
  <si>
    <t>CADANGAN</t>
  </si>
  <si>
    <t>ADIK</t>
  </si>
  <si>
    <t>1.010.000 s/d 2.650.000</t>
  </si>
  <si>
    <t>2.660.000 s/d 9.190.000</t>
  </si>
  <si>
    <t>SELEKSI MANDIRI CADANGAN</t>
  </si>
  <si>
    <t>Peminat</t>
  </si>
  <si>
    <t>Daya Tampung</t>
  </si>
  <si>
    <t>Lulus Awal</t>
  </si>
  <si>
    <t>1.590.000 s/d 4.000.000</t>
  </si>
  <si>
    <t>Mendaftar Ulang</t>
  </si>
  <si>
    <t>Sisa Kuota</t>
  </si>
  <si>
    <t>1.010.000 s/d 1.650.000</t>
  </si>
  <si>
    <t>1.660.000 s/d 4.370.000</t>
  </si>
  <si>
    <t>1.010.000 s/d 1.740.000</t>
  </si>
  <si>
    <t>1.750.000 s/d 4.790.000</t>
  </si>
  <si>
    <t>8.110.000 s/d 11.240.000</t>
  </si>
  <si>
    <t>Mandiri</t>
  </si>
  <si>
    <t>0210101</t>
  </si>
  <si>
    <t>PENDIDIKAN DOKTER HEWAN</t>
  </si>
  <si>
    <t>0410101</t>
  </si>
  <si>
    <t>TEKNIK SIPIL</t>
  </si>
  <si>
    <t>0410201</t>
  </si>
  <si>
    <t>TEKNIK MESIN</t>
  </si>
  <si>
    <t>0410301</t>
  </si>
  <si>
    <t>TEKNIK KIMIA</t>
  </si>
  <si>
    <t>0410401</t>
  </si>
  <si>
    <t>ARSITEKTUR</t>
  </si>
  <si>
    <t>0410501</t>
  </si>
  <si>
    <t>TEKNIK ELEKTRO</t>
  </si>
  <si>
    <t>0510105</t>
  </si>
  <si>
    <t>AGROTEKNOLOGI</t>
  </si>
  <si>
    <t>0510201</t>
  </si>
  <si>
    <t>AGRIBISNIS</t>
  </si>
  <si>
    <t>0510401</t>
  </si>
  <si>
    <t>PETERNAKAN</t>
  </si>
  <si>
    <t>0510501</t>
  </si>
  <si>
    <t>TEKNOLOGI HASIL PERTANIAN</t>
  </si>
  <si>
    <t>UKT Kelompok VII (Rp)</t>
  </si>
  <si>
    <t>UKT Kelompok VIII (Rp)</t>
  </si>
  <si>
    <t>Ekonomi dan Bisnis</t>
  </si>
  <si>
    <t>Akuntansi Perpajakan</t>
  </si>
  <si>
    <t>D4</t>
  </si>
  <si>
    <t>0510601</t>
  </si>
  <si>
    <t>TEKNIK PERTANIAN</t>
  </si>
  <si>
    <t>Kedokteran Hewan</t>
  </si>
  <si>
    <t>Pendidikan Kedokteran Hewan</t>
  </si>
  <si>
    <t>Hukum</t>
  </si>
  <si>
    <t>Teknik</t>
  </si>
  <si>
    <t>0610301</t>
  </si>
  <si>
    <t>PENDIDIKAN BIOLOGI</t>
  </si>
  <si>
    <t>Pertanian</t>
  </si>
  <si>
    <t>0610302</t>
  </si>
  <si>
    <t>PENDIDIKAN MATEMATIKA</t>
  </si>
  <si>
    <t>Keguruan dan Ilmu Pendidikan</t>
  </si>
  <si>
    <t>Pendidikan Bahasa Indonesia</t>
  </si>
  <si>
    <t>0610303</t>
  </si>
  <si>
    <t>PENDIDIKAN FISIKA</t>
  </si>
  <si>
    <t>Pendidikan Jasmani, Kesehatan dan Rekreasi</t>
  </si>
  <si>
    <t>0610304</t>
  </si>
  <si>
    <t>PENDIDIKAN KIMIA</t>
  </si>
  <si>
    <t>Pendidikan Guru Sekolah Dasar</t>
  </si>
  <si>
    <t>PG PAUD</t>
  </si>
  <si>
    <t>Kedokteran</t>
  </si>
  <si>
    <t>Matematika dan Ilmu Pengetahuan Alam</t>
  </si>
  <si>
    <t>0710101</t>
  </si>
  <si>
    <t>PENDIDIKAN DOKTER</t>
  </si>
  <si>
    <t>Ilmu Sosial dan Ilmu Politik</t>
  </si>
  <si>
    <t>Ekonomi Dan Bisnis</t>
  </si>
  <si>
    <t>2023</t>
  </si>
  <si>
    <t>Kelautan dan Perikanan</t>
  </si>
  <si>
    <t>Budidaya Perairan</t>
  </si>
  <si>
    <t>1210101</t>
  </si>
  <si>
    <t>ILMU KEPERAWATAN</t>
  </si>
  <si>
    <t>Keuangandan Perbankan</t>
  </si>
  <si>
    <t>Sekretaris</t>
  </si>
  <si>
    <t>Keperawatan</t>
  </si>
  <si>
    <t>Matematika Dan Ilmu Pengetahuan Alam</t>
  </si>
  <si>
    <t>Kedokteran Gigi</t>
  </si>
  <si>
    <t>1310101</t>
  </si>
  <si>
    <t>PENDIDIKAN DOKTER GIGI</t>
  </si>
  <si>
    <t>0810101</t>
  </si>
  <si>
    <t>MATEMATIKA</t>
  </si>
  <si>
    <t>0810201</t>
  </si>
  <si>
    <t>FISIKA</t>
  </si>
  <si>
    <t>0810301</t>
  </si>
  <si>
    <t>KIMIA</t>
  </si>
  <si>
    <t>0810401</t>
  </si>
  <si>
    <t>BIOLOGI</t>
  </si>
  <si>
    <t>1110101</t>
  </si>
  <si>
    <t>ILMU KELAUTAN</t>
  </si>
  <si>
    <t>-</t>
  </si>
  <si>
    <t>Keuangan Dan Perbankan</t>
  </si>
  <si>
    <t>1110201</t>
  </si>
  <si>
    <t>BUDIDAYA PERAIRAN</t>
  </si>
  <si>
    <t>Arsitektut</t>
  </si>
  <si>
    <t>0.000</t>
  </si>
  <si>
    <t>0410601</t>
  </si>
  <si>
    <t>TEKNIK INDUSTRI</t>
  </si>
  <si>
    <t>Ekonomi Ialam</t>
  </si>
  <si>
    <t>Narmas!</t>
  </si>
  <si>
    <t>Fieika</t>
  </si>
  <si>
    <t>Ilmu Kelautan Xmu nukt m</t>
  </si>
  <si>
    <t>nimo Kooer?warah</t>
  </si>
  <si>
    <t>Ximt Komuntkasi</t>
  </si>
  <si>
    <t>Ilmu Politik: int remenuianan</t>
  </si>
  <si>
    <t>Kimia vendtdlkanDokter dlewan</t>
  </si>
  <si>
    <t>0810701</t>
  </si>
  <si>
    <t>INFORMATIKA</t>
  </si>
  <si>
    <t>Perikanan Pemanfaatan Sumberdaya</t>
  </si>
  <si>
    <t>Pendidikan Dokter rendiaikan blolog1</t>
  </si>
  <si>
    <t>rendlanken vconorn</t>
  </si>
  <si>
    <t>renaialkan Misike</t>
  </si>
  <si>
    <t>Pendidikan Cleografi</t>
  </si>
  <si>
    <t>Anak Usia Dini Pendidikan Guru pendiclikan</t>
  </si>
  <si>
    <t>0810901</t>
  </si>
  <si>
    <t>FARMASI</t>
  </si>
  <si>
    <t>dan Rekreasi Pendidikan Jasmani Kesehatan</t>
  </si>
  <si>
    <t>Keluarga Pendidikan Kesejahterean</t>
  </si>
  <si>
    <t>Pendidikan Kewarganegaraan</t>
  </si>
  <si>
    <t>Musik Pendidikan Seni Drama, Tari dan</t>
  </si>
  <si>
    <t>Pslkologi</t>
  </si>
  <si>
    <t>sosiolog</t>
  </si>
  <si>
    <t>nusakA</t>
  </si>
  <si>
    <t>leknik blektro</t>
  </si>
  <si>
    <t>"eknk meusir</t>
  </si>
  <si>
    <t>0410701</t>
  </si>
  <si>
    <t>TEKNIK GEOFISIKA</t>
  </si>
  <si>
    <t>Manejemen Perusahaan</t>
  </si>
  <si>
    <t>BKT per Tahun (Rp)</t>
  </si>
  <si>
    <t>ekaolos tesi rercanian</t>
  </si>
  <si>
    <t>Tarif IPI Kelompok 1 (Rp)</t>
  </si>
  <si>
    <t>Tarif IPI Kelompok 2 (Rp)</t>
  </si>
  <si>
    <t>Tarif IPI Kelompok 3 (Rp)</t>
  </si>
  <si>
    <t>Tarif IPI Kelompok 4 (Rp)</t>
  </si>
  <si>
    <t>Kenorenan</t>
  </si>
  <si>
    <t>Perasaran</t>
  </si>
  <si>
    <t>Trorcksi enanner</t>
  </si>
  <si>
    <t>Manajemen Kab.Oayo Lues</t>
  </si>
  <si>
    <t>Lues Pendidikan Biologi Kab. Gayo</t>
  </si>
  <si>
    <t>Manajemen Kab. Gayo Lues</t>
  </si>
  <si>
    <t>0410801</t>
  </si>
  <si>
    <t>TEKNIK PERTAMBANGAN</t>
  </si>
  <si>
    <t>Kehutanan Kab. Gayo Lucs</t>
  </si>
  <si>
    <t>$1</t>
  </si>
  <si>
    <t>Agroteknologi Kab. Gayo Lues</t>
  </si>
  <si>
    <t>Manejemen Informatika</t>
  </si>
  <si>
    <t>0810801</t>
  </si>
  <si>
    <t>STATISTIKA</t>
  </si>
  <si>
    <t>Tehnologi Hasil Pertanian</t>
  </si>
  <si>
    <t>1110301</t>
  </si>
  <si>
    <t>PEMANFAATAN SUMBERDAYA PERIKANAN</t>
  </si>
  <si>
    <t>Kehutanan Kab. Gayo Lues</t>
  </si>
  <si>
    <t>Pendidikan Jasmani, Kesehatan, dan Rekreasi</t>
  </si>
  <si>
    <t>Pendidikan Guru Pendidikan Anak Usia Dini</t>
  </si>
  <si>
    <t>Pendidikan Seni, Drama, Tari, dan Musik</t>
  </si>
  <si>
    <t>0510801</t>
  </si>
  <si>
    <t>ILMU TANAH</t>
  </si>
  <si>
    <t>Pendidikan Biologi Kab. Gayo Lues</t>
  </si>
  <si>
    <t>0410901</t>
  </si>
  <si>
    <t>TEKNIK GEOLOGI</t>
  </si>
  <si>
    <t>UKT Kelompok 1 (Rp)</t>
  </si>
  <si>
    <t>UKT Kelompok 2 (Rp)</t>
  </si>
  <si>
    <t>0515001</t>
  </si>
  <si>
    <t>AGROTEKNOLOGI (PDD GAYO LUES)</t>
  </si>
  <si>
    <t>UKT Kelompok 3 (Rp)</t>
  </si>
  <si>
    <t>UKT Kelompok 4 (Rp)</t>
  </si>
  <si>
    <t>UKT Kelompok 5 (Rp)</t>
  </si>
  <si>
    <t>UKT Kelompok 6 (Rp)</t>
  </si>
  <si>
    <t>UKT Kelompok 7 (Rp)</t>
  </si>
  <si>
    <t>UKT Kelompok 8 (Rp)</t>
  </si>
  <si>
    <t>0615001</t>
  </si>
  <si>
    <t>PENDIDIKAN BIOLOGI  (PDD GAYO LUES)</t>
  </si>
  <si>
    <t>0515002</t>
  </si>
  <si>
    <t>KEHUTANAN (PDD GAYO LUES)</t>
  </si>
  <si>
    <t>Manajemen Agribianis</t>
  </si>
  <si>
    <t>0510901</t>
  </si>
  <si>
    <t>PROTEKSI TANAMAN</t>
  </si>
  <si>
    <t>Pendidikan Guru pendidikan Anak Usia Dini</t>
  </si>
  <si>
    <t>Pendidikan Jasmani Kesehatan dan Rekreasi</t>
  </si>
  <si>
    <t>0411001</t>
  </si>
  <si>
    <t>PERENCANAAN WILAYAH DAN KOTA</t>
  </si>
  <si>
    <t>0511001</t>
  </si>
  <si>
    <t>KEHUTANAN</t>
  </si>
  <si>
    <t>0411101</t>
  </si>
  <si>
    <t>TEKNIK KOMPUTER</t>
  </si>
  <si>
    <t>Manajemen Kab.Gayo Lues</t>
  </si>
  <si>
    <t>Teknik Lingkungan</t>
  </si>
  <si>
    <t>Teknik Sumber Daya Air</t>
  </si>
  <si>
    <t>Teknik Perminyakan</t>
  </si>
  <si>
    <t>Bisnis Digital</t>
  </si>
  <si>
    <t>Teknologi Industri Hasil Perikanan</t>
  </si>
  <si>
    <t>0110101</t>
  </si>
  <si>
    <t>EKONOMI PEMBANGUNAN</t>
  </si>
  <si>
    <t>0110201</t>
  </si>
  <si>
    <t>MANAJEMEN</t>
  </si>
  <si>
    <t>0110301</t>
  </si>
  <si>
    <t>AKUNTANSI</t>
  </si>
  <si>
    <t>0310101</t>
  </si>
  <si>
    <t>ILMU HUKUM</t>
  </si>
  <si>
    <t>0610101</t>
  </si>
  <si>
    <t>PENDIDIKAN PANCASILA DAN KEWARGANEGARAAN</t>
  </si>
  <si>
    <t>0610102</t>
  </si>
  <si>
    <t>PENDIDIKAN SEJARAH</t>
  </si>
  <si>
    <t>Pendidikan Biologi Kab.Gayo Lues</t>
  </si>
  <si>
    <t>0610103</t>
  </si>
  <si>
    <t>PENDIDIKAN EKONOMI</t>
  </si>
  <si>
    <t>0610104</t>
  </si>
  <si>
    <t>PENDIDIKAN GEOGRAFI</t>
  </si>
  <si>
    <t>0610201</t>
  </si>
  <si>
    <t>PENDIDIKAN BAHASA INDONESIA</t>
  </si>
  <si>
    <t>0610202</t>
  </si>
  <si>
    <t>PENDIDIKAN BAHASA INGGRIS</t>
  </si>
  <si>
    <t>0610203</t>
  </si>
  <si>
    <t>PENDIDIKAN SENI DRAMA TARI DAN MUSIK</t>
  </si>
  <si>
    <t>0610401</t>
  </si>
  <si>
    <t>PENDIDIKAN KESEJAHTERAAN KELUARGA</t>
  </si>
  <si>
    <t>0610402</t>
  </si>
  <si>
    <t>PENDIDIKAN JASMANI KESEHATAN DAN REKREASI</t>
  </si>
  <si>
    <t>0610403</t>
  </si>
  <si>
    <t>BIMBINGAN KONSELING</t>
  </si>
  <si>
    <t>0610404</t>
  </si>
  <si>
    <t>PENDIDIKAN GURU SEKOLAH DASAR</t>
  </si>
  <si>
    <t>0710113</t>
  </si>
  <si>
    <t>PSIKOLOGI</t>
  </si>
  <si>
    <t>1010301</t>
  </si>
  <si>
    <t>ILMU POLITIK</t>
  </si>
  <si>
    <t>1010101</t>
  </si>
  <si>
    <t>SOSIOLOGI</t>
  </si>
  <si>
    <t>1010201</t>
  </si>
  <si>
    <t>ILMU KOMUNIKASI</t>
  </si>
  <si>
    <t>0610421</t>
  </si>
  <si>
    <t>PENDIDIKAN GURU PAUD</t>
  </si>
  <si>
    <t>1010401</t>
  </si>
  <si>
    <t>ILMU PEMERINTAHAN</t>
  </si>
  <si>
    <t>0110401</t>
  </si>
  <si>
    <t>EKONOMI ISLAM</t>
  </si>
  <si>
    <t>0115001</t>
  </si>
  <si>
    <t>MANAJEMEN (PDD GAYO LUES)</t>
  </si>
  <si>
    <t>0170301</t>
  </si>
  <si>
    <t>AKUNTANSI PERPAJAKAN</t>
  </si>
  <si>
    <t>0200101</t>
  </si>
  <si>
    <t>KESEHATAN HEWAN</t>
  </si>
  <si>
    <t>0500201</t>
  </si>
  <si>
    <t>MANAJEMEN AGRIBISNIS</t>
  </si>
  <si>
    <t>0400501</t>
  </si>
  <si>
    <t>TEKNIK LISTRIK</t>
  </si>
  <si>
    <t>0500401</t>
  </si>
  <si>
    <t>BUDIDAYA PETERNAKAN</t>
  </si>
  <si>
    <t>0400201</t>
  </si>
  <si>
    <t>0400101</t>
  </si>
  <si>
    <t>0100202</t>
  </si>
  <si>
    <t>SEKRETARI</t>
  </si>
  <si>
    <t>0100101</t>
  </si>
  <si>
    <t>MANAJEMEN PERUSAHAAN</t>
  </si>
  <si>
    <t>0100301</t>
  </si>
  <si>
    <t>0100203</t>
  </si>
  <si>
    <t>KEUANGAN DAN PERBANKAN</t>
  </si>
  <si>
    <t>0800701</t>
  </si>
  <si>
    <t>MANAJEMEN INFORMATIKA</t>
  </si>
  <si>
    <t>1110401</t>
  </si>
  <si>
    <t>TEKNOLOGI INDUSTRI HASIL PERIKANAN</t>
  </si>
  <si>
    <t>0411401</t>
  </si>
  <si>
    <t>TEKNIK LINGKUNGAN</t>
  </si>
  <si>
    <t>0411501</t>
  </si>
  <si>
    <t>TEKNIK SUMBER DAYA AIR</t>
  </si>
  <si>
    <t>0110501</t>
  </si>
  <si>
    <t>BISNIS DIGITAL</t>
  </si>
  <si>
    <t>TEKNIK PERMINYAKAN</t>
  </si>
  <si>
    <t>HUBUNGAN INTERNASIONAL</t>
  </si>
  <si>
    <t>JUMLAH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</si>
</sst>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Arial"/>
      <scheme val="minor"/>
    </font>
    <font>
      <b/>
      <sz val="11.0"/>
      <color rgb="FFFFFFFF"/>
      <name val="Calibri"/>
    </font>
    <font>
      <sz val="10.0"/>
      <color theme="1"/>
      <name val="Calibri"/>
    </font>
    <font>
      <color theme="1"/>
      <name val="Arial"/>
      <scheme val="minor"/>
    </font>
    <font>
      <b/>
      <sz val="10.0"/>
      <color theme="1"/>
      <name val="Arial"/>
      <scheme val="minor"/>
    </font>
    <font>
      <b/>
      <sz val="11.0"/>
      <color theme="1"/>
      <name val="Arial"/>
      <scheme val="minor"/>
    </font>
    <font/>
    <font>
      <sz val="11.0"/>
      <color theme="1"/>
      <name val="Calibri"/>
    </font>
    <font>
      <sz val="11.0"/>
      <color rgb="FF000000"/>
      <name val="Calibri"/>
    </font>
    <font>
      <color rgb="FF000000"/>
      <name val="&quot;Arial Narrow&quot;"/>
    </font>
    <font>
      <color theme="1"/>
      <name val="&quot;Arial Narrow&quot;"/>
    </font>
    <font>
      <color theme="1"/>
      <name val="Arial Narrow"/>
    </font>
    <font>
      <b/>
      <color theme="1"/>
      <name val="Arial Narrow"/>
    </font>
  </fonts>
  <fills count="26">
    <fill>
      <patternFill patternType="none"/>
    </fill>
    <fill>
      <patternFill patternType="lightGray"/>
    </fill>
    <fill>
      <patternFill patternType="solid">
        <fgColor rgb="FF104E8B"/>
        <bgColor rgb="FF104E8B"/>
      </patternFill>
    </fill>
    <fill>
      <patternFill patternType="solid">
        <fgColor rgb="FF1874CD"/>
        <bgColor rgb="FF1874CD"/>
      </patternFill>
    </fill>
    <fill>
      <patternFill patternType="solid">
        <fgColor rgb="FFF0F4F8"/>
        <bgColor rgb="FFF0F4F8"/>
      </patternFill>
    </fill>
    <fill>
      <patternFill patternType="solid">
        <fgColor rgb="FF1B365D"/>
        <bgColor rgb="FF1B365D"/>
      </patternFill>
    </fill>
    <fill>
      <patternFill patternType="solid">
        <fgColor rgb="FFF4F8FA"/>
        <bgColor rgb="FFF4F8FA"/>
      </patternFill>
    </fill>
    <fill>
      <patternFill patternType="solid">
        <fgColor rgb="FFDAEEF3"/>
        <bgColor rgb="FFDAEEF3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D9E2F3"/>
        <bgColor rgb="FFD9E2F3"/>
      </patternFill>
    </fill>
    <fill>
      <patternFill patternType="solid">
        <fgColor rgb="FFFFF2CC"/>
        <bgColor rgb="FFFFF2CC"/>
      </patternFill>
    </fill>
    <fill>
      <patternFill patternType="solid">
        <fgColor rgb="FF1C86EE"/>
        <bgColor rgb="FF1C86EE"/>
      </patternFill>
    </fill>
    <fill>
      <patternFill patternType="solid">
        <fgColor rgb="FF00688B"/>
        <bgColor rgb="FF00688B"/>
      </patternFill>
    </fill>
    <fill>
      <patternFill patternType="solid">
        <fgColor rgb="FFFFFFFF"/>
        <bgColor rgb="FFFFFFFF"/>
      </patternFill>
    </fill>
    <fill>
      <patternFill patternType="solid">
        <fgColor rgb="FF00868B"/>
        <bgColor rgb="FF00868B"/>
      </patternFill>
    </fill>
    <fill>
      <patternFill patternType="solid">
        <fgColor rgb="FF008B8B"/>
        <bgColor rgb="FF008B8B"/>
      </patternFill>
    </fill>
    <fill>
      <patternFill patternType="solid">
        <fgColor rgb="FF2E8B57"/>
        <bgColor rgb="FF2E8B57"/>
      </patternFill>
    </fill>
    <fill>
      <patternFill patternType="solid">
        <fgColor rgb="FF1E3F66"/>
        <bgColor rgb="FF1E3F66"/>
      </patternFill>
    </fill>
    <fill>
      <patternFill patternType="solid">
        <fgColor rgb="FF2E5984"/>
        <bgColor rgb="FF2E5984"/>
      </patternFill>
    </fill>
    <fill>
      <patternFill patternType="solid">
        <fgColor rgb="FFCFE2F3"/>
        <bgColor rgb="FFCFE2F3"/>
      </patternFill>
    </fill>
    <fill>
      <patternFill patternType="solid">
        <fgColor rgb="FF52796F"/>
        <bgColor rgb="FF52796F"/>
      </patternFill>
    </fill>
    <fill>
      <patternFill patternType="solid">
        <fgColor rgb="FF004E7C"/>
        <bgColor rgb="FF004E7C"/>
      </patternFill>
    </fill>
    <fill>
      <patternFill patternType="solid">
        <fgColor rgb="FF007791"/>
        <bgColor rgb="FF007791"/>
      </patternFill>
    </fill>
    <fill>
      <patternFill patternType="solid">
        <fgColor rgb="FF3D7E9A"/>
        <bgColor rgb="FF3D7E9A"/>
      </patternFill>
    </fill>
    <fill>
      <patternFill patternType="solid">
        <fgColor rgb="FFFFCCFF"/>
        <bgColor rgb="FFFFCCFF"/>
      </patternFill>
    </fill>
  </fills>
  <borders count="47">
    <border/>
    <border>
      <left/>
      <right/>
      <top/>
      <bottom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2" fillId="4" fontId="2" numFmtId="3" xfId="0" applyAlignment="1" applyBorder="1" applyFill="1" applyFont="1" applyNumberFormat="1">
      <alignment horizontal="right" vertical="center"/>
    </xf>
    <xf borderId="3" fillId="5" fontId="1" numFmtId="0" xfId="0" applyAlignment="1" applyBorder="1" applyFill="1" applyFont="1">
      <alignment horizontal="center" shrinkToFit="0" vertical="center" wrapText="1"/>
    </xf>
    <xf borderId="2" fillId="4" fontId="2" numFmtId="0" xfId="0" applyAlignment="1" applyBorder="1" applyFill="1" applyFont="1">
      <alignment horizontal="left" vertical="center"/>
    </xf>
    <xf borderId="2" fillId="6" fontId="2" numFmtId="3" xfId="0" applyAlignment="1" applyBorder="1" applyFill="1" applyFont="1" applyNumberFormat="1">
      <alignment horizontal="right" vertical="center"/>
    </xf>
    <xf borderId="2" fillId="4" fontId="2" numFmtId="0" xfId="0" applyAlignment="1" applyBorder="1" applyFill="1" applyFont="1">
      <alignment horizontal="center" vertical="center"/>
    </xf>
    <xf borderId="2" fillId="6" fontId="2" numFmtId="0" xfId="0" applyAlignment="1" applyBorder="1" applyFill="1" applyFont="1">
      <alignment horizontal="left" vertical="center"/>
    </xf>
    <xf borderId="2" fillId="0" fontId="2" numFmtId="3" xfId="0" applyAlignment="1" applyBorder="1" applyFont="1" applyNumberFormat="1">
      <alignment horizontal="right" vertical="center"/>
    </xf>
    <xf borderId="2" fillId="6" fontId="2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horizontal="left" vertical="center"/>
    </xf>
    <xf borderId="0" fillId="0" fontId="3" numFmtId="2" xfId="0" applyFont="1" applyNumberFormat="1"/>
    <xf borderId="2" fillId="0" fontId="2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6" fillId="7" fontId="5" numFmtId="0" xfId="0" applyAlignment="1" applyBorder="1" applyFill="1" applyFont="1">
      <alignment horizontal="center" shrinkToFit="0" vertical="center" wrapText="1"/>
    </xf>
    <xf borderId="7" fillId="0" fontId="6" numFmtId="0" xfId="0" applyBorder="1" applyFont="1"/>
    <xf borderId="8" fillId="0" fontId="6" numFmtId="0" xfId="0" applyBorder="1" applyFont="1"/>
    <xf borderId="9" fillId="7" fontId="4" numFmtId="0" xfId="0" applyAlignment="1" applyBorder="1" applyFill="1" applyFont="1">
      <alignment horizontal="center" readingOrder="0" shrinkToFit="0" vertical="center" wrapText="1"/>
    </xf>
    <xf borderId="10" fillId="7" fontId="4" numFmtId="0" xfId="0" applyAlignment="1" applyBorder="1" applyFill="1" applyFont="1">
      <alignment horizontal="center" shrinkToFit="0" vertical="center" wrapText="1"/>
    </xf>
    <xf borderId="11" fillId="7" fontId="4" numFmtId="0" xfId="0" applyAlignment="1" applyBorder="1" applyFill="1" applyFont="1">
      <alignment horizontal="center" readingOrder="0" shrinkToFit="0" vertical="center" wrapText="1"/>
    </xf>
    <xf borderId="7" fillId="8" fontId="5" numFmtId="0" xfId="0" applyAlignment="1" applyBorder="1" applyFill="1" applyFont="1">
      <alignment horizontal="center" shrinkToFit="0" vertical="center" wrapText="1"/>
    </xf>
    <xf borderId="10" fillId="8" fontId="4" numFmtId="0" xfId="0" applyAlignment="1" applyBorder="1" applyFill="1" applyFont="1">
      <alignment horizontal="center" readingOrder="0" shrinkToFit="0" vertical="center" wrapText="1"/>
    </xf>
    <xf borderId="12" fillId="8" fontId="4" numFmtId="0" xfId="0" applyAlignment="1" applyBorder="1" applyFill="1" applyFont="1">
      <alignment horizontal="center" shrinkToFit="0" vertical="center" wrapText="1"/>
    </xf>
    <xf borderId="13" fillId="8" fontId="4" numFmtId="0" xfId="0" applyAlignment="1" applyBorder="1" applyFill="1" applyFont="1">
      <alignment horizontal="center" readingOrder="0" shrinkToFit="0" vertical="center" wrapText="1"/>
    </xf>
    <xf borderId="11" fillId="8" fontId="4" numFmtId="0" xfId="0" applyAlignment="1" applyBorder="1" applyFill="1" applyFont="1">
      <alignment horizontal="center" readingOrder="0" shrinkToFit="0" vertical="center" wrapText="1"/>
    </xf>
    <xf borderId="7" fillId="9" fontId="5" numFmtId="0" xfId="0" applyAlignment="1" applyBorder="1" applyFill="1" applyFont="1">
      <alignment horizontal="center" shrinkToFit="0" vertical="center" wrapText="1"/>
    </xf>
    <xf borderId="10" fillId="9" fontId="5" numFmtId="0" xfId="0" applyAlignment="1" applyBorder="1" applyFill="1" applyFont="1">
      <alignment horizontal="center" readingOrder="0" shrinkToFit="0" vertical="center" wrapText="1"/>
    </xf>
    <xf borderId="10" fillId="9" fontId="4" numFmtId="0" xfId="0" applyAlignment="1" applyBorder="1" applyFill="1" applyFont="1">
      <alignment horizontal="center" shrinkToFit="0" vertical="center" wrapText="1"/>
    </xf>
    <xf borderId="13" fillId="9" fontId="4" numFmtId="2" xfId="0" applyAlignment="1" applyBorder="1" applyFill="1" applyFont="1" applyNumberFormat="1">
      <alignment horizontal="center" readingOrder="0" shrinkToFit="0" vertical="center" wrapText="1"/>
    </xf>
    <xf borderId="11" fillId="9" fontId="4" numFmtId="2" xfId="0" applyAlignment="1" applyBorder="1" applyFill="1" applyFont="1" applyNumberFormat="1">
      <alignment horizontal="center" readingOrder="0" shrinkToFit="0" vertical="center" wrapText="1"/>
    </xf>
    <xf borderId="7" fillId="10" fontId="5" numFmtId="0" xfId="0" applyAlignment="1" applyBorder="1" applyFill="1" applyFont="1">
      <alignment horizontal="center" shrinkToFit="0" vertical="center" wrapText="1"/>
    </xf>
    <xf borderId="10" fillId="10" fontId="5" numFmtId="0" xfId="0" applyAlignment="1" applyBorder="1" applyFill="1" applyFont="1">
      <alignment horizontal="center" readingOrder="0" shrinkToFit="0" vertical="center" wrapText="1"/>
    </xf>
    <xf borderId="10" fillId="10" fontId="4" numFmtId="0" xfId="0" applyAlignment="1" applyBorder="1" applyFill="1" applyFont="1">
      <alignment horizontal="center" shrinkToFit="0" vertical="center" wrapText="1"/>
    </xf>
    <xf borderId="13" fillId="10" fontId="4" numFmtId="2" xfId="0" applyAlignment="1" applyBorder="1" applyFill="1" applyFont="1" applyNumberFormat="1">
      <alignment horizontal="center" readingOrder="0" shrinkToFit="0" vertical="center" wrapText="1"/>
    </xf>
    <xf borderId="14" fillId="10" fontId="4" numFmtId="2" xfId="0" applyAlignment="1" applyBorder="1" applyFill="1" applyFont="1" applyNumberFormat="1">
      <alignment horizontal="center" readingOrder="0" shrinkToFit="0" vertical="center" wrapText="1"/>
    </xf>
    <xf borderId="7" fillId="11" fontId="5" numFmtId="0" xfId="0" applyAlignment="1" applyBorder="1" applyFill="1" applyFont="1">
      <alignment horizontal="center" shrinkToFit="0" vertical="center" wrapText="1"/>
    </xf>
    <xf borderId="10" fillId="11" fontId="5" numFmtId="0" xfId="0" applyAlignment="1" applyBorder="1" applyFill="1" applyFont="1">
      <alignment horizontal="center" readingOrder="0" shrinkToFit="0" vertical="center" wrapText="1"/>
    </xf>
    <xf borderId="10" fillId="11" fontId="4" numFmtId="0" xfId="0" applyAlignment="1" applyBorder="1" applyFill="1" applyFont="1">
      <alignment horizontal="center" shrinkToFit="0" vertical="center" wrapText="1"/>
    </xf>
    <xf borderId="13" fillId="11" fontId="4" numFmtId="0" xfId="0" applyAlignment="1" applyBorder="1" applyFill="1" applyFont="1">
      <alignment horizontal="center" readingOrder="0" shrinkToFit="0" vertical="center" wrapText="1"/>
    </xf>
    <xf borderId="11" fillId="11" fontId="4" numFmtId="0" xfId="0" applyAlignment="1" applyBorder="1" applyFill="1" applyFont="1">
      <alignment horizontal="center" readingOrder="0" shrinkToFit="0" vertical="center" wrapText="1"/>
    </xf>
    <xf borderId="15" fillId="0" fontId="6" numFmtId="0" xfId="0" applyBorder="1" applyFont="1"/>
    <xf borderId="16" fillId="0" fontId="6" numFmtId="0" xfId="0" applyBorder="1" applyFont="1"/>
    <xf borderId="17" fillId="7" fontId="4" numFmtId="0" xfId="0" applyAlignment="1" applyBorder="1" applyFill="1" applyFont="1">
      <alignment horizontal="center" shrinkToFit="0" vertical="center" wrapText="1"/>
    </xf>
    <xf borderId="18" fillId="0" fontId="6" numFmtId="0" xfId="0" applyBorder="1" applyFont="1"/>
    <xf borderId="19" fillId="0" fontId="6" numFmtId="0" xfId="0" applyBorder="1" applyFont="1"/>
    <xf borderId="20" fillId="0" fontId="6" numFmtId="0" xfId="0" applyBorder="1" applyFont="1"/>
    <xf borderId="21" fillId="0" fontId="6" numFmtId="0" xfId="0" applyBorder="1" applyFont="1"/>
    <xf borderId="17" fillId="8" fontId="4" numFmtId="0" xfId="0" applyAlignment="1" applyBorder="1" applyFill="1" applyFont="1">
      <alignment horizontal="center" shrinkToFit="0" vertical="center" wrapText="1"/>
    </xf>
    <xf borderId="17" fillId="8" fontId="4" numFmtId="0" xfId="0" applyAlignment="1" applyBorder="1" applyFill="1" applyFont="1">
      <alignment horizontal="center" readingOrder="0" shrinkToFit="0" vertical="center" wrapText="1"/>
    </xf>
    <xf borderId="22" fillId="0" fontId="6" numFmtId="0" xfId="0" applyBorder="1" applyFont="1"/>
    <xf borderId="17" fillId="9" fontId="4" numFmtId="0" xfId="0" applyAlignment="1" applyBorder="1" applyFill="1" applyFont="1">
      <alignment horizontal="center" shrinkToFit="0" vertical="center" wrapText="1"/>
    </xf>
    <xf borderId="17" fillId="10" fontId="4" numFmtId="0" xfId="0" applyAlignment="1" applyBorder="1" applyFill="1" applyFont="1">
      <alignment horizontal="center" shrinkToFit="0" vertical="center" wrapText="1"/>
    </xf>
    <xf borderId="17" fillId="11" fontId="4" numFmtId="0" xfId="0" applyAlignment="1" applyBorder="1" applyFill="1" applyFont="1">
      <alignment horizontal="center" shrinkToFit="0" vertical="center" wrapText="1"/>
    </xf>
    <xf borderId="23" fillId="0" fontId="6" numFmtId="0" xfId="0" applyBorder="1" applyFont="1"/>
    <xf borderId="24" fillId="0" fontId="6" numFmtId="0" xfId="0" applyBorder="1" applyFont="1"/>
    <xf borderId="3" fillId="7" fontId="4" numFmtId="0" xfId="0" applyAlignment="1" applyBorder="1" applyFill="1" applyFont="1">
      <alignment horizontal="center" readingOrder="0" shrinkToFit="0" vertical="center" wrapText="1"/>
    </xf>
    <xf borderId="3" fillId="7" fontId="4" numFmtId="0" xfId="0" applyAlignment="1" applyBorder="1" applyFill="1" applyFont="1">
      <alignment horizontal="center" shrinkToFit="0" vertical="center" wrapText="1"/>
    </xf>
    <xf borderId="1" fillId="12" fontId="1" numFmtId="0" xfId="0" applyAlignment="1" applyBorder="1" applyFill="1" applyFont="1">
      <alignment horizontal="center" shrinkToFit="0" vertical="center" wrapText="1"/>
    </xf>
    <xf borderId="25" fillId="0" fontId="6" numFmtId="0" xfId="0" applyBorder="1" applyFont="1"/>
    <xf borderId="26" fillId="0" fontId="6" numFmtId="0" xfId="0" applyBorder="1" applyFont="1"/>
    <xf borderId="3" fillId="8" fontId="4" numFmtId="0" xfId="0" applyAlignment="1" applyBorder="1" applyFill="1" applyFont="1">
      <alignment horizontal="center" readingOrder="0" shrinkToFit="0" vertical="center" wrapText="1"/>
    </xf>
    <xf borderId="3" fillId="8" fontId="4" numFmtId="0" xfId="0" applyAlignment="1" applyBorder="1" applyFill="1" applyFont="1">
      <alignment horizontal="center" shrinkToFit="0" vertical="center" wrapText="1"/>
    </xf>
    <xf borderId="27" fillId="0" fontId="6" numFmtId="0" xfId="0" applyBorder="1" applyFont="1"/>
    <xf borderId="28" fillId="0" fontId="6" numFmtId="0" xfId="0" applyBorder="1" applyFont="1"/>
    <xf borderId="3" fillId="9" fontId="4" numFmtId="0" xfId="0" applyAlignment="1" applyBorder="1" applyFill="1" applyFont="1">
      <alignment horizontal="center" shrinkToFit="0" vertical="center" wrapText="1"/>
    </xf>
    <xf borderId="3" fillId="10" fontId="4" numFmtId="0" xfId="0" applyAlignment="1" applyBorder="1" applyFill="1" applyFont="1">
      <alignment horizontal="center" shrinkToFit="0" vertical="center" wrapText="1"/>
    </xf>
    <xf borderId="3" fillId="11" fontId="4" numFmtId="0" xfId="0" applyAlignment="1" applyBorder="1" applyFill="1" applyFont="1">
      <alignment horizontal="center" shrinkToFit="0" vertical="center" wrapText="1"/>
    </xf>
    <xf borderId="3" fillId="0" fontId="7" numFmtId="0" xfId="0" applyBorder="1" applyFont="1"/>
    <xf borderId="17" fillId="0" fontId="7" numFmtId="0" xfId="0" applyBorder="1" applyFont="1"/>
    <xf borderId="3" fillId="0" fontId="7" numFmtId="0" xfId="0" applyAlignment="1" applyBorder="1" applyFont="1">
      <alignment readingOrder="0"/>
    </xf>
    <xf borderId="28" fillId="0" fontId="8" numFmtId="0" xfId="0" applyAlignment="1" applyBorder="1" applyFont="1">
      <alignment horizontal="right" readingOrder="0" shrinkToFit="0" wrapText="0"/>
    </xf>
    <xf borderId="29" fillId="0" fontId="7" numFmtId="2" xfId="0" applyBorder="1" applyFont="1" applyNumberFormat="1"/>
    <xf borderId="23" fillId="0" fontId="9" numFmtId="0" xfId="0" applyAlignment="1" applyBorder="1" applyFont="1">
      <alignment horizontal="center" readingOrder="0" shrinkToFit="0" wrapText="0"/>
    </xf>
    <xf borderId="23" fillId="0" fontId="10" numFmtId="0" xfId="0" applyAlignment="1" applyBorder="1" applyFont="1">
      <alignment horizontal="center" readingOrder="0" shrinkToFit="0" vertical="bottom" wrapText="0"/>
    </xf>
    <xf borderId="19" fillId="0" fontId="7" numFmtId="0" xfId="0" applyBorder="1" applyFont="1"/>
    <xf borderId="18" fillId="0" fontId="7" numFmtId="2" xfId="0" applyBorder="1" applyFont="1" applyNumberFormat="1"/>
    <xf borderId="3" fillId="0" fontId="8" numFmtId="0" xfId="0" applyAlignment="1" applyBorder="1" applyFont="1">
      <alignment horizontal="right" readingOrder="0" shrinkToFit="0" vertical="bottom" wrapText="0"/>
    </xf>
    <xf borderId="18" fillId="0" fontId="8" numFmtId="2" xfId="0" applyAlignment="1" applyBorder="1" applyFont="1" applyNumberFormat="1">
      <alignment horizontal="right" readingOrder="0" shrinkToFit="0" vertical="bottom" wrapText="0"/>
    </xf>
    <xf borderId="29" fillId="0" fontId="8" numFmtId="2" xfId="0" applyAlignment="1" applyBorder="1" applyFont="1" applyNumberFormat="1">
      <alignment horizontal="right" readingOrder="0" shrinkToFit="0" vertical="bottom" wrapText="0"/>
    </xf>
    <xf borderId="17" fillId="0" fontId="8" numFmtId="2" xfId="0" applyAlignment="1" applyBorder="1" applyFont="1" applyNumberFormat="1">
      <alignment horizontal="right" readingOrder="0" shrinkToFit="0" vertical="bottom" wrapText="0"/>
    </xf>
    <xf borderId="3" fillId="0" fontId="11" numFmtId="1" xfId="0" applyAlignment="1" applyBorder="1" applyFont="1" applyNumberFormat="1">
      <alignment horizontal="center" readingOrder="0"/>
    </xf>
    <xf borderId="29" fillId="0" fontId="11" numFmtId="2" xfId="0" applyAlignment="1" applyBorder="1" applyFont="1" applyNumberFormat="1">
      <alignment horizontal="center"/>
    </xf>
    <xf borderId="3" fillId="0" fontId="10" numFmtId="0" xfId="0" applyAlignment="1" applyBorder="1" applyFont="1">
      <alignment horizontal="center" readingOrder="0" shrinkToFit="0" vertical="bottom" wrapText="0"/>
    </xf>
    <xf borderId="1" fillId="13" fontId="1" numFmtId="0" xfId="0" applyAlignment="1" applyBorder="1" applyFill="1" applyFont="1">
      <alignment horizontal="center" shrinkToFit="0" vertical="center" wrapText="1"/>
    </xf>
    <xf borderId="3" fillId="14" fontId="11" numFmtId="1" xfId="0" applyAlignment="1" applyBorder="1" applyFill="1" applyFont="1" applyNumberFormat="1">
      <alignment horizontal="center" readingOrder="0"/>
    </xf>
    <xf borderId="1" fillId="15" fontId="1" numFmtId="0" xfId="0" applyAlignment="1" applyBorder="1" applyFill="1" applyFont="1">
      <alignment horizontal="center" shrinkToFit="0" vertical="center" wrapText="1"/>
    </xf>
    <xf borderId="1" fillId="16" fontId="1" numFmtId="0" xfId="0" applyAlignment="1" applyBorder="1" applyFill="1" applyFont="1">
      <alignment horizontal="center" shrinkToFit="0" vertical="center" wrapText="1"/>
    </xf>
    <xf borderId="1" fillId="17" fontId="1" numFmtId="0" xfId="0" applyAlignment="1" applyBorder="1" applyFill="1" applyFont="1">
      <alignment horizontal="center" shrinkToFit="0" vertical="center" wrapText="1"/>
    </xf>
    <xf borderId="1" fillId="18" fontId="1" numFmtId="0" xfId="0" applyAlignment="1" applyBorder="1" applyFill="1" applyFont="1">
      <alignment horizontal="center" shrinkToFit="0" vertical="center" wrapText="1"/>
    </xf>
    <xf borderId="1" fillId="19" fontId="1" numFmtId="0" xfId="0" applyAlignment="1" applyBorder="1" applyFill="1" applyFont="1">
      <alignment horizontal="center" shrinkToFit="0" vertical="center" wrapText="1"/>
    </xf>
    <xf borderId="3" fillId="0" fontId="12" numFmtId="1" xfId="0" applyAlignment="1" applyBorder="1" applyFont="1" applyNumberFormat="1">
      <alignment horizontal="center" readingOrder="0"/>
    </xf>
    <xf borderId="3" fillId="20" fontId="12" numFmtId="1" xfId="0" applyAlignment="1" applyBorder="1" applyFill="1" applyFont="1" applyNumberFormat="1">
      <alignment horizontal="center" readingOrder="0"/>
    </xf>
    <xf borderId="1" fillId="21" fontId="1" numFmtId="0" xfId="0" applyAlignment="1" applyBorder="1" applyFill="1" applyFont="1">
      <alignment horizontal="center" shrinkToFit="0" vertical="center" wrapText="1"/>
    </xf>
    <xf borderId="1" fillId="22" fontId="1" numFmtId="0" xfId="0" applyAlignment="1" applyBorder="1" applyFill="1" applyFont="1">
      <alignment horizontal="center" shrinkToFit="0" vertical="center" wrapText="1"/>
    </xf>
    <xf borderId="1" fillId="23" fontId="1" numFmtId="0" xfId="0" applyAlignment="1" applyBorder="1" applyFill="1" applyFont="1">
      <alignment horizontal="center" shrinkToFit="0" vertical="center" wrapText="1"/>
    </xf>
    <xf borderId="1" fillId="24" fontId="1" numFmtId="0" xfId="0" applyAlignment="1" applyBorder="1" applyFill="1" applyFont="1">
      <alignment horizontal="center" shrinkToFit="0" vertical="center" wrapText="1"/>
    </xf>
    <xf borderId="3" fillId="25" fontId="11" numFmtId="1" xfId="0" applyAlignment="1" applyBorder="1" applyFill="1" applyFont="1" applyNumberFormat="1">
      <alignment horizontal="center" readingOrder="0"/>
    </xf>
    <xf borderId="28" fillId="0" fontId="8" numFmtId="0" xfId="0" applyAlignment="1" applyBorder="1" applyFont="1">
      <alignment horizontal="right" shrinkToFit="0" wrapText="0"/>
    </xf>
    <xf borderId="29" fillId="0" fontId="7" numFmtId="0" xfId="0" applyBorder="1" applyFont="1"/>
    <xf borderId="3" fillId="0" fontId="9" numFmtId="0" xfId="0" applyAlignment="1" applyBorder="1" applyFont="1">
      <alignment horizontal="center" readingOrder="0" shrinkToFit="0" vertical="bottom" wrapText="0"/>
    </xf>
    <xf borderId="15" fillId="0" fontId="9" numFmtId="0" xfId="0" applyAlignment="1" applyBorder="1" applyFont="1">
      <alignment horizontal="center" readingOrder="0" shrinkToFit="0" wrapText="0"/>
    </xf>
    <xf borderId="15" fillId="0" fontId="10" numFmtId="0" xfId="0" applyAlignment="1" applyBorder="1" applyFont="1">
      <alignment horizontal="center" readingOrder="0" shrinkToFit="0" vertical="bottom" wrapText="0"/>
    </xf>
    <xf borderId="4" fillId="0" fontId="7" numFmtId="0" xfId="0" applyBorder="1" applyFont="1"/>
    <xf borderId="5" fillId="0" fontId="7" numFmtId="0" xfId="0" applyBorder="1" applyFont="1"/>
    <xf borderId="30" fillId="0" fontId="7" numFmtId="0" xfId="0" applyBorder="1" applyFont="1"/>
    <xf borderId="31" fillId="0" fontId="8" numFmtId="0" xfId="0" applyAlignment="1" applyBorder="1" applyFont="1">
      <alignment horizontal="right" shrinkToFit="0" wrapText="0"/>
    </xf>
    <xf borderId="32" fillId="0" fontId="7" numFmtId="0" xfId="0" applyBorder="1" applyFont="1"/>
    <xf borderId="33" fillId="0" fontId="7" numFmtId="2" xfId="0" applyBorder="1" applyFont="1" applyNumberFormat="1"/>
    <xf borderId="34" fillId="0" fontId="7" numFmtId="0" xfId="0" applyBorder="1" applyFont="1"/>
    <xf borderId="35" fillId="0" fontId="7" numFmtId="0" xfId="0" applyBorder="1" applyFont="1"/>
    <xf borderId="36" fillId="0" fontId="7" numFmtId="0" xfId="0" applyBorder="1" applyFont="1"/>
    <xf borderId="31" fillId="0" fontId="8" numFmtId="2" xfId="0" applyAlignment="1" applyBorder="1" applyFont="1" applyNumberFormat="1">
      <alignment horizontal="right" readingOrder="0" shrinkToFit="0" vertical="bottom" wrapText="0"/>
    </xf>
    <xf borderId="37" fillId="0" fontId="8" numFmtId="2" xfId="0" applyAlignment="1" applyBorder="1" applyFont="1" applyNumberFormat="1">
      <alignment horizontal="right" readingOrder="0" shrinkToFit="0" vertical="bottom" wrapText="0"/>
    </xf>
    <xf borderId="32" fillId="0" fontId="8" numFmtId="2" xfId="0" applyAlignment="1" applyBorder="1" applyFont="1" applyNumberFormat="1">
      <alignment horizontal="right" readingOrder="0" shrinkToFit="0" vertical="bottom" wrapText="0"/>
    </xf>
    <xf borderId="30" fillId="0" fontId="7" numFmtId="0" xfId="0" applyAlignment="1" applyBorder="1" applyFont="1">
      <alignment readingOrder="0"/>
    </xf>
    <xf borderId="30" fillId="0" fontId="11" numFmtId="1" xfId="0" applyAlignment="1" applyBorder="1" applyFont="1" applyNumberFormat="1">
      <alignment horizontal="center" readingOrder="0"/>
    </xf>
    <xf borderId="33" fillId="0" fontId="11" numFmtId="2" xfId="0" applyAlignment="1" applyBorder="1" applyFont="1" applyNumberFormat="1">
      <alignment horizontal="center"/>
    </xf>
    <xf borderId="38" fillId="0" fontId="4" numFmtId="0" xfId="0" applyBorder="1" applyFont="1"/>
    <xf borderId="39" fillId="0" fontId="7" numFmtId="0" xfId="0" applyBorder="1" applyFont="1"/>
    <xf borderId="40" fillId="0" fontId="7" numFmtId="0" xfId="0" applyBorder="1" applyFont="1"/>
    <xf borderId="41" fillId="0" fontId="7" numFmtId="0" xfId="0" applyBorder="1" applyFont="1"/>
    <xf borderId="38" fillId="0" fontId="7" numFmtId="0" xfId="0" applyBorder="1" applyFont="1"/>
    <xf borderId="42" fillId="0" fontId="7" numFmtId="0" xfId="0" applyBorder="1" applyFont="1"/>
    <xf borderId="43" fillId="0" fontId="7" numFmtId="0" xfId="0" applyBorder="1" applyFont="1"/>
    <xf borderId="44" fillId="0" fontId="8" numFmtId="2" xfId="0" applyAlignment="1" applyBorder="1" applyFont="1" applyNumberFormat="1">
      <alignment horizontal="right" readingOrder="0" shrinkToFit="0" vertical="bottom" wrapText="0"/>
    </xf>
    <xf borderId="45" fillId="0" fontId="8" numFmtId="2" xfId="0" applyAlignment="1" applyBorder="1" applyFont="1" applyNumberFormat="1">
      <alignment horizontal="right" readingOrder="0" shrinkToFit="0" vertical="bottom" wrapText="0"/>
    </xf>
    <xf borderId="46" fillId="0" fontId="7" numFmtId="0" xfId="0" applyBorder="1" applyFont="1"/>
    <xf borderId="42" fillId="0" fontId="8" numFmtId="2" xfId="0" applyAlignment="1" applyBorder="1" applyFont="1" applyNumberFormat="1">
      <alignment horizontal="right" readingOrder="0" shrinkToFit="0" vertical="bottom" wrapText="0"/>
    </xf>
    <xf borderId="31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6.0" topLeftCell="E7" activePane="bottomRight" state="frozen"/>
      <selection activeCell="E1" sqref="E1" pane="topRight"/>
      <selection activeCell="A7" sqref="A7" pane="bottomLeft"/>
      <selection activeCell="E7" sqref="E7" pane="bottomRight"/>
    </sheetView>
  </sheetViews>
  <sheetFormatPr customHeight="1" defaultColWidth="12.63" defaultRowHeight="15.0"/>
  <cols>
    <col customWidth="1" min="1" max="1" width="4.38"/>
    <col customWidth="1" min="2" max="2" width="10.5"/>
    <col customWidth="1" min="3" max="3" width="30.63"/>
    <col customWidth="1" min="4" max="4" width="8.75"/>
    <col customWidth="1" min="5" max="21" width="12.25"/>
    <col customWidth="1" min="22" max="22" width="9.0"/>
    <col customWidth="1" min="23" max="38" width="12.25"/>
    <col customWidth="1" min="39" max="39" width="9.38"/>
    <col customWidth="1" min="40" max="62" width="12.25"/>
    <col customWidth="1" min="63" max="63" width="8.88"/>
    <col customWidth="1" min="64" max="89" width="12.25"/>
    <col customWidth="1" min="90" max="90" width="8.13"/>
    <col customWidth="1" min="91" max="116" width="12.25"/>
    <col customWidth="1" min="117" max="117" width="8.88"/>
    <col customWidth="1" min="118" max="118" width="12.25"/>
  </cols>
  <sheetData>
    <row r="1">
      <c r="BK1" s="12"/>
      <c r="BL1" s="12"/>
      <c r="CL1" s="12"/>
      <c r="CM1" s="12"/>
    </row>
    <row r="2">
      <c r="BK2" s="12"/>
      <c r="BL2" s="12"/>
      <c r="CL2" s="12"/>
      <c r="CM2" s="12"/>
    </row>
    <row r="3">
      <c r="BK3" s="12"/>
      <c r="BL3" s="12"/>
      <c r="CL3" s="12"/>
      <c r="CM3" s="12"/>
    </row>
    <row r="4">
      <c r="A4" s="14" t="s">
        <v>0</v>
      </c>
      <c r="B4" s="14" t="s">
        <v>83</v>
      </c>
      <c r="C4" s="14" t="s">
        <v>98</v>
      </c>
      <c r="D4" s="15" t="s">
        <v>3</v>
      </c>
      <c r="E4" s="16">
        <v>2022.0</v>
      </c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8"/>
      <c r="T4" s="19" t="s">
        <v>124</v>
      </c>
      <c r="U4" s="20" t="s">
        <v>130</v>
      </c>
      <c r="V4" s="21" t="s">
        <v>135</v>
      </c>
      <c r="W4" s="22">
        <v>2023.0</v>
      </c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8"/>
      <c r="AK4" s="23" t="s">
        <v>124</v>
      </c>
      <c r="AL4" s="24" t="s">
        <v>130</v>
      </c>
      <c r="AM4" s="25" t="s">
        <v>135</v>
      </c>
      <c r="AN4" s="26" t="s">
        <v>159</v>
      </c>
      <c r="AO4" s="27">
        <v>2024.0</v>
      </c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8"/>
      <c r="BI4" s="28" t="s">
        <v>124</v>
      </c>
      <c r="BJ4" s="29" t="s">
        <v>130</v>
      </c>
      <c r="BK4" s="30" t="s">
        <v>135</v>
      </c>
      <c r="BL4" s="31" t="s">
        <v>180</v>
      </c>
      <c r="BM4" s="32">
        <v>2025.0</v>
      </c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8"/>
      <c r="CJ4" s="33" t="s">
        <v>124</v>
      </c>
      <c r="CK4" s="34" t="s">
        <v>130</v>
      </c>
      <c r="CL4" s="35" t="s">
        <v>135</v>
      </c>
      <c r="CM4" s="36" t="s">
        <v>196</v>
      </c>
      <c r="CN4" s="37">
        <v>2026.0</v>
      </c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8"/>
      <c r="DK4" s="38" t="s">
        <v>124</v>
      </c>
      <c r="DL4" s="39" t="s">
        <v>130</v>
      </c>
      <c r="DM4" s="40" t="s">
        <v>135</v>
      </c>
      <c r="DN4" s="41" t="s">
        <v>221</v>
      </c>
    </row>
    <row r="5">
      <c r="A5" s="42"/>
      <c r="B5" s="42"/>
      <c r="C5" s="42"/>
      <c r="D5" s="43"/>
      <c r="E5" s="44" t="s">
        <v>224</v>
      </c>
      <c r="F5" s="45"/>
      <c r="G5" s="45"/>
      <c r="H5" s="45"/>
      <c r="I5" s="46"/>
      <c r="J5" s="44" t="s">
        <v>227</v>
      </c>
      <c r="K5" s="45"/>
      <c r="L5" s="45"/>
      <c r="M5" s="45"/>
      <c r="N5" s="46"/>
      <c r="O5" s="44" t="s">
        <v>230</v>
      </c>
      <c r="P5" s="45"/>
      <c r="Q5" s="45"/>
      <c r="R5" s="45"/>
      <c r="S5" s="46"/>
      <c r="T5" s="47"/>
      <c r="U5" s="42"/>
      <c r="V5" s="48"/>
      <c r="W5" s="49" t="s">
        <v>231</v>
      </c>
      <c r="X5" s="45"/>
      <c r="Y5" s="45"/>
      <c r="Z5" s="45"/>
      <c r="AA5" s="46"/>
      <c r="AB5" s="49" t="s">
        <v>232</v>
      </c>
      <c r="AC5" s="45"/>
      <c r="AD5" s="45"/>
      <c r="AE5" s="45"/>
      <c r="AF5" s="46"/>
      <c r="AG5" s="50" t="s">
        <v>230</v>
      </c>
      <c r="AH5" s="45"/>
      <c r="AI5" s="45"/>
      <c r="AJ5" s="46"/>
      <c r="AK5" s="42"/>
      <c r="AL5" s="51"/>
      <c r="AN5" s="48"/>
      <c r="AO5" s="52" t="s">
        <v>231</v>
      </c>
      <c r="AP5" s="45"/>
      <c r="AQ5" s="45"/>
      <c r="AR5" s="46"/>
      <c r="AS5" s="52" t="s">
        <v>232</v>
      </c>
      <c r="AT5" s="45"/>
      <c r="AU5" s="45"/>
      <c r="AV5" s="46"/>
      <c r="AW5" s="52" t="s">
        <v>230</v>
      </c>
      <c r="AX5" s="45"/>
      <c r="AY5" s="45"/>
      <c r="AZ5" s="46"/>
      <c r="BA5" s="52" t="s">
        <v>236</v>
      </c>
      <c r="BB5" s="45"/>
      <c r="BC5" s="45"/>
      <c r="BD5" s="46"/>
      <c r="BE5" s="52" t="s">
        <v>237</v>
      </c>
      <c r="BF5" s="46"/>
      <c r="BG5" s="52" t="s">
        <v>238</v>
      </c>
      <c r="BH5" s="46"/>
      <c r="BI5" s="42"/>
      <c r="BJ5" s="42"/>
      <c r="BL5" s="48"/>
      <c r="BM5" s="53" t="s">
        <v>231</v>
      </c>
      <c r="BN5" s="45"/>
      <c r="BO5" s="45"/>
      <c r="BP5" s="46"/>
      <c r="BQ5" s="53" t="s">
        <v>232</v>
      </c>
      <c r="BR5" s="45"/>
      <c r="BS5" s="45"/>
      <c r="BT5" s="46"/>
      <c r="BU5" s="53" t="s">
        <v>230</v>
      </c>
      <c r="BV5" s="45"/>
      <c r="BW5" s="45"/>
      <c r="BX5" s="46"/>
      <c r="BY5" s="53" t="s">
        <v>236</v>
      </c>
      <c r="BZ5" s="45"/>
      <c r="CA5" s="45"/>
      <c r="CB5" s="46"/>
      <c r="CC5" s="53" t="s">
        <v>241</v>
      </c>
      <c r="CD5" s="45"/>
      <c r="CE5" s="45"/>
      <c r="CF5" s="46"/>
      <c r="CG5" s="53" t="s">
        <v>238</v>
      </c>
      <c r="CH5" s="45"/>
      <c r="CI5" s="46"/>
      <c r="CJ5" s="42"/>
      <c r="CK5" s="42"/>
      <c r="CM5" s="43"/>
      <c r="CN5" s="54" t="s">
        <v>231</v>
      </c>
      <c r="CO5" s="45"/>
      <c r="CP5" s="45"/>
      <c r="CQ5" s="46"/>
      <c r="CR5" s="54" t="s">
        <v>232</v>
      </c>
      <c r="CS5" s="45"/>
      <c r="CT5" s="45"/>
      <c r="CU5" s="46"/>
      <c r="CV5" s="54" t="s">
        <v>230</v>
      </c>
      <c r="CW5" s="45"/>
      <c r="CX5" s="45"/>
      <c r="CY5" s="46"/>
      <c r="CZ5" s="54" t="s">
        <v>236</v>
      </c>
      <c r="DA5" s="45"/>
      <c r="DB5" s="45"/>
      <c r="DC5" s="46"/>
      <c r="DD5" s="54" t="s">
        <v>241</v>
      </c>
      <c r="DE5" s="45"/>
      <c r="DF5" s="45"/>
      <c r="DG5" s="46"/>
      <c r="DH5" s="54" t="s">
        <v>238</v>
      </c>
      <c r="DI5" s="45"/>
      <c r="DJ5" s="46"/>
      <c r="DK5" s="42"/>
      <c r="DL5" s="42"/>
      <c r="DN5" s="48"/>
    </row>
    <row r="6">
      <c r="A6" s="55"/>
      <c r="B6" s="55"/>
      <c r="C6" s="55"/>
      <c r="D6" s="56"/>
      <c r="E6" s="57" t="s">
        <v>242</v>
      </c>
      <c r="F6" s="58" t="s">
        <v>243</v>
      </c>
      <c r="G6" s="58" t="s">
        <v>244</v>
      </c>
      <c r="H6" s="58" t="s">
        <v>246</v>
      </c>
      <c r="I6" s="58" t="s">
        <v>247</v>
      </c>
      <c r="J6" s="57" t="s">
        <v>242</v>
      </c>
      <c r="K6" s="58" t="s">
        <v>243</v>
      </c>
      <c r="L6" s="58" t="s">
        <v>244</v>
      </c>
      <c r="M6" s="58" t="s">
        <v>246</v>
      </c>
      <c r="N6" s="58" t="s">
        <v>247</v>
      </c>
      <c r="O6" s="57" t="s">
        <v>242</v>
      </c>
      <c r="P6" s="58" t="s">
        <v>243</v>
      </c>
      <c r="Q6" s="58" t="s">
        <v>244</v>
      </c>
      <c r="R6" s="58" t="s">
        <v>246</v>
      </c>
      <c r="S6" s="44" t="s">
        <v>247</v>
      </c>
      <c r="T6" s="60"/>
      <c r="U6" s="55"/>
      <c r="V6" s="61"/>
      <c r="W6" s="62" t="s">
        <v>242</v>
      </c>
      <c r="X6" s="63" t="s">
        <v>243</v>
      </c>
      <c r="Y6" s="63" t="s">
        <v>244</v>
      </c>
      <c r="Z6" s="63" t="s">
        <v>246</v>
      </c>
      <c r="AA6" s="63" t="s">
        <v>247</v>
      </c>
      <c r="AB6" s="62" t="s">
        <v>242</v>
      </c>
      <c r="AC6" s="63" t="s">
        <v>243</v>
      </c>
      <c r="AD6" s="63" t="s">
        <v>244</v>
      </c>
      <c r="AE6" s="63" t="s">
        <v>246</v>
      </c>
      <c r="AF6" s="63" t="s">
        <v>247</v>
      </c>
      <c r="AG6" s="63" t="s">
        <v>243</v>
      </c>
      <c r="AH6" s="63" t="s">
        <v>244</v>
      </c>
      <c r="AI6" s="63" t="s">
        <v>246</v>
      </c>
      <c r="AJ6" s="63" t="s">
        <v>247</v>
      </c>
      <c r="AK6" s="55"/>
      <c r="AL6" s="64"/>
      <c r="AM6" s="65"/>
      <c r="AN6" s="61"/>
      <c r="AO6" s="66" t="s">
        <v>243</v>
      </c>
      <c r="AP6" s="66" t="s">
        <v>244</v>
      </c>
      <c r="AQ6" s="66" t="s">
        <v>246</v>
      </c>
      <c r="AR6" s="66" t="s">
        <v>247</v>
      </c>
      <c r="AS6" s="66" t="s">
        <v>243</v>
      </c>
      <c r="AT6" s="66" t="s">
        <v>244</v>
      </c>
      <c r="AU6" s="66" t="s">
        <v>246</v>
      </c>
      <c r="AV6" s="66" t="s">
        <v>247</v>
      </c>
      <c r="AW6" s="66" t="s">
        <v>243</v>
      </c>
      <c r="AX6" s="66" t="s">
        <v>244</v>
      </c>
      <c r="AY6" s="66" t="s">
        <v>246</v>
      </c>
      <c r="AZ6" s="66" t="s">
        <v>247</v>
      </c>
      <c r="BA6" s="66" t="s">
        <v>243</v>
      </c>
      <c r="BB6" s="66" t="s">
        <v>244</v>
      </c>
      <c r="BC6" s="66" t="s">
        <v>246</v>
      </c>
      <c r="BD6" s="66" t="s">
        <v>247</v>
      </c>
      <c r="BE6" s="66" t="s">
        <v>244</v>
      </c>
      <c r="BF6" s="66" t="s">
        <v>246</v>
      </c>
      <c r="BG6" s="66" t="s">
        <v>244</v>
      </c>
      <c r="BH6" s="66" t="s">
        <v>246</v>
      </c>
      <c r="BI6" s="55"/>
      <c r="BJ6" s="55"/>
      <c r="BK6" s="65"/>
      <c r="BL6" s="61"/>
      <c r="BM6" s="67" t="s">
        <v>243</v>
      </c>
      <c r="BN6" s="67" t="s">
        <v>244</v>
      </c>
      <c r="BO6" s="67" t="s">
        <v>246</v>
      </c>
      <c r="BP6" s="67" t="s">
        <v>247</v>
      </c>
      <c r="BQ6" s="67" t="s">
        <v>243</v>
      </c>
      <c r="BR6" s="67" t="s">
        <v>244</v>
      </c>
      <c r="BS6" s="67" t="s">
        <v>246</v>
      </c>
      <c r="BT6" s="67" t="s">
        <v>247</v>
      </c>
      <c r="BU6" s="67" t="s">
        <v>243</v>
      </c>
      <c r="BV6" s="67" t="s">
        <v>244</v>
      </c>
      <c r="BW6" s="67" t="s">
        <v>246</v>
      </c>
      <c r="BX6" s="67" t="s">
        <v>247</v>
      </c>
      <c r="BY6" s="67" t="s">
        <v>243</v>
      </c>
      <c r="BZ6" s="67" t="s">
        <v>244</v>
      </c>
      <c r="CA6" s="67" t="s">
        <v>246</v>
      </c>
      <c r="CB6" s="67" t="s">
        <v>247</v>
      </c>
      <c r="CC6" s="67" t="s">
        <v>243</v>
      </c>
      <c r="CD6" s="67" t="s">
        <v>244</v>
      </c>
      <c r="CE6" s="67" t="s">
        <v>246</v>
      </c>
      <c r="CF6" s="67" t="s">
        <v>247</v>
      </c>
      <c r="CG6" s="67" t="s">
        <v>244</v>
      </c>
      <c r="CH6" s="67" t="s">
        <v>246</v>
      </c>
      <c r="CI6" s="67" t="s">
        <v>247</v>
      </c>
      <c r="CJ6" s="55"/>
      <c r="CK6" s="55"/>
      <c r="CL6" s="65"/>
      <c r="CM6" s="56"/>
      <c r="CN6" s="68" t="s">
        <v>243</v>
      </c>
      <c r="CO6" s="68" t="s">
        <v>244</v>
      </c>
      <c r="CP6" s="68" t="s">
        <v>246</v>
      </c>
      <c r="CQ6" s="68" t="s">
        <v>247</v>
      </c>
      <c r="CR6" s="68" t="s">
        <v>243</v>
      </c>
      <c r="CS6" s="68" t="s">
        <v>244</v>
      </c>
      <c r="CT6" s="68" t="s">
        <v>246</v>
      </c>
      <c r="CU6" s="68" t="s">
        <v>247</v>
      </c>
      <c r="CV6" s="68" t="s">
        <v>243</v>
      </c>
      <c r="CW6" s="68" t="s">
        <v>244</v>
      </c>
      <c r="CX6" s="68" t="s">
        <v>246</v>
      </c>
      <c r="CY6" s="68" t="s">
        <v>247</v>
      </c>
      <c r="CZ6" s="68" t="s">
        <v>243</v>
      </c>
      <c r="DA6" s="68" t="s">
        <v>244</v>
      </c>
      <c r="DB6" s="68" t="s">
        <v>246</v>
      </c>
      <c r="DC6" s="68" t="s">
        <v>247</v>
      </c>
      <c r="DD6" s="68" t="s">
        <v>243</v>
      </c>
      <c r="DE6" s="68" t="s">
        <v>244</v>
      </c>
      <c r="DF6" s="68" t="s">
        <v>246</v>
      </c>
      <c r="DG6" s="68" t="s">
        <v>247</v>
      </c>
      <c r="DH6" s="68" t="s">
        <v>244</v>
      </c>
      <c r="DI6" s="68" t="s">
        <v>246</v>
      </c>
      <c r="DJ6" s="54" t="s">
        <v>247</v>
      </c>
      <c r="DK6" s="55"/>
      <c r="DL6" s="55"/>
      <c r="DM6" s="65"/>
      <c r="DN6" s="61"/>
    </row>
    <row r="7">
      <c r="A7" s="69">
        <v>1.0</v>
      </c>
      <c r="B7" s="69" t="s">
        <v>254</v>
      </c>
      <c r="C7" s="69" t="s">
        <v>255</v>
      </c>
      <c r="D7" s="70" t="s">
        <v>15</v>
      </c>
      <c r="E7" s="71">
        <v>389.0</v>
      </c>
      <c r="F7" s="69">
        <v>55.0</v>
      </c>
      <c r="G7" s="69">
        <v>70.0</v>
      </c>
      <c r="H7" s="69">
        <v>65.0</v>
      </c>
      <c r="I7" s="69">
        <v>-10.0</v>
      </c>
      <c r="J7" s="72">
        <v>689.0</v>
      </c>
      <c r="K7" s="69">
        <v>99.0</v>
      </c>
      <c r="L7" s="69">
        <v>99.0</v>
      </c>
      <c r="M7" s="69">
        <v>86.0</v>
      </c>
      <c r="N7" s="69">
        <v>5.0</v>
      </c>
      <c r="O7" s="72">
        <v>266.0</v>
      </c>
      <c r="P7" s="69">
        <v>71.0</v>
      </c>
      <c r="Q7" s="69">
        <v>76.0</v>
      </c>
      <c r="R7" s="69">
        <v>42.0</v>
      </c>
      <c r="S7" s="70">
        <v>27.0</v>
      </c>
      <c r="T7" s="69">
        <f t="shared" ref="T7:T88" si="1">SUM(O7+J7+E7)</f>
        <v>1344</v>
      </c>
      <c r="U7" s="69">
        <v>220.0</v>
      </c>
      <c r="V7" s="73">
        <f t="shared" ref="V7:V87" si="2">T7/U7</f>
        <v>6.109090909</v>
      </c>
      <c r="W7" s="74">
        <v>404.0</v>
      </c>
      <c r="X7" s="69">
        <v>50.0</v>
      </c>
      <c r="Y7" s="69">
        <v>60.0</v>
      </c>
      <c r="Z7" s="69">
        <v>53.0</v>
      </c>
      <c r="AA7" s="69">
        <v>-3.0</v>
      </c>
      <c r="AB7" s="75">
        <v>548.0</v>
      </c>
      <c r="AC7" s="69">
        <v>80.0</v>
      </c>
      <c r="AD7" s="69">
        <v>80.0</v>
      </c>
      <c r="AE7" s="69">
        <v>75.0</v>
      </c>
      <c r="AF7" s="69">
        <v>5.0</v>
      </c>
      <c r="AG7" s="69">
        <v>69.0</v>
      </c>
      <c r="AH7" s="69">
        <v>69.0</v>
      </c>
      <c r="AI7" s="69">
        <v>46.0</v>
      </c>
      <c r="AJ7" s="69">
        <v>23.0</v>
      </c>
      <c r="AK7" s="69">
        <f t="shared" ref="AK7:AK88" si="3">SUM(AB7+W7)</f>
        <v>952</v>
      </c>
      <c r="AL7" s="76">
        <v>200.0</v>
      </c>
      <c r="AM7" s="77">
        <f t="shared" ref="AM7:AM88" si="4">AK7/AL7</f>
        <v>4.76</v>
      </c>
      <c r="AN7" s="73">
        <f t="shared" ref="AN7:AN70" si="5">(AK7-T7)/T7*100</f>
        <v>-29.16666667</v>
      </c>
      <c r="AO7" s="69">
        <v>72.0</v>
      </c>
      <c r="AP7" s="69">
        <v>72.0</v>
      </c>
      <c r="AQ7" s="69">
        <v>69.0</v>
      </c>
      <c r="AR7" s="69">
        <v>3.0</v>
      </c>
      <c r="AS7" s="69">
        <v>87.0</v>
      </c>
      <c r="AT7" s="69">
        <v>87.0</v>
      </c>
      <c r="AU7" s="69">
        <v>83.0</v>
      </c>
      <c r="AV7" s="69">
        <v>4.0</v>
      </c>
      <c r="AW7" s="69">
        <v>88.0</v>
      </c>
      <c r="AX7" s="69">
        <v>89.0</v>
      </c>
      <c r="AY7" s="69">
        <v>65.0</v>
      </c>
      <c r="AZ7" s="69">
        <v>22.0</v>
      </c>
      <c r="BA7" s="69">
        <v>22.0</v>
      </c>
      <c r="BB7" s="69">
        <v>2.0</v>
      </c>
      <c r="BC7" s="69">
        <v>2.0</v>
      </c>
      <c r="BD7" s="69">
        <v>20.0</v>
      </c>
      <c r="BE7" s="69">
        <v>1.0</v>
      </c>
      <c r="BF7" s="69">
        <v>0.0</v>
      </c>
      <c r="BG7" s="69">
        <v>1.0</v>
      </c>
      <c r="BH7" s="70"/>
      <c r="BI7" s="78">
        <v>984.0</v>
      </c>
      <c r="BJ7" s="69">
        <v>240.0</v>
      </c>
      <c r="BK7" s="79">
        <f t="shared" ref="BK7:BK81" si="6">BI7/BJ7</f>
        <v>4.1</v>
      </c>
      <c r="BL7" s="80">
        <f t="shared" ref="BL7:BL83" si="7">(BI7-AK7)/AK7*100</f>
        <v>3.361344538</v>
      </c>
      <c r="BM7" s="69">
        <v>72.0</v>
      </c>
      <c r="BN7" s="69">
        <v>72.0</v>
      </c>
      <c r="BO7" s="69">
        <v>64.0</v>
      </c>
      <c r="BP7" s="69">
        <v>8.0</v>
      </c>
      <c r="BQ7" s="69">
        <v>92.0</v>
      </c>
      <c r="BR7" s="69">
        <v>92.0</v>
      </c>
      <c r="BS7" s="69">
        <v>83.0</v>
      </c>
      <c r="BT7" s="69">
        <v>9.0</v>
      </c>
      <c r="BU7" s="69">
        <v>93.0</v>
      </c>
      <c r="BV7" s="69">
        <v>89.0</v>
      </c>
      <c r="BW7" s="69">
        <v>65.0</v>
      </c>
      <c r="BX7" s="69">
        <v>24.0</v>
      </c>
      <c r="BY7" s="69">
        <v>24.0</v>
      </c>
      <c r="BZ7" s="69">
        <v>4.0</v>
      </c>
      <c r="CA7" s="69">
        <v>4.0</v>
      </c>
      <c r="CB7" s="69">
        <v>20.0</v>
      </c>
      <c r="CC7" s="69">
        <v>23.0</v>
      </c>
      <c r="CD7" s="69">
        <v>17.0</v>
      </c>
      <c r="CE7" s="69">
        <v>10.0</v>
      </c>
      <c r="CF7" s="69">
        <v>13.0</v>
      </c>
      <c r="CG7" s="69">
        <v>2.0</v>
      </c>
      <c r="CH7" s="69">
        <v>1.0</v>
      </c>
      <c r="CI7" s="70">
        <v>1.0</v>
      </c>
      <c r="CJ7" s="78">
        <v>1010.0</v>
      </c>
      <c r="CK7" s="69">
        <v>240.0</v>
      </c>
      <c r="CL7" s="79">
        <f t="shared" ref="CL7:CL88" si="8">CJ7/CK7</f>
        <v>4.208333333</v>
      </c>
      <c r="CM7" s="81">
        <f t="shared" ref="CM7:CM88" si="9">(CJ7-BI7)/BI7*100</f>
        <v>2.642276423</v>
      </c>
      <c r="CN7" s="69">
        <v>72.0</v>
      </c>
      <c r="CO7" s="69">
        <v>71.0</v>
      </c>
      <c r="CP7" s="69">
        <v>67.0</v>
      </c>
      <c r="CQ7" s="69">
        <v>5.0</v>
      </c>
      <c r="CR7" s="71">
        <v>89.0</v>
      </c>
      <c r="CS7" s="69">
        <v>88.0</v>
      </c>
      <c r="CT7" s="69">
        <v>80.0</v>
      </c>
      <c r="CU7" s="69">
        <v>9.0</v>
      </c>
      <c r="CV7" s="71">
        <v>90.0</v>
      </c>
      <c r="CW7" s="69">
        <v>90.0</v>
      </c>
      <c r="CX7" s="69">
        <v>68.0</v>
      </c>
      <c r="CY7" s="69">
        <v>25.0</v>
      </c>
      <c r="CZ7" s="69"/>
      <c r="DA7" s="69">
        <v>6.0</v>
      </c>
      <c r="DB7" s="69">
        <v>3.0</v>
      </c>
      <c r="DC7" s="69"/>
      <c r="DD7" s="69">
        <v>-201.0</v>
      </c>
      <c r="DE7" s="69">
        <v>9.0</v>
      </c>
      <c r="DF7" s="69">
        <v>6.0</v>
      </c>
      <c r="DG7" s="69"/>
      <c r="DH7" s="69">
        <v>0.0</v>
      </c>
      <c r="DI7" s="69">
        <v>0.0</v>
      </c>
      <c r="DJ7" s="70"/>
      <c r="DK7" s="82">
        <v>897.0</v>
      </c>
      <c r="DL7" s="69">
        <v>240.0</v>
      </c>
      <c r="DM7" s="77">
        <f t="shared" ref="DM7:DM87" si="10">DK7/DL7</f>
        <v>3.7375</v>
      </c>
      <c r="DN7" s="83">
        <f t="shared" ref="DN7:DN87" si="11">(DK7-CJ7)/CJ7*100</f>
        <v>-11.18811881</v>
      </c>
    </row>
    <row r="8">
      <c r="A8" s="69">
        <v>2.0</v>
      </c>
      <c r="B8" s="69" t="s">
        <v>256</v>
      </c>
      <c r="C8" s="69" t="s">
        <v>257</v>
      </c>
      <c r="D8" s="70" t="s">
        <v>15</v>
      </c>
      <c r="E8" s="71">
        <v>435.0</v>
      </c>
      <c r="F8" s="69">
        <v>45.0</v>
      </c>
      <c r="G8" s="69">
        <v>46.0</v>
      </c>
      <c r="H8" s="69">
        <v>45.0</v>
      </c>
      <c r="I8" s="69">
        <v>0.0</v>
      </c>
      <c r="J8" s="72">
        <v>680.0</v>
      </c>
      <c r="K8" s="69">
        <v>81.0</v>
      </c>
      <c r="L8" s="69">
        <v>82.0</v>
      </c>
      <c r="M8" s="69">
        <v>73.0</v>
      </c>
      <c r="N8" s="69">
        <v>6.0</v>
      </c>
      <c r="O8" s="72">
        <v>116.0</v>
      </c>
      <c r="P8" s="69">
        <v>60.0</v>
      </c>
      <c r="Q8" s="69">
        <v>60.0</v>
      </c>
      <c r="R8" s="69">
        <v>36.0</v>
      </c>
      <c r="S8" s="70">
        <v>26.0</v>
      </c>
      <c r="T8" s="69">
        <f t="shared" si="1"/>
        <v>1231</v>
      </c>
      <c r="U8" s="69">
        <v>180.0</v>
      </c>
      <c r="V8" s="73">
        <f t="shared" si="2"/>
        <v>6.838888889</v>
      </c>
      <c r="W8" s="74">
        <v>477.0</v>
      </c>
      <c r="X8" s="69">
        <v>54.0</v>
      </c>
      <c r="Y8" s="69">
        <v>54.0</v>
      </c>
      <c r="Z8" s="69">
        <v>53.0</v>
      </c>
      <c r="AA8" s="69">
        <v>1.0</v>
      </c>
      <c r="AB8" s="84">
        <v>587.0</v>
      </c>
      <c r="AC8" s="69">
        <v>87.0</v>
      </c>
      <c r="AD8" s="69">
        <v>87.0</v>
      </c>
      <c r="AE8" s="69">
        <v>84.0</v>
      </c>
      <c r="AF8" s="69">
        <v>3.0</v>
      </c>
      <c r="AG8" s="69">
        <v>76.0</v>
      </c>
      <c r="AH8" s="69">
        <v>71.0</v>
      </c>
      <c r="AI8" s="69">
        <v>32.0</v>
      </c>
      <c r="AJ8" s="69">
        <v>44.0</v>
      </c>
      <c r="AK8" s="69">
        <f t="shared" si="3"/>
        <v>1064</v>
      </c>
      <c r="AL8" s="76">
        <v>215.0</v>
      </c>
      <c r="AM8" s="77">
        <f t="shared" si="4"/>
        <v>4.948837209</v>
      </c>
      <c r="AN8" s="73">
        <f t="shared" si="5"/>
        <v>-13.56620634</v>
      </c>
      <c r="AO8" s="69">
        <v>84.0</v>
      </c>
      <c r="AP8" s="69">
        <v>84.0</v>
      </c>
      <c r="AQ8" s="69">
        <v>83.0</v>
      </c>
      <c r="AR8" s="69">
        <v>1.0</v>
      </c>
      <c r="AS8" s="69">
        <v>99.0</v>
      </c>
      <c r="AT8" s="69">
        <v>99.0</v>
      </c>
      <c r="AU8" s="69">
        <v>96.0</v>
      </c>
      <c r="AV8" s="69">
        <v>3.0</v>
      </c>
      <c r="AW8" s="69">
        <v>101.0</v>
      </c>
      <c r="AX8" s="69">
        <v>76.0</v>
      </c>
      <c r="AY8" s="69">
        <v>39.0</v>
      </c>
      <c r="AZ8" s="69">
        <v>60.0</v>
      </c>
      <c r="BA8" s="69">
        <v>60.0</v>
      </c>
      <c r="BB8" s="69">
        <v>5.0</v>
      </c>
      <c r="BC8" s="69">
        <v>5.0</v>
      </c>
      <c r="BD8" s="69">
        <v>55.0</v>
      </c>
      <c r="BE8" s="69">
        <v>0.0</v>
      </c>
      <c r="BF8" s="69">
        <v>0.0</v>
      </c>
      <c r="BG8" s="69"/>
      <c r="BH8" s="70"/>
      <c r="BI8" s="78">
        <v>1305.0</v>
      </c>
      <c r="BJ8" s="69">
        <v>280.0</v>
      </c>
      <c r="BK8" s="79">
        <f t="shared" si="6"/>
        <v>4.660714286</v>
      </c>
      <c r="BL8" s="80">
        <f t="shared" si="7"/>
        <v>22.65037594</v>
      </c>
      <c r="BM8" s="69">
        <v>84.0</v>
      </c>
      <c r="BN8" s="69">
        <v>84.0</v>
      </c>
      <c r="BO8" s="69">
        <v>82.0</v>
      </c>
      <c r="BP8" s="69">
        <v>2.0</v>
      </c>
      <c r="BQ8" s="69">
        <v>100.0</v>
      </c>
      <c r="BR8" s="69">
        <v>100.0</v>
      </c>
      <c r="BS8" s="69">
        <v>95.0</v>
      </c>
      <c r="BT8" s="69">
        <v>5.0</v>
      </c>
      <c r="BU8" s="69">
        <v>103.0</v>
      </c>
      <c r="BV8" s="69">
        <v>66.0</v>
      </c>
      <c r="BW8" s="69">
        <v>44.0</v>
      </c>
      <c r="BX8" s="69">
        <v>50.0</v>
      </c>
      <c r="BY8" s="69">
        <v>50.0</v>
      </c>
      <c r="BZ8" s="69">
        <v>10.0</v>
      </c>
      <c r="CA8" s="69">
        <v>9.0</v>
      </c>
      <c r="CB8" s="69">
        <v>41.0</v>
      </c>
      <c r="CC8" s="69">
        <v>50.0</v>
      </c>
      <c r="CD8" s="69">
        <v>3.0</v>
      </c>
      <c r="CE8" s="69">
        <v>2.0</v>
      </c>
      <c r="CF8" s="69">
        <v>48.0</v>
      </c>
      <c r="CG8" s="69"/>
      <c r="CH8" s="69"/>
      <c r="CI8" s="70">
        <v>0.0</v>
      </c>
      <c r="CJ8" s="78">
        <v>1409.0</v>
      </c>
      <c r="CK8" s="69">
        <v>280.0</v>
      </c>
      <c r="CL8" s="79">
        <f t="shared" si="8"/>
        <v>5.032142857</v>
      </c>
      <c r="CM8" s="81">
        <f t="shared" si="9"/>
        <v>7.969348659</v>
      </c>
      <c r="CN8" s="69">
        <v>84.0</v>
      </c>
      <c r="CO8" s="69">
        <v>82.0</v>
      </c>
      <c r="CP8" s="69">
        <v>82.0</v>
      </c>
      <c r="CQ8" s="69">
        <v>2.0</v>
      </c>
      <c r="CR8" s="71">
        <v>100.0</v>
      </c>
      <c r="CS8" s="69">
        <v>102.0</v>
      </c>
      <c r="CT8" s="69">
        <v>99.0</v>
      </c>
      <c r="CU8" s="69">
        <v>1.0</v>
      </c>
      <c r="CV8" s="71">
        <v>83.0</v>
      </c>
      <c r="CW8" s="69">
        <v>74.0</v>
      </c>
      <c r="CX8" s="69">
        <v>51.0</v>
      </c>
      <c r="CY8" s="69">
        <v>48.0</v>
      </c>
      <c r="CZ8" s="69"/>
      <c r="DA8" s="69">
        <v>37.0</v>
      </c>
      <c r="DB8" s="69">
        <v>16.0</v>
      </c>
      <c r="DC8" s="69"/>
      <c r="DD8" s="69">
        <v>-229.0</v>
      </c>
      <c r="DE8" s="69">
        <v>6.0</v>
      </c>
      <c r="DF8" s="69">
        <v>4.0</v>
      </c>
      <c r="DG8" s="69"/>
      <c r="DH8" s="69">
        <v>0.0</v>
      </c>
      <c r="DI8" s="69">
        <v>0.0</v>
      </c>
      <c r="DJ8" s="70"/>
      <c r="DK8" s="82">
        <v>1416.0</v>
      </c>
      <c r="DL8" s="69">
        <v>280.0</v>
      </c>
      <c r="DM8" s="77">
        <f t="shared" si="10"/>
        <v>5.057142857</v>
      </c>
      <c r="DN8" s="83">
        <f t="shared" si="11"/>
        <v>0.4968062456</v>
      </c>
    </row>
    <row r="9">
      <c r="A9" s="69">
        <v>3.0</v>
      </c>
      <c r="B9" s="69" t="s">
        <v>258</v>
      </c>
      <c r="C9" s="69" t="s">
        <v>259</v>
      </c>
      <c r="D9" s="70" t="s">
        <v>15</v>
      </c>
      <c r="E9" s="71">
        <v>172.0</v>
      </c>
      <c r="F9" s="69">
        <v>35.0</v>
      </c>
      <c r="G9" s="69">
        <v>35.0</v>
      </c>
      <c r="H9" s="69">
        <v>33.0</v>
      </c>
      <c r="I9" s="69">
        <v>2.0</v>
      </c>
      <c r="J9" s="72">
        <v>243.0</v>
      </c>
      <c r="K9" s="69">
        <v>66.0</v>
      </c>
      <c r="L9" s="69">
        <v>66.0</v>
      </c>
      <c r="M9" s="69">
        <v>55.0</v>
      </c>
      <c r="N9" s="69">
        <v>1.0</v>
      </c>
      <c r="O9" s="72">
        <v>27.0</v>
      </c>
      <c r="P9" s="69">
        <v>43.0</v>
      </c>
      <c r="Q9" s="69">
        <v>23.0</v>
      </c>
      <c r="R9" s="69">
        <v>8.0</v>
      </c>
      <c r="S9" s="70">
        <v>44.0</v>
      </c>
      <c r="T9" s="69">
        <f t="shared" si="1"/>
        <v>442</v>
      </c>
      <c r="U9" s="69">
        <v>140.0</v>
      </c>
      <c r="V9" s="73">
        <f t="shared" si="2"/>
        <v>3.157142857</v>
      </c>
      <c r="W9" s="74">
        <v>226.0</v>
      </c>
      <c r="X9" s="69">
        <v>30.0</v>
      </c>
      <c r="Y9" s="69">
        <v>30.0</v>
      </c>
      <c r="Z9" s="69">
        <v>27.0</v>
      </c>
      <c r="AA9" s="69">
        <v>3.0</v>
      </c>
      <c r="AB9" s="84">
        <v>231.0</v>
      </c>
      <c r="AC9" s="69">
        <v>51.0</v>
      </c>
      <c r="AD9" s="69">
        <v>51.0</v>
      </c>
      <c r="AE9" s="69">
        <v>45.0</v>
      </c>
      <c r="AF9" s="69">
        <v>6.0</v>
      </c>
      <c r="AG9" s="69">
        <v>48.0</v>
      </c>
      <c r="AH9" s="69">
        <v>25.0</v>
      </c>
      <c r="AI9" s="69">
        <v>15.0</v>
      </c>
      <c r="AJ9" s="69">
        <v>33.0</v>
      </c>
      <c r="AK9" s="69">
        <f t="shared" si="3"/>
        <v>457</v>
      </c>
      <c r="AL9" s="76">
        <v>120.0</v>
      </c>
      <c r="AM9" s="77">
        <f t="shared" si="4"/>
        <v>3.808333333</v>
      </c>
      <c r="AN9" s="73">
        <f t="shared" si="5"/>
        <v>3.393665158</v>
      </c>
      <c r="AO9" s="69">
        <v>36.0</v>
      </c>
      <c r="AP9" s="69">
        <v>36.0</v>
      </c>
      <c r="AQ9" s="69">
        <v>34.0</v>
      </c>
      <c r="AR9" s="69">
        <v>2.0</v>
      </c>
      <c r="AS9" s="69">
        <v>44.0</v>
      </c>
      <c r="AT9" s="69">
        <v>44.0</v>
      </c>
      <c r="AU9" s="69">
        <v>35.0</v>
      </c>
      <c r="AV9" s="69">
        <v>9.0</v>
      </c>
      <c r="AW9" s="69">
        <v>51.0</v>
      </c>
      <c r="AX9" s="69">
        <v>38.0</v>
      </c>
      <c r="AY9" s="69">
        <v>28.0</v>
      </c>
      <c r="AZ9" s="69">
        <v>16.0</v>
      </c>
      <c r="BA9" s="69">
        <v>16.0</v>
      </c>
      <c r="BB9" s="69">
        <v>3.0</v>
      </c>
      <c r="BC9" s="69">
        <v>3.0</v>
      </c>
      <c r="BD9" s="69">
        <v>13.0</v>
      </c>
      <c r="BE9" s="69">
        <v>0.0</v>
      </c>
      <c r="BF9" s="69">
        <v>0.0</v>
      </c>
      <c r="BG9" s="69">
        <v>1.0</v>
      </c>
      <c r="BH9" s="70">
        <v>1.0</v>
      </c>
      <c r="BI9" s="78">
        <v>550.0</v>
      </c>
      <c r="BJ9" s="69">
        <v>120.0</v>
      </c>
      <c r="BK9" s="79">
        <f t="shared" si="6"/>
        <v>4.583333333</v>
      </c>
      <c r="BL9" s="80">
        <f t="shared" si="7"/>
        <v>20.35010941</v>
      </c>
      <c r="BM9" s="69">
        <v>36.0</v>
      </c>
      <c r="BN9" s="69">
        <v>36.0</v>
      </c>
      <c r="BO9" s="69">
        <v>33.0</v>
      </c>
      <c r="BP9" s="69">
        <v>3.0</v>
      </c>
      <c r="BQ9" s="69">
        <v>45.0</v>
      </c>
      <c r="BR9" s="69">
        <v>45.0</v>
      </c>
      <c r="BS9" s="69">
        <v>42.0</v>
      </c>
      <c r="BT9" s="69">
        <v>3.0</v>
      </c>
      <c r="BU9" s="69">
        <v>45.0</v>
      </c>
      <c r="BV9" s="69">
        <v>33.0</v>
      </c>
      <c r="BW9" s="69">
        <v>22.0</v>
      </c>
      <c r="BX9" s="69">
        <v>20.0</v>
      </c>
      <c r="BY9" s="69">
        <v>20.0</v>
      </c>
      <c r="BZ9" s="69">
        <v>4.0</v>
      </c>
      <c r="CA9" s="69">
        <v>3.0</v>
      </c>
      <c r="CB9" s="69">
        <v>17.0</v>
      </c>
      <c r="CC9" s="69">
        <v>19.0</v>
      </c>
      <c r="CD9" s="69">
        <v>1.0</v>
      </c>
      <c r="CE9" s="69">
        <v>1.0</v>
      </c>
      <c r="CF9" s="69">
        <v>18.0</v>
      </c>
      <c r="CG9" s="69">
        <v>1.0</v>
      </c>
      <c r="CH9" s="69"/>
      <c r="CI9" s="70">
        <v>1.0</v>
      </c>
      <c r="CJ9" s="78">
        <v>662.0</v>
      </c>
      <c r="CK9" s="69">
        <v>120.0</v>
      </c>
      <c r="CL9" s="79">
        <f t="shared" si="8"/>
        <v>5.516666667</v>
      </c>
      <c r="CM9" s="81">
        <f t="shared" si="9"/>
        <v>20.36363636</v>
      </c>
      <c r="CN9" s="69">
        <v>36.0</v>
      </c>
      <c r="CO9" s="69">
        <v>36.0</v>
      </c>
      <c r="CP9" s="69">
        <v>34.0</v>
      </c>
      <c r="CQ9" s="69">
        <v>2.0</v>
      </c>
      <c r="CR9" s="71">
        <v>44.0</v>
      </c>
      <c r="CS9" s="69">
        <v>43.0</v>
      </c>
      <c r="CT9" s="69">
        <v>36.0</v>
      </c>
      <c r="CU9" s="69">
        <v>8.0</v>
      </c>
      <c r="CV9" s="71">
        <v>44.0</v>
      </c>
      <c r="CW9" s="69">
        <v>34.0</v>
      </c>
      <c r="CX9" s="69">
        <v>21.0</v>
      </c>
      <c r="CY9" s="69">
        <v>29.0</v>
      </c>
      <c r="CZ9" s="69"/>
      <c r="DA9" s="69">
        <v>12.0</v>
      </c>
      <c r="DB9" s="69">
        <v>6.0</v>
      </c>
      <c r="DC9" s="69"/>
      <c r="DD9" s="69">
        <v>-81.0</v>
      </c>
      <c r="DE9" s="69">
        <v>3.0</v>
      </c>
      <c r="DF9" s="69">
        <v>1.0</v>
      </c>
      <c r="DG9" s="69"/>
      <c r="DH9" s="69">
        <v>0.0</v>
      </c>
      <c r="DI9" s="69">
        <v>0.0</v>
      </c>
      <c r="DJ9" s="70"/>
      <c r="DK9" s="82">
        <v>726.0</v>
      </c>
      <c r="DL9" s="69">
        <v>120.0</v>
      </c>
      <c r="DM9" s="77">
        <f t="shared" si="10"/>
        <v>6.05</v>
      </c>
      <c r="DN9" s="83">
        <f t="shared" si="11"/>
        <v>9.667673716</v>
      </c>
    </row>
    <row r="10">
      <c r="A10" s="69">
        <v>4.0</v>
      </c>
      <c r="B10" s="69" t="s">
        <v>260</v>
      </c>
      <c r="C10" s="69" t="s">
        <v>261</v>
      </c>
      <c r="D10" s="70" t="s">
        <v>15</v>
      </c>
      <c r="E10" s="71">
        <v>174.0</v>
      </c>
      <c r="F10" s="69">
        <v>35.0</v>
      </c>
      <c r="G10" s="69">
        <v>35.0</v>
      </c>
      <c r="H10" s="69">
        <v>33.0</v>
      </c>
      <c r="I10" s="69">
        <v>2.0</v>
      </c>
      <c r="J10" s="72">
        <v>150.0</v>
      </c>
      <c r="K10" s="69">
        <v>64.0</v>
      </c>
      <c r="L10" s="69">
        <v>64.0</v>
      </c>
      <c r="M10" s="69">
        <v>56.0</v>
      </c>
      <c r="N10" s="69">
        <v>1.0</v>
      </c>
      <c r="O10" s="72">
        <v>20.0</v>
      </c>
      <c r="P10" s="69">
        <v>43.0</v>
      </c>
      <c r="Q10" s="69">
        <v>14.0</v>
      </c>
      <c r="R10" s="69">
        <v>7.0</v>
      </c>
      <c r="S10" s="70">
        <v>44.0</v>
      </c>
      <c r="T10" s="69">
        <f t="shared" si="1"/>
        <v>344</v>
      </c>
      <c r="U10" s="69">
        <v>140.0</v>
      </c>
      <c r="V10" s="73">
        <f t="shared" si="2"/>
        <v>2.457142857</v>
      </c>
      <c r="W10" s="74">
        <v>138.0</v>
      </c>
      <c r="X10" s="69">
        <v>35.0</v>
      </c>
      <c r="Y10" s="69">
        <v>35.0</v>
      </c>
      <c r="Z10" s="69">
        <v>29.0</v>
      </c>
      <c r="AA10" s="69">
        <v>6.0</v>
      </c>
      <c r="AB10" s="84">
        <v>155.0</v>
      </c>
      <c r="AC10" s="69">
        <v>62.0</v>
      </c>
      <c r="AD10" s="69">
        <v>62.0</v>
      </c>
      <c r="AE10" s="69">
        <v>52.0</v>
      </c>
      <c r="AF10" s="69">
        <v>10.0</v>
      </c>
      <c r="AG10" s="69">
        <v>57.0</v>
      </c>
      <c r="AH10" s="69">
        <v>11.0</v>
      </c>
      <c r="AI10" s="69">
        <v>4.0</v>
      </c>
      <c r="AJ10" s="69">
        <v>53.0</v>
      </c>
      <c r="AK10" s="69">
        <f t="shared" si="3"/>
        <v>293</v>
      </c>
      <c r="AL10" s="76">
        <v>140.0</v>
      </c>
      <c r="AM10" s="77">
        <f t="shared" si="4"/>
        <v>2.092857143</v>
      </c>
      <c r="AN10" s="73">
        <f t="shared" si="5"/>
        <v>-14.8255814</v>
      </c>
      <c r="AO10" s="69">
        <v>48.0</v>
      </c>
      <c r="AP10" s="69">
        <v>48.0</v>
      </c>
      <c r="AQ10" s="69">
        <v>48.0</v>
      </c>
      <c r="AR10" s="69">
        <v>0.0</v>
      </c>
      <c r="AS10" s="69">
        <v>56.0</v>
      </c>
      <c r="AT10" s="69">
        <v>56.0</v>
      </c>
      <c r="AU10" s="69">
        <v>46.0</v>
      </c>
      <c r="AV10" s="69">
        <v>10.0</v>
      </c>
      <c r="AW10" s="69">
        <v>66.0</v>
      </c>
      <c r="AX10" s="69">
        <v>13.0</v>
      </c>
      <c r="AY10" s="69">
        <v>6.0</v>
      </c>
      <c r="AZ10" s="69">
        <v>50.0</v>
      </c>
      <c r="BA10" s="69">
        <v>50.0</v>
      </c>
      <c r="BB10" s="69">
        <v>2.0</v>
      </c>
      <c r="BC10" s="69">
        <v>0.0</v>
      </c>
      <c r="BD10" s="69">
        <v>50.0</v>
      </c>
      <c r="BE10" s="69">
        <v>0.0</v>
      </c>
      <c r="BF10" s="69">
        <v>0.0</v>
      </c>
      <c r="BG10" s="69"/>
      <c r="BH10" s="70"/>
      <c r="BI10" s="78">
        <v>398.0</v>
      </c>
      <c r="BJ10" s="69">
        <v>160.0</v>
      </c>
      <c r="BK10" s="79">
        <f t="shared" si="6"/>
        <v>2.4875</v>
      </c>
      <c r="BL10" s="80">
        <f t="shared" si="7"/>
        <v>35.83617747</v>
      </c>
      <c r="BM10" s="69">
        <v>54.0</v>
      </c>
      <c r="BN10" s="69">
        <v>54.0</v>
      </c>
      <c r="BO10" s="69">
        <v>54.0</v>
      </c>
      <c r="BP10" s="69">
        <v>0.0</v>
      </c>
      <c r="BQ10" s="69">
        <v>63.0</v>
      </c>
      <c r="BR10" s="69">
        <v>63.0</v>
      </c>
      <c r="BS10" s="69">
        <v>54.0</v>
      </c>
      <c r="BT10" s="69">
        <v>9.0</v>
      </c>
      <c r="BU10" s="69">
        <v>72.0</v>
      </c>
      <c r="BV10" s="69">
        <v>13.0</v>
      </c>
      <c r="BW10" s="69">
        <v>2.0</v>
      </c>
      <c r="BX10" s="69">
        <v>66.0</v>
      </c>
      <c r="BY10" s="69">
        <v>66.0</v>
      </c>
      <c r="BZ10" s="69">
        <v>8.0</v>
      </c>
      <c r="CA10" s="69">
        <v>4.0</v>
      </c>
      <c r="CB10" s="69">
        <v>62.0</v>
      </c>
      <c r="CC10" s="69">
        <v>66.0</v>
      </c>
      <c r="CD10" s="69">
        <v>4.0</v>
      </c>
      <c r="CE10" s="69">
        <v>1.0</v>
      </c>
      <c r="CF10" s="69">
        <v>65.0</v>
      </c>
      <c r="CG10" s="69">
        <v>1.0</v>
      </c>
      <c r="CH10" s="69">
        <v>1.0</v>
      </c>
      <c r="CI10" s="70">
        <v>0.0</v>
      </c>
      <c r="CJ10" s="78">
        <v>474.0</v>
      </c>
      <c r="CK10" s="69">
        <v>180.0</v>
      </c>
      <c r="CL10" s="79">
        <f t="shared" si="8"/>
        <v>2.633333333</v>
      </c>
      <c r="CM10" s="81">
        <f t="shared" si="9"/>
        <v>19.09547739</v>
      </c>
      <c r="CN10" s="69">
        <v>54.0</v>
      </c>
      <c r="CO10" s="69">
        <v>54.0</v>
      </c>
      <c r="CP10" s="69">
        <v>54.0</v>
      </c>
      <c r="CQ10" s="69">
        <v>0.0</v>
      </c>
      <c r="CR10" s="71">
        <v>63.0</v>
      </c>
      <c r="CS10" s="69">
        <v>63.0</v>
      </c>
      <c r="CT10" s="69">
        <v>55.0</v>
      </c>
      <c r="CU10" s="69">
        <v>8.0</v>
      </c>
      <c r="CV10" s="71">
        <v>68.0</v>
      </c>
      <c r="CW10" s="69">
        <v>16.0</v>
      </c>
      <c r="CX10" s="69">
        <v>7.0</v>
      </c>
      <c r="CY10" s="69">
        <v>64.0</v>
      </c>
      <c r="CZ10" s="69"/>
      <c r="DA10" s="69">
        <v>5.0</v>
      </c>
      <c r="DB10" s="69">
        <v>3.0</v>
      </c>
      <c r="DC10" s="69"/>
      <c r="DD10" s="69">
        <v>-108.0</v>
      </c>
      <c r="DE10" s="69">
        <v>3.0</v>
      </c>
      <c r="DF10" s="69">
        <v>1.0</v>
      </c>
      <c r="DG10" s="69"/>
      <c r="DH10" s="69">
        <v>0.0</v>
      </c>
      <c r="DI10" s="69">
        <v>0.0</v>
      </c>
      <c r="DJ10" s="70"/>
      <c r="DK10" s="82">
        <v>438.0</v>
      </c>
      <c r="DL10" s="69">
        <v>180.0</v>
      </c>
      <c r="DM10" s="77">
        <f t="shared" si="10"/>
        <v>2.433333333</v>
      </c>
      <c r="DN10" s="83">
        <f t="shared" si="11"/>
        <v>-7.594936709</v>
      </c>
    </row>
    <row r="11">
      <c r="A11" s="69">
        <v>5.0</v>
      </c>
      <c r="B11" s="69" t="s">
        <v>262</v>
      </c>
      <c r="C11" s="69" t="s">
        <v>263</v>
      </c>
      <c r="D11" s="70" t="s">
        <v>15</v>
      </c>
      <c r="E11" s="71">
        <v>303.0</v>
      </c>
      <c r="F11" s="69">
        <v>35.0</v>
      </c>
      <c r="G11" s="69">
        <v>35.0</v>
      </c>
      <c r="H11" s="69">
        <v>34.0</v>
      </c>
      <c r="I11" s="69">
        <v>1.0</v>
      </c>
      <c r="J11" s="72">
        <v>358.0</v>
      </c>
      <c r="K11" s="69">
        <v>64.0</v>
      </c>
      <c r="L11" s="69">
        <v>64.0</v>
      </c>
      <c r="M11" s="69">
        <v>57.0</v>
      </c>
      <c r="N11" s="69">
        <v>6.0</v>
      </c>
      <c r="O11" s="72">
        <v>59.0</v>
      </c>
      <c r="P11" s="69">
        <v>48.0</v>
      </c>
      <c r="Q11" s="69">
        <v>35.0</v>
      </c>
      <c r="R11" s="69">
        <v>25.0</v>
      </c>
      <c r="S11" s="70">
        <v>24.0</v>
      </c>
      <c r="T11" s="69">
        <f t="shared" si="1"/>
        <v>720</v>
      </c>
      <c r="U11" s="69">
        <v>140.0</v>
      </c>
      <c r="V11" s="73">
        <f t="shared" si="2"/>
        <v>5.142857143</v>
      </c>
      <c r="W11" s="74">
        <v>262.0</v>
      </c>
      <c r="X11" s="69">
        <v>38.0</v>
      </c>
      <c r="Y11" s="69">
        <v>38.0</v>
      </c>
      <c r="Z11" s="69">
        <v>37.0</v>
      </c>
      <c r="AA11" s="69">
        <v>1.0</v>
      </c>
      <c r="AB11" s="84">
        <v>296.0</v>
      </c>
      <c r="AC11" s="69">
        <v>61.0</v>
      </c>
      <c r="AD11" s="69">
        <v>61.0</v>
      </c>
      <c r="AE11" s="69">
        <v>56.0</v>
      </c>
      <c r="AF11" s="69">
        <v>5.0</v>
      </c>
      <c r="AG11" s="69">
        <v>55.0</v>
      </c>
      <c r="AH11" s="69">
        <v>40.0</v>
      </c>
      <c r="AI11" s="69">
        <v>23.0</v>
      </c>
      <c r="AJ11" s="69">
        <v>32.0</v>
      </c>
      <c r="AK11" s="69">
        <f t="shared" si="3"/>
        <v>558</v>
      </c>
      <c r="AL11" s="76">
        <v>150.0</v>
      </c>
      <c r="AM11" s="77">
        <f t="shared" si="4"/>
        <v>3.72</v>
      </c>
      <c r="AN11" s="73">
        <f t="shared" si="5"/>
        <v>-22.5</v>
      </c>
      <c r="AO11" s="69">
        <v>48.0</v>
      </c>
      <c r="AP11" s="69">
        <v>48.0</v>
      </c>
      <c r="AQ11" s="69">
        <v>44.0</v>
      </c>
      <c r="AR11" s="69">
        <v>4.0</v>
      </c>
      <c r="AS11" s="69">
        <v>60.0</v>
      </c>
      <c r="AT11" s="69">
        <v>60.0</v>
      </c>
      <c r="AU11" s="69">
        <v>56.0</v>
      </c>
      <c r="AV11" s="69">
        <v>4.0</v>
      </c>
      <c r="AW11" s="69">
        <v>60.0</v>
      </c>
      <c r="AX11" s="69">
        <v>34.0</v>
      </c>
      <c r="AY11" s="69">
        <v>19.0</v>
      </c>
      <c r="AZ11" s="69">
        <v>41.0</v>
      </c>
      <c r="BA11" s="69">
        <v>41.0</v>
      </c>
      <c r="BB11" s="69">
        <v>3.0</v>
      </c>
      <c r="BC11" s="69">
        <v>2.0</v>
      </c>
      <c r="BD11" s="69">
        <v>39.0</v>
      </c>
      <c r="BE11" s="69">
        <v>1.0</v>
      </c>
      <c r="BF11" s="69">
        <v>1.0</v>
      </c>
      <c r="BG11" s="69"/>
      <c r="BH11" s="70"/>
      <c r="BI11" s="78">
        <v>641.0</v>
      </c>
      <c r="BJ11" s="69">
        <v>160.0</v>
      </c>
      <c r="BK11" s="79">
        <f t="shared" si="6"/>
        <v>4.00625</v>
      </c>
      <c r="BL11" s="80">
        <f t="shared" si="7"/>
        <v>14.87455197</v>
      </c>
      <c r="BM11" s="69">
        <v>48.0</v>
      </c>
      <c r="BN11" s="69">
        <v>48.0</v>
      </c>
      <c r="BO11" s="69">
        <v>47.0</v>
      </c>
      <c r="BP11" s="69">
        <v>1.0</v>
      </c>
      <c r="BQ11" s="69">
        <v>57.0</v>
      </c>
      <c r="BR11" s="69">
        <v>57.0</v>
      </c>
      <c r="BS11" s="69">
        <v>52.0</v>
      </c>
      <c r="BT11" s="69">
        <v>5.0</v>
      </c>
      <c r="BU11" s="69">
        <v>61.0</v>
      </c>
      <c r="BV11" s="69">
        <v>25.0</v>
      </c>
      <c r="BW11" s="69">
        <v>17.0</v>
      </c>
      <c r="BX11" s="69">
        <v>40.0</v>
      </c>
      <c r="BY11" s="69">
        <v>40.0</v>
      </c>
      <c r="BZ11" s="69">
        <v>5.0</v>
      </c>
      <c r="CA11" s="69">
        <v>4.0</v>
      </c>
      <c r="CB11" s="69">
        <v>36.0</v>
      </c>
      <c r="CC11" s="69">
        <v>40.0</v>
      </c>
      <c r="CD11" s="69">
        <v>1.0</v>
      </c>
      <c r="CE11" s="69">
        <v>0.0</v>
      </c>
      <c r="CF11" s="69">
        <v>40.0</v>
      </c>
      <c r="CG11" s="69"/>
      <c r="CH11" s="69"/>
      <c r="CI11" s="70">
        <v>0.0</v>
      </c>
      <c r="CJ11" s="78">
        <v>610.0</v>
      </c>
      <c r="CK11" s="69">
        <v>160.0</v>
      </c>
      <c r="CL11" s="79">
        <f t="shared" si="8"/>
        <v>3.8125</v>
      </c>
      <c r="CM11" s="81">
        <f t="shared" si="9"/>
        <v>-4.836193448</v>
      </c>
      <c r="CN11" s="69">
        <v>48.0</v>
      </c>
      <c r="CO11" s="69">
        <v>48.0</v>
      </c>
      <c r="CP11" s="69">
        <v>45.0</v>
      </c>
      <c r="CQ11" s="69">
        <v>3.0</v>
      </c>
      <c r="CR11" s="71">
        <v>59.0</v>
      </c>
      <c r="CS11" s="69">
        <v>59.0</v>
      </c>
      <c r="CT11" s="69">
        <v>53.0</v>
      </c>
      <c r="CU11" s="69">
        <v>6.0</v>
      </c>
      <c r="CV11" s="71">
        <v>54.0</v>
      </c>
      <c r="CW11" s="69">
        <v>32.0</v>
      </c>
      <c r="CX11" s="69">
        <v>23.0</v>
      </c>
      <c r="CY11" s="69">
        <v>39.0</v>
      </c>
      <c r="CZ11" s="69"/>
      <c r="DA11" s="69">
        <v>17.0</v>
      </c>
      <c r="DB11" s="69">
        <v>8.0</v>
      </c>
      <c r="DC11" s="69"/>
      <c r="DD11" s="69">
        <v>-112.0</v>
      </c>
      <c r="DE11" s="69">
        <v>1.0</v>
      </c>
      <c r="DF11" s="69">
        <v>1.0</v>
      </c>
      <c r="DG11" s="69"/>
      <c r="DH11" s="69">
        <v>1.0</v>
      </c>
      <c r="DI11" s="69">
        <v>1.0</v>
      </c>
      <c r="DJ11" s="70"/>
      <c r="DK11" s="82">
        <v>503.0</v>
      </c>
      <c r="DL11" s="69">
        <v>160.0</v>
      </c>
      <c r="DM11" s="77">
        <f t="shared" si="10"/>
        <v>3.14375</v>
      </c>
      <c r="DN11" s="83">
        <f t="shared" si="11"/>
        <v>-17.54098361</v>
      </c>
    </row>
    <row r="12">
      <c r="A12" s="69">
        <v>6.0</v>
      </c>
      <c r="B12" s="69" t="s">
        <v>264</v>
      </c>
      <c r="C12" s="69" t="s">
        <v>265</v>
      </c>
      <c r="D12" s="70" t="s">
        <v>15</v>
      </c>
      <c r="E12" s="71">
        <v>189.0</v>
      </c>
      <c r="F12" s="69">
        <v>35.0</v>
      </c>
      <c r="G12" s="69">
        <v>34.0</v>
      </c>
      <c r="H12" s="69">
        <v>32.0</v>
      </c>
      <c r="I12" s="69">
        <v>3.0</v>
      </c>
      <c r="J12" s="72">
        <v>237.0</v>
      </c>
      <c r="K12" s="69">
        <v>66.0</v>
      </c>
      <c r="L12" s="69">
        <v>66.0</v>
      </c>
      <c r="M12" s="69">
        <v>54.0</v>
      </c>
      <c r="N12" s="69">
        <v>7.0</v>
      </c>
      <c r="O12" s="72">
        <v>23.0</v>
      </c>
      <c r="P12" s="69">
        <v>49.0</v>
      </c>
      <c r="Q12" s="69">
        <v>18.0</v>
      </c>
      <c r="R12" s="69">
        <v>1.0</v>
      </c>
      <c r="S12" s="70">
        <v>53.0</v>
      </c>
      <c r="T12" s="69">
        <f t="shared" si="1"/>
        <v>449</v>
      </c>
      <c r="U12" s="69">
        <v>140.0</v>
      </c>
      <c r="V12" s="73">
        <f t="shared" si="2"/>
        <v>3.207142857</v>
      </c>
      <c r="W12" s="74">
        <v>186.0</v>
      </c>
      <c r="X12" s="69">
        <v>30.0</v>
      </c>
      <c r="Y12" s="69">
        <v>30.0</v>
      </c>
      <c r="Z12" s="69">
        <v>28.0</v>
      </c>
      <c r="AA12" s="69">
        <v>2.0</v>
      </c>
      <c r="AB12" s="84">
        <v>224.0</v>
      </c>
      <c r="AC12" s="69">
        <v>50.0</v>
      </c>
      <c r="AD12" s="69">
        <v>50.0</v>
      </c>
      <c r="AE12" s="69">
        <v>47.0</v>
      </c>
      <c r="AF12" s="69">
        <v>3.0</v>
      </c>
      <c r="AG12" s="69">
        <v>44.0</v>
      </c>
      <c r="AH12" s="69">
        <v>13.0</v>
      </c>
      <c r="AI12" s="69">
        <v>4.0</v>
      </c>
      <c r="AJ12" s="69">
        <v>40.0</v>
      </c>
      <c r="AK12" s="69">
        <f t="shared" si="3"/>
        <v>410</v>
      </c>
      <c r="AL12" s="76">
        <v>120.0</v>
      </c>
      <c r="AM12" s="77">
        <f t="shared" si="4"/>
        <v>3.416666667</v>
      </c>
      <c r="AN12" s="73">
        <f t="shared" si="5"/>
        <v>-8.68596882</v>
      </c>
      <c r="AO12" s="69">
        <v>48.0</v>
      </c>
      <c r="AP12" s="69">
        <v>48.0</v>
      </c>
      <c r="AQ12" s="69">
        <v>43.0</v>
      </c>
      <c r="AR12" s="69">
        <v>5.0</v>
      </c>
      <c r="AS12" s="69">
        <v>61.0</v>
      </c>
      <c r="AT12" s="69">
        <v>61.0</v>
      </c>
      <c r="AU12" s="69">
        <v>56.0</v>
      </c>
      <c r="AV12" s="69">
        <v>5.0</v>
      </c>
      <c r="AW12" s="69">
        <v>61.0</v>
      </c>
      <c r="AX12" s="69">
        <v>22.0</v>
      </c>
      <c r="AY12" s="69">
        <v>11.0</v>
      </c>
      <c r="AZ12" s="69">
        <v>50.0</v>
      </c>
      <c r="BA12" s="69">
        <v>50.0</v>
      </c>
      <c r="BB12" s="69">
        <v>3.0</v>
      </c>
      <c r="BC12" s="69">
        <v>3.0</v>
      </c>
      <c r="BD12" s="69">
        <v>47.0</v>
      </c>
      <c r="BE12" s="69">
        <v>0.0</v>
      </c>
      <c r="BF12" s="69">
        <v>0.0</v>
      </c>
      <c r="BG12" s="69"/>
      <c r="BH12" s="70"/>
      <c r="BI12" s="78">
        <v>490.0</v>
      </c>
      <c r="BJ12" s="69">
        <v>160.0</v>
      </c>
      <c r="BK12" s="79">
        <f t="shared" si="6"/>
        <v>3.0625</v>
      </c>
      <c r="BL12" s="80">
        <f t="shared" si="7"/>
        <v>19.51219512</v>
      </c>
      <c r="BM12" s="69">
        <v>48.0</v>
      </c>
      <c r="BN12" s="69">
        <v>48.0</v>
      </c>
      <c r="BO12" s="69">
        <v>44.0</v>
      </c>
      <c r="BP12" s="69">
        <v>4.0</v>
      </c>
      <c r="BQ12" s="69">
        <v>60.0</v>
      </c>
      <c r="BR12" s="69">
        <v>60.0</v>
      </c>
      <c r="BS12" s="69">
        <v>58.0</v>
      </c>
      <c r="BT12" s="69">
        <v>2.0</v>
      </c>
      <c r="BU12" s="69">
        <v>58.0</v>
      </c>
      <c r="BV12" s="69">
        <v>20.0</v>
      </c>
      <c r="BW12" s="69">
        <v>9.0</v>
      </c>
      <c r="BX12" s="69">
        <v>47.0</v>
      </c>
      <c r="BY12" s="69">
        <v>47.0</v>
      </c>
      <c r="BZ12" s="69">
        <v>4.0</v>
      </c>
      <c r="CA12" s="69">
        <v>2.0</v>
      </c>
      <c r="CB12" s="69">
        <v>45.0</v>
      </c>
      <c r="CC12" s="69">
        <v>47.0</v>
      </c>
      <c r="CD12" s="69">
        <v>1.0</v>
      </c>
      <c r="CE12" s="69">
        <v>0.0</v>
      </c>
      <c r="CF12" s="69">
        <v>47.0</v>
      </c>
      <c r="CG12" s="69"/>
      <c r="CH12" s="69"/>
      <c r="CI12" s="70">
        <v>0.0</v>
      </c>
      <c r="CJ12" s="78">
        <v>709.0</v>
      </c>
      <c r="CK12" s="69">
        <v>160.0</v>
      </c>
      <c r="CL12" s="79">
        <f t="shared" si="8"/>
        <v>4.43125</v>
      </c>
      <c r="CM12" s="81">
        <f t="shared" si="9"/>
        <v>44.69387755</v>
      </c>
      <c r="CN12" s="69">
        <v>48.0</v>
      </c>
      <c r="CO12" s="69">
        <v>48.0</v>
      </c>
      <c r="CP12" s="69">
        <v>46.0</v>
      </c>
      <c r="CQ12" s="69">
        <v>2.0</v>
      </c>
      <c r="CR12" s="71">
        <v>58.0</v>
      </c>
      <c r="CS12" s="69">
        <v>58.0</v>
      </c>
      <c r="CT12" s="69">
        <v>52.0</v>
      </c>
      <c r="CU12" s="69">
        <v>6.0</v>
      </c>
      <c r="CV12" s="71">
        <v>59.0</v>
      </c>
      <c r="CW12" s="69">
        <v>25.0</v>
      </c>
      <c r="CX12" s="69">
        <v>10.0</v>
      </c>
      <c r="CY12" s="69">
        <v>52.0</v>
      </c>
      <c r="CZ12" s="69"/>
      <c r="DA12" s="69">
        <v>12.0</v>
      </c>
      <c r="DB12" s="69">
        <v>3.0</v>
      </c>
      <c r="DC12" s="69"/>
      <c r="DD12" s="69">
        <v>-100.0</v>
      </c>
      <c r="DE12" s="69">
        <v>1.0</v>
      </c>
      <c r="DF12" s="69">
        <v>1.0</v>
      </c>
      <c r="DG12" s="69"/>
      <c r="DH12" s="69">
        <v>0.0</v>
      </c>
      <c r="DI12" s="69">
        <v>0.0</v>
      </c>
      <c r="DJ12" s="70"/>
      <c r="DK12" s="82">
        <v>709.0</v>
      </c>
      <c r="DL12" s="69">
        <v>160.0</v>
      </c>
      <c r="DM12" s="77">
        <f t="shared" si="10"/>
        <v>4.43125</v>
      </c>
      <c r="DN12" s="83">
        <f t="shared" si="11"/>
        <v>0</v>
      </c>
    </row>
    <row r="13">
      <c r="A13" s="69">
        <v>7.0</v>
      </c>
      <c r="B13" s="69" t="s">
        <v>266</v>
      </c>
      <c r="C13" s="69" t="s">
        <v>267</v>
      </c>
      <c r="D13" s="70" t="s">
        <v>15</v>
      </c>
      <c r="E13" s="71">
        <v>225.0</v>
      </c>
      <c r="F13" s="69">
        <v>30.0</v>
      </c>
      <c r="G13" s="69">
        <v>33.0</v>
      </c>
      <c r="H13" s="69">
        <v>30.0</v>
      </c>
      <c r="I13" s="69">
        <v>0.0</v>
      </c>
      <c r="J13" s="72">
        <v>263.0</v>
      </c>
      <c r="K13" s="69">
        <v>54.0</v>
      </c>
      <c r="L13" s="69">
        <v>54.0</v>
      </c>
      <c r="M13" s="69">
        <v>46.0</v>
      </c>
      <c r="N13" s="69">
        <v>7.0</v>
      </c>
      <c r="O13" s="72">
        <v>40.0</v>
      </c>
      <c r="P13" s="69">
        <v>43.0</v>
      </c>
      <c r="Q13" s="69">
        <v>26.0</v>
      </c>
      <c r="R13" s="69">
        <v>17.0</v>
      </c>
      <c r="S13" s="70">
        <v>27.0</v>
      </c>
      <c r="T13" s="69">
        <f t="shared" si="1"/>
        <v>528</v>
      </c>
      <c r="U13" s="69">
        <v>120.0</v>
      </c>
      <c r="V13" s="73">
        <f t="shared" si="2"/>
        <v>4.4</v>
      </c>
      <c r="W13" s="74">
        <v>192.0</v>
      </c>
      <c r="X13" s="69">
        <v>30.0</v>
      </c>
      <c r="Y13" s="69">
        <v>30.0</v>
      </c>
      <c r="Z13" s="69">
        <v>26.0</v>
      </c>
      <c r="AA13" s="69">
        <v>4.0</v>
      </c>
      <c r="AB13" s="84">
        <v>188.0</v>
      </c>
      <c r="AC13" s="69">
        <v>52.0</v>
      </c>
      <c r="AD13" s="69">
        <v>52.0</v>
      </c>
      <c r="AE13" s="69">
        <v>41.0</v>
      </c>
      <c r="AF13" s="69">
        <v>11.0</v>
      </c>
      <c r="AG13" s="69">
        <v>48.0</v>
      </c>
      <c r="AH13" s="69">
        <v>23.0</v>
      </c>
      <c r="AI13" s="69">
        <v>11.0</v>
      </c>
      <c r="AJ13" s="69">
        <v>37.0</v>
      </c>
      <c r="AK13" s="69">
        <f t="shared" si="3"/>
        <v>380</v>
      </c>
      <c r="AL13" s="76">
        <v>120.0</v>
      </c>
      <c r="AM13" s="77">
        <f t="shared" si="4"/>
        <v>3.166666667</v>
      </c>
      <c r="AN13" s="73">
        <f t="shared" si="5"/>
        <v>-28.03030303</v>
      </c>
      <c r="AO13" s="69">
        <v>36.0</v>
      </c>
      <c r="AP13" s="69">
        <v>36.0</v>
      </c>
      <c r="AQ13" s="69">
        <v>33.0</v>
      </c>
      <c r="AR13" s="69">
        <v>3.0</v>
      </c>
      <c r="AS13" s="69">
        <v>45.0</v>
      </c>
      <c r="AT13" s="69">
        <v>45.0</v>
      </c>
      <c r="AU13" s="69">
        <v>35.0</v>
      </c>
      <c r="AV13" s="69">
        <v>10.0</v>
      </c>
      <c r="AW13" s="69">
        <v>52.0</v>
      </c>
      <c r="AX13" s="69">
        <v>15.0</v>
      </c>
      <c r="AY13" s="69">
        <v>7.0</v>
      </c>
      <c r="AZ13" s="69">
        <v>38.0</v>
      </c>
      <c r="BA13" s="69">
        <v>38.0</v>
      </c>
      <c r="BB13" s="69">
        <v>0.0</v>
      </c>
      <c r="BC13" s="69">
        <v>0.0</v>
      </c>
      <c r="BD13" s="69">
        <v>38.0</v>
      </c>
      <c r="BE13" s="69">
        <v>0.0</v>
      </c>
      <c r="BF13" s="69">
        <v>0.0</v>
      </c>
      <c r="BG13" s="69"/>
      <c r="BH13" s="70"/>
      <c r="BI13" s="78">
        <v>412.0</v>
      </c>
      <c r="BJ13" s="69">
        <v>120.0</v>
      </c>
      <c r="BK13" s="79">
        <f t="shared" si="6"/>
        <v>3.433333333</v>
      </c>
      <c r="BL13" s="80">
        <f t="shared" si="7"/>
        <v>8.421052632</v>
      </c>
      <c r="BM13" s="69">
        <v>36.0</v>
      </c>
      <c r="BN13" s="69">
        <v>36.0</v>
      </c>
      <c r="BO13" s="69">
        <v>33.0</v>
      </c>
      <c r="BP13" s="69">
        <v>3.0</v>
      </c>
      <c r="BQ13" s="69">
        <v>45.0</v>
      </c>
      <c r="BR13" s="69">
        <v>45.0</v>
      </c>
      <c r="BS13" s="69">
        <v>38.0</v>
      </c>
      <c r="BT13" s="69">
        <v>7.0</v>
      </c>
      <c r="BU13" s="69">
        <v>49.0</v>
      </c>
      <c r="BV13" s="69">
        <v>23.0</v>
      </c>
      <c r="BW13" s="69">
        <v>13.0</v>
      </c>
      <c r="BX13" s="69">
        <v>33.0</v>
      </c>
      <c r="BY13" s="69">
        <v>33.0</v>
      </c>
      <c r="BZ13" s="69">
        <v>4.0</v>
      </c>
      <c r="CA13" s="69">
        <v>3.0</v>
      </c>
      <c r="CB13" s="69">
        <v>30.0</v>
      </c>
      <c r="CC13" s="69">
        <v>33.0</v>
      </c>
      <c r="CD13" s="69">
        <v>1.0</v>
      </c>
      <c r="CE13" s="69">
        <v>1.0</v>
      </c>
      <c r="CF13" s="69">
        <v>32.0</v>
      </c>
      <c r="CG13" s="69"/>
      <c r="CH13" s="69"/>
      <c r="CI13" s="70">
        <v>0.0</v>
      </c>
      <c r="CJ13" s="78">
        <v>549.0</v>
      </c>
      <c r="CK13" s="69">
        <v>120.0</v>
      </c>
      <c r="CL13" s="79">
        <f t="shared" si="8"/>
        <v>4.575</v>
      </c>
      <c r="CM13" s="81">
        <f t="shared" si="9"/>
        <v>33.25242718</v>
      </c>
      <c r="CN13" s="69">
        <v>36.0</v>
      </c>
      <c r="CO13" s="69">
        <v>35.0</v>
      </c>
      <c r="CP13" s="69">
        <v>35.0</v>
      </c>
      <c r="CQ13" s="69">
        <v>1.0</v>
      </c>
      <c r="CR13" s="71">
        <v>43.0</v>
      </c>
      <c r="CS13" s="69">
        <v>43.0</v>
      </c>
      <c r="CT13" s="69">
        <v>37.0</v>
      </c>
      <c r="CU13" s="69">
        <v>6.0</v>
      </c>
      <c r="CV13" s="71">
        <v>48.0</v>
      </c>
      <c r="CW13" s="69">
        <v>34.0</v>
      </c>
      <c r="CX13" s="69">
        <v>21.0</v>
      </c>
      <c r="CY13" s="69">
        <v>27.0</v>
      </c>
      <c r="CZ13" s="69"/>
      <c r="DA13" s="69">
        <v>3.0</v>
      </c>
      <c r="DB13" s="69">
        <v>0.0</v>
      </c>
      <c r="DC13" s="69"/>
      <c r="DD13" s="69">
        <v>-86.0</v>
      </c>
      <c r="DE13" s="69">
        <v>1.0</v>
      </c>
      <c r="DF13" s="69">
        <v>0.0</v>
      </c>
      <c r="DG13" s="69"/>
      <c r="DH13" s="69">
        <v>1.0</v>
      </c>
      <c r="DI13" s="69">
        <v>1.0</v>
      </c>
      <c r="DJ13" s="70"/>
      <c r="DK13" s="82">
        <v>617.0</v>
      </c>
      <c r="DL13" s="69">
        <v>120.0</v>
      </c>
      <c r="DM13" s="77">
        <f t="shared" si="10"/>
        <v>5.141666667</v>
      </c>
      <c r="DN13" s="83">
        <f t="shared" si="11"/>
        <v>12.38615665</v>
      </c>
    </row>
    <row r="14">
      <c r="A14" s="69">
        <v>8.0</v>
      </c>
      <c r="B14" s="69" t="s">
        <v>268</v>
      </c>
      <c r="C14" s="69" t="s">
        <v>269</v>
      </c>
      <c r="D14" s="70" t="s">
        <v>15</v>
      </c>
      <c r="E14" s="71">
        <v>380.0</v>
      </c>
      <c r="F14" s="69">
        <v>28.0</v>
      </c>
      <c r="G14" s="69">
        <v>31.0</v>
      </c>
      <c r="H14" s="69">
        <v>31.0</v>
      </c>
      <c r="I14" s="69">
        <v>-3.0</v>
      </c>
      <c r="J14" s="72">
        <v>402.0</v>
      </c>
      <c r="K14" s="69">
        <v>49.0</v>
      </c>
      <c r="L14" s="69">
        <v>49.0</v>
      </c>
      <c r="M14" s="69">
        <v>44.0</v>
      </c>
      <c r="N14" s="69">
        <v>6.0</v>
      </c>
      <c r="O14" s="72">
        <v>93.0</v>
      </c>
      <c r="P14" s="69">
        <v>39.0</v>
      </c>
      <c r="Q14" s="69">
        <v>41.0</v>
      </c>
      <c r="R14" s="69">
        <v>23.0</v>
      </c>
      <c r="S14" s="70">
        <v>12.0</v>
      </c>
      <c r="T14" s="69">
        <f t="shared" si="1"/>
        <v>875</v>
      </c>
      <c r="U14" s="69">
        <v>110.0</v>
      </c>
      <c r="V14" s="73">
        <f t="shared" si="2"/>
        <v>7.954545455</v>
      </c>
      <c r="W14" s="74">
        <v>322.0</v>
      </c>
      <c r="X14" s="69">
        <v>28.0</v>
      </c>
      <c r="Y14" s="69">
        <v>28.0</v>
      </c>
      <c r="Z14" s="69">
        <v>26.0</v>
      </c>
      <c r="AA14" s="69">
        <v>2.0</v>
      </c>
      <c r="AB14" s="84">
        <v>288.0</v>
      </c>
      <c r="AC14" s="69">
        <v>46.0</v>
      </c>
      <c r="AD14" s="69">
        <v>46.0</v>
      </c>
      <c r="AE14" s="69">
        <v>39.0</v>
      </c>
      <c r="AF14" s="69">
        <v>7.0</v>
      </c>
      <c r="AG14" s="69">
        <v>42.0</v>
      </c>
      <c r="AH14" s="69">
        <v>29.0</v>
      </c>
      <c r="AI14" s="69">
        <v>16.0</v>
      </c>
      <c r="AJ14" s="69">
        <v>26.0</v>
      </c>
      <c r="AK14" s="69">
        <f t="shared" si="3"/>
        <v>610</v>
      </c>
      <c r="AL14" s="76">
        <v>110.0</v>
      </c>
      <c r="AM14" s="77">
        <f t="shared" si="4"/>
        <v>5.545454545</v>
      </c>
      <c r="AN14" s="73">
        <f t="shared" si="5"/>
        <v>-30.28571429</v>
      </c>
      <c r="AO14" s="69">
        <v>48.0</v>
      </c>
      <c r="AP14" s="69">
        <v>48.0</v>
      </c>
      <c r="AQ14" s="69">
        <v>49.0</v>
      </c>
      <c r="AR14" s="69">
        <v>0.0</v>
      </c>
      <c r="AS14" s="69">
        <v>56.0</v>
      </c>
      <c r="AT14" s="69">
        <v>56.0</v>
      </c>
      <c r="AU14" s="69">
        <v>52.0</v>
      </c>
      <c r="AV14" s="69">
        <v>4.0</v>
      </c>
      <c r="AW14" s="69">
        <v>59.0</v>
      </c>
      <c r="AX14" s="69">
        <v>51.0</v>
      </c>
      <c r="AY14" s="69">
        <v>25.0</v>
      </c>
      <c r="AZ14" s="69">
        <v>31.0</v>
      </c>
      <c r="BA14" s="69">
        <v>31.0</v>
      </c>
      <c r="BB14" s="69">
        <v>0.0</v>
      </c>
      <c r="BC14" s="69">
        <v>0.0</v>
      </c>
      <c r="BD14" s="69">
        <v>31.0</v>
      </c>
      <c r="BE14" s="69">
        <v>0.0</v>
      </c>
      <c r="BF14" s="69">
        <v>0.0</v>
      </c>
      <c r="BG14" s="69"/>
      <c r="BH14" s="70"/>
      <c r="BI14" s="78">
        <v>735.0</v>
      </c>
      <c r="BJ14" s="69">
        <v>160.0</v>
      </c>
      <c r="BK14" s="79">
        <f t="shared" si="6"/>
        <v>4.59375</v>
      </c>
      <c r="BL14" s="80">
        <f t="shared" si="7"/>
        <v>20.49180328</v>
      </c>
      <c r="BM14" s="69">
        <v>48.0</v>
      </c>
      <c r="BN14" s="69">
        <v>48.0</v>
      </c>
      <c r="BO14" s="69">
        <v>44.0</v>
      </c>
      <c r="BP14" s="69">
        <v>4.0</v>
      </c>
      <c r="BQ14" s="69">
        <v>60.0</v>
      </c>
      <c r="BR14" s="69">
        <v>60.0</v>
      </c>
      <c r="BS14" s="69">
        <v>54.0</v>
      </c>
      <c r="BT14" s="69">
        <v>6.0</v>
      </c>
      <c r="BU14" s="69">
        <v>62.0</v>
      </c>
      <c r="BV14" s="69">
        <v>33.0</v>
      </c>
      <c r="BW14" s="69">
        <v>26.0</v>
      </c>
      <c r="BX14" s="69">
        <v>34.0</v>
      </c>
      <c r="BY14" s="69">
        <v>34.0</v>
      </c>
      <c r="BZ14" s="69">
        <v>3.0</v>
      </c>
      <c r="CA14" s="69">
        <v>2.0</v>
      </c>
      <c r="CB14" s="69">
        <v>32.0</v>
      </c>
      <c r="CC14" s="69">
        <v>33.0</v>
      </c>
      <c r="CD14" s="69">
        <v>0.0</v>
      </c>
      <c r="CE14" s="69">
        <v>0.0</v>
      </c>
      <c r="CF14" s="69">
        <v>33.0</v>
      </c>
      <c r="CG14" s="69">
        <v>1.0</v>
      </c>
      <c r="CH14" s="69"/>
      <c r="CI14" s="70">
        <v>1.0</v>
      </c>
      <c r="CJ14" s="78">
        <v>789.0</v>
      </c>
      <c r="CK14" s="69">
        <v>160.0</v>
      </c>
      <c r="CL14" s="79">
        <f t="shared" si="8"/>
        <v>4.93125</v>
      </c>
      <c r="CM14" s="81">
        <f t="shared" si="9"/>
        <v>7.346938776</v>
      </c>
      <c r="CN14" s="69">
        <v>48.0</v>
      </c>
      <c r="CO14" s="69">
        <v>47.0</v>
      </c>
      <c r="CP14" s="69">
        <v>46.0</v>
      </c>
      <c r="CQ14" s="69">
        <v>2.0</v>
      </c>
      <c r="CR14" s="71">
        <v>58.0</v>
      </c>
      <c r="CS14" s="69">
        <v>60.0</v>
      </c>
      <c r="CT14" s="69">
        <v>50.0</v>
      </c>
      <c r="CU14" s="69">
        <v>8.0</v>
      </c>
      <c r="CV14" s="71">
        <v>59.0</v>
      </c>
      <c r="CW14" s="69">
        <v>44.0</v>
      </c>
      <c r="CX14" s="69">
        <v>31.0</v>
      </c>
      <c r="CY14" s="69">
        <v>33.0</v>
      </c>
      <c r="CZ14" s="69"/>
      <c r="DA14" s="69">
        <v>10.0</v>
      </c>
      <c r="DB14" s="69">
        <v>5.0</v>
      </c>
      <c r="DC14" s="69"/>
      <c r="DD14" s="69">
        <v>-117.0</v>
      </c>
      <c r="DE14" s="69">
        <v>2.0</v>
      </c>
      <c r="DF14" s="69">
        <v>2.0</v>
      </c>
      <c r="DG14" s="69"/>
      <c r="DH14" s="69">
        <v>1.0</v>
      </c>
      <c r="DI14" s="69">
        <v>1.0</v>
      </c>
      <c r="DJ14" s="70"/>
      <c r="DK14" s="82">
        <v>869.0</v>
      </c>
      <c r="DL14" s="69">
        <v>160.0</v>
      </c>
      <c r="DM14" s="77">
        <f t="shared" si="10"/>
        <v>5.43125</v>
      </c>
      <c r="DN14" s="83">
        <f t="shared" si="11"/>
        <v>10.13941698</v>
      </c>
    </row>
    <row r="15">
      <c r="A15" s="69">
        <v>9.0</v>
      </c>
      <c r="B15" s="69" t="s">
        <v>270</v>
      </c>
      <c r="C15" s="69" t="s">
        <v>271</v>
      </c>
      <c r="D15" s="70" t="s">
        <v>15</v>
      </c>
      <c r="E15" s="71">
        <v>116.0</v>
      </c>
      <c r="F15" s="69">
        <v>30.0</v>
      </c>
      <c r="G15" s="69">
        <v>30.0</v>
      </c>
      <c r="H15" s="69">
        <v>22.0</v>
      </c>
      <c r="I15" s="69">
        <v>8.0</v>
      </c>
      <c r="J15" s="72">
        <v>175.0</v>
      </c>
      <c r="K15" s="69">
        <v>58.0</v>
      </c>
      <c r="L15" s="69">
        <v>60.0</v>
      </c>
      <c r="M15" s="69">
        <v>45.0</v>
      </c>
      <c r="N15" s="69">
        <v>6.0</v>
      </c>
      <c r="O15" s="72">
        <v>40.0</v>
      </c>
      <c r="P15" s="69">
        <v>41.0</v>
      </c>
      <c r="Q15" s="69">
        <v>26.0</v>
      </c>
      <c r="R15" s="69">
        <v>14.0</v>
      </c>
      <c r="S15" s="70">
        <v>37.0</v>
      </c>
      <c r="T15" s="69">
        <f t="shared" si="1"/>
        <v>331</v>
      </c>
      <c r="U15" s="69">
        <v>118.0</v>
      </c>
      <c r="V15" s="73">
        <f t="shared" si="2"/>
        <v>2.805084746</v>
      </c>
      <c r="W15" s="74">
        <v>115.0</v>
      </c>
      <c r="X15" s="69">
        <v>29.0</v>
      </c>
      <c r="Y15" s="69">
        <v>29.0</v>
      </c>
      <c r="Z15" s="69">
        <v>25.0</v>
      </c>
      <c r="AA15" s="69">
        <v>4.0</v>
      </c>
      <c r="AB15" s="84">
        <v>131.0</v>
      </c>
      <c r="AC15" s="69">
        <v>50.0</v>
      </c>
      <c r="AD15" s="69">
        <v>50.0</v>
      </c>
      <c r="AE15" s="69">
        <v>37.0</v>
      </c>
      <c r="AF15" s="69">
        <v>13.0</v>
      </c>
      <c r="AG15" s="69">
        <v>49.0</v>
      </c>
      <c r="AH15" s="69">
        <v>22.0</v>
      </c>
      <c r="AI15" s="69">
        <v>14.0</v>
      </c>
      <c r="AJ15" s="69">
        <v>35.0</v>
      </c>
      <c r="AK15" s="69">
        <f t="shared" si="3"/>
        <v>246</v>
      </c>
      <c r="AL15" s="76">
        <v>115.0</v>
      </c>
      <c r="AM15" s="77">
        <f t="shared" si="4"/>
        <v>2.139130435</v>
      </c>
      <c r="AN15" s="73">
        <f t="shared" si="5"/>
        <v>-25.67975831</v>
      </c>
      <c r="AO15" s="69">
        <v>36.0</v>
      </c>
      <c r="AP15" s="69">
        <v>36.0</v>
      </c>
      <c r="AQ15" s="69">
        <v>30.0</v>
      </c>
      <c r="AR15" s="69">
        <v>6.0</v>
      </c>
      <c r="AS15" s="69">
        <v>48.0</v>
      </c>
      <c r="AT15" s="69">
        <v>48.0</v>
      </c>
      <c r="AU15" s="69">
        <v>41.0</v>
      </c>
      <c r="AV15" s="69">
        <v>7.0</v>
      </c>
      <c r="AW15" s="69">
        <v>49.0</v>
      </c>
      <c r="AX15" s="69">
        <v>18.0</v>
      </c>
      <c r="AY15" s="69">
        <v>10.0</v>
      </c>
      <c r="AZ15" s="69">
        <v>38.0</v>
      </c>
      <c r="BA15" s="69">
        <v>38.0</v>
      </c>
      <c r="BB15" s="69">
        <v>1.0</v>
      </c>
      <c r="BC15" s="69">
        <v>1.0</v>
      </c>
      <c r="BD15" s="69">
        <v>37.0</v>
      </c>
      <c r="BE15" s="69">
        <v>0.0</v>
      </c>
      <c r="BF15" s="69">
        <v>0.0</v>
      </c>
      <c r="BG15" s="69"/>
      <c r="BH15" s="70"/>
      <c r="BI15" s="78">
        <v>276.0</v>
      </c>
      <c r="BJ15" s="69">
        <v>120.0</v>
      </c>
      <c r="BK15" s="79">
        <f t="shared" si="6"/>
        <v>2.3</v>
      </c>
      <c r="BL15" s="80">
        <f t="shared" si="7"/>
        <v>12.19512195</v>
      </c>
      <c r="BM15" s="69">
        <v>39.0</v>
      </c>
      <c r="BN15" s="69">
        <v>39.0</v>
      </c>
      <c r="BO15" s="69">
        <v>30.0</v>
      </c>
      <c r="BP15" s="69">
        <v>9.0</v>
      </c>
      <c r="BQ15" s="69">
        <v>55.0</v>
      </c>
      <c r="BR15" s="69">
        <v>55.0</v>
      </c>
      <c r="BS15" s="69">
        <v>49.0</v>
      </c>
      <c r="BT15" s="69">
        <v>6.0</v>
      </c>
      <c r="BU15" s="69">
        <v>51.0</v>
      </c>
      <c r="BV15" s="69">
        <v>15.0</v>
      </c>
      <c r="BW15" s="69">
        <v>9.0</v>
      </c>
      <c r="BX15" s="69">
        <v>42.0</v>
      </c>
      <c r="BY15" s="69">
        <v>42.0</v>
      </c>
      <c r="BZ15" s="69">
        <v>0.0</v>
      </c>
      <c r="CA15" s="69">
        <v>0.0</v>
      </c>
      <c r="CB15" s="69">
        <v>42.0</v>
      </c>
      <c r="CC15" s="69">
        <v>42.0</v>
      </c>
      <c r="CD15" s="69">
        <v>0.0</v>
      </c>
      <c r="CE15" s="69">
        <v>0.0</v>
      </c>
      <c r="CF15" s="69">
        <v>42.0</v>
      </c>
      <c r="CG15" s="69"/>
      <c r="CH15" s="69"/>
      <c r="CI15" s="70">
        <v>0.0</v>
      </c>
      <c r="CJ15" s="78">
        <v>290.0</v>
      </c>
      <c r="CK15" s="69">
        <v>130.0</v>
      </c>
      <c r="CL15" s="79">
        <f t="shared" si="8"/>
        <v>2.230769231</v>
      </c>
      <c r="CM15" s="81">
        <f t="shared" si="9"/>
        <v>5.072463768</v>
      </c>
      <c r="CN15" s="69">
        <v>44.0</v>
      </c>
      <c r="CO15" s="69">
        <v>43.0</v>
      </c>
      <c r="CP15" s="69">
        <v>37.0</v>
      </c>
      <c r="CQ15" s="69">
        <v>7.0</v>
      </c>
      <c r="CR15" s="71">
        <v>58.0</v>
      </c>
      <c r="CS15" s="69">
        <v>57.0</v>
      </c>
      <c r="CT15" s="69">
        <v>50.0</v>
      </c>
      <c r="CU15" s="69">
        <v>8.0</v>
      </c>
      <c r="CV15" s="71">
        <v>53.0</v>
      </c>
      <c r="CW15" s="69">
        <v>13.0</v>
      </c>
      <c r="CX15" s="69">
        <v>10.0</v>
      </c>
      <c r="CY15" s="69">
        <v>43.0</v>
      </c>
      <c r="CZ15" s="69"/>
      <c r="DA15" s="69">
        <v>0.0</v>
      </c>
      <c r="DB15" s="69">
        <v>0.0</v>
      </c>
      <c r="DC15" s="69"/>
      <c r="DD15" s="69">
        <v>-87.0</v>
      </c>
      <c r="DE15" s="69">
        <v>2.0</v>
      </c>
      <c r="DF15" s="69">
        <v>1.0</v>
      </c>
      <c r="DG15" s="69"/>
      <c r="DH15" s="69">
        <v>0.0</v>
      </c>
      <c r="DI15" s="69">
        <v>0.0</v>
      </c>
      <c r="DJ15" s="70"/>
      <c r="DK15" s="82">
        <v>331.0</v>
      </c>
      <c r="DL15" s="69">
        <v>145.0</v>
      </c>
      <c r="DM15" s="77">
        <f t="shared" si="10"/>
        <v>2.282758621</v>
      </c>
      <c r="DN15" s="83">
        <f t="shared" si="11"/>
        <v>14.13793103</v>
      </c>
    </row>
    <row r="16">
      <c r="A16" s="69">
        <v>10.0</v>
      </c>
      <c r="B16" s="69" t="s">
        <v>272</v>
      </c>
      <c r="C16" s="69" t="s">
        <v>273</v>
      </c>
      <c r="D16" s="70" t="s">
        <v>15</v>
      </c>
      <c r="E16" s="71">
        <v>131.0</v>
      </c>
      <c r="F16" s="69">
        <v>20.0</v>
      </c>
      <c r="G16" s="69">
        <v>23.0</v>
      </c>
      <c r="H16" s="69">
        <v>20.0</v>
      </c>
      <c r="I16" s="69">
        <v>0.0</v>
      </c>
      <c r="J16" s="72">
        <v>137.0</v>
      </c>
      <c r="K16" s="69">
        <v>36.0</v>
      </c>
      <c r="L16" s="69">
        <v>36.0</v>
      </c>
      <c r="M16" s="69">
        <v>26.0</v>
      </c>
      <c r="N16" s="69">
        <v>5.0</v>
      </c>
      <c r="O16" s="72">
        <v>23.0</v>
      </c>
      <c r="P16" s="69">
        <v>29.0</v>
      </c>
      <c r="Q16" s="69">
        <v>13.0</v>
      </c>
      <c r="R16" s="69">
        <v>6.0</v>
      </c>
      <c r="S16" s="70">
        <v>28.0</v>
      </c>
      <c r="T16" s="69">
        <f t="shared" si="1"/>
        <v>291</v>
      </c>
      <c r="U16" s="69">
        <v>80.0</v>
      </c>
      <c r="V16" s="73">
        <f t="shared" si="2"/>
        <v>3.6375</v>
      </c>
      <c r="W16" s="74">
        <v>107.0</v>
      </c>
      <c r="X16" s="69">
        <v>25.0</v>
      </c>
      <c r="Y16" s="69">
        <v>25.0</v>
      </c>
      <c r="Z16" s="69">
        <v>21.0</v>
      </c>
      <c r="AA16" s="69">
        <v>4.0</v>
      </c>
      <c r="AB16" s="84">
        <v>104.0</v>
      </c>
      <c r="AC16" s="69">
        <v>44.0</v>
      </c>
      <c r="AD16" s="69">
        <v>44.0</v>
      </c>
      <c r="AE16" s="69">
        <v>36.0</v>
      </c>
      <c r="AF16" s="69">
        <v>8.0</v>
      </c>
      <c r="AG16" s="69">
        <v>40.0</v>
      </c>
      <c r="AH16" s="69">
        <v>3.0</v>
      </c>
      <c r="AI16" s="69">
        <v>3.0</v>
      </c>
      <c r="AJ16" s="69">
        <v>37.0</v>
      </c>
      <c r="AK16" s="69">
        <f t="shared" si="3"/>
        <v>211</v>
      </c>
      <c r="AL16" s="76">
        <v>100.0</v>
      </c>
      <c r="AM16" s="77">
        <f t="shared" si="4"/>
        <v>2.11</v>
      </c>
      <c r="AN16" s="73">
        <f t="shared" si="5"/>
        <v>-27.49140893</v>
      </c>
      <c r="AO16" s="69">
        <v>48.0</v>
      </c>
      <c r="AP16" s="69">
        <v>48.0</v>
      </c>
      <c r="AQ16" s="69">
        <v>44.0</v>
      </c>
      <c r="AR16" s="69">
        <v>4.0</v>
      </c>
      <c r="AS16" s="69">
        <v>60.0</v>
      </c>
      <c r="AT16" s="69">
        <v>60.0</v>
      </c>
      <c r="AU16" s="69">
        <v>45.0</v>
      </c>
      <c r="AV16" s="69">
        <v>15.0</v>
      </c>
      <c r="AW16" s="69">
        <v>71.0</v>
      </c>
      <c r="AX16" s="69">
        <v>8.0</v>
      </c>
      <c r="AY16" s="69">
        <v>2.0</v>
      </c>
      <c r="AZ16" s="69">
        <v>58.0</v>
      </c>
      <c r="BA16" s="69">
        <v>58.0</v>
      </c>
      <c r="BB16" s="69">
        <v>0.0</v>
      </c>
      <c r="BC16" s="69">
        <v>0.0</v>
      </c>
      <c r="BD16" s="69">
        <v>58.0</v>
      </c>
      <c r="BE16" s="69">
        <v>0.0</v>
      </c>
      <c r="BF16" s="69">
        <v>0.0</v>
      </c>
      <c r="BG16" s="69"/>
      <c r="BH16" s="70"/>
      <c r="BI16" s="78">
        <v>265.0</v>
      </c>
      <c r="BJ16" s="69">
        <v>160.0</v>
      </c>
      <c r="BK16" s="79">
        <f t="shared" si="6"/>
        <v>1.65625</v>
      </c>
      <c r="BL16" s="80">
        <f t="shared" si="7"/>
        <v>25.59241706</v>
      </c>
      <c r="BM16" s="69">
        <v>48.0</v>
      </c>
      <c r="BN16" s="69">
        <v>48.0</v>
      </c>
      <c r="BO16" s="69">
        <v>45.0</v>
      </c>
      <c r="BP16" s="69">
        <v>3.0</v>
      </c>
      <c r="BQ16" s="69">
        <v>59.0</v>
      </c>
      <c r="BR16" s="69">
        <v>59.0</v>
      </c>
      <c r="BS16" s="69">
        <v>53.0</v>
      </c>
      <c r="BT16" s="69">
        <v>6.0</v>
      </c>
      <c r="BU16" s="69">
        <v>62.0</v>
      </c>
      <c r="BV16" s="69">
        <v>4.0</v>
      </c>
      <c r="BW16" s="69">
        <v>2.0</v>
      </c>
      <c r="BX16" s="69">
        <v>59.0</v>
      </c>
      <c r="BY16" s="69">
        <v>59.0</v>
      </c>
      <c r="BZ16" s="69">
        <v>1.0</v>
      </c>
      <c r="CA16" s="69">
        <v>1.0</v>
      </c>
      <c r="CB16" s="69">
        <v>58.0</v>
      </c>
      <c r="CC16" s="69">
        <v>59.0</v>
      </c>
      <c r="CD16" s="69">
        <v>3.0</v>
      </c>
      <c r="CE16" s="69">
        <v>1.0</v>
      </c>
      <c r="CF16" s="69">
        <v>58.0</v>
      </c>
      <c r="CG16" s="69"/>
      <c r="CH16" s="69"/>
      <c r="CI16" s="70">
        <v>0.0</v>
      </c>
      <c r="CJ16" s="78">
        <v>378.0</v>
      </c>
      <c r="CK16" s="69">
        <v>160.0</v>
      </c>
      <c r="CL16" s="79">
        <f t="shared" si="8"/>
        <v>2.3625</v>
      </c>
      <c r="CM16" s="81">
        <f t="shared" si="9"/>
        <v>42.64150943</v>
      </c>
      <c r="CN16" s="69">
        <v>48.0</v>
      </c>
      <c r="CO16" s="69">
        <v>46.0</v>
      </c>
      <c r="CP16" s="69">
        <v>42.0</v>
      </c>
      <c r="CQ16" s="69">
        <v>6.0</v>
      </c>
      <c r="CR16" s="71">
        <v>62.0</v>
      </c>
      <c r="CS16" s="69">
        <v>62.0</v>
      </c>
      <c r="CT16" s="69">
        <v>54.0</v>
      </c>
      <c r="CU16" s="69">
        <v>8.0</v>
      </c>
      <c r="CV16" s="71">
        <v>64.0</v>
      </c>
      <c r="CW16" s="69">
        <v>14.0</v>
      </c>
      <c r="CX16" s="69">
        <v>6.0</v>
      </c>
      <c r="CY16" s="69">
        <v>58.0</v>
      </c>
      <c r="CZ16" s="69"/>
      <c r="DA16" s="69">
        <v>4.0</v>
      </c>
      <c r="DB16" s="69">
        <v>0.0</v>
      </c>
      <c r="DC16" s="69"/>
      <c r="DD16" s="69">
        <v>-88.0</v>
      </c>
      <c r="DE16" s="69">
        <v>0.0</v>
      </c>
      <c r="DF16" s="69">
        <v>0.0</v>
      </c>
      <c r="DG16" s="69"/>
      <c r="DH16" s="69">
        <v>0.0</v>
      </c>
      <c r="DI16" s="69">
        <v>0.0</v>
      </c>
      <c r="DJ16" s="70"/>
      <c r="DK16" s="86">
        <v>510.0</v>
      </c>
      <c r="DL16" s="69">
        <v>160.0</v>
      </c>
      <c r="DM16" s="77">
        <f t="shared" si="10"/>
        <v>3.1875</v>
      </c>
      <c r="DN16" s="83">
        <f t="shared" si="11"/>
        <v>34.92063492</v>
      </c>
    </row>
    <row r="17">
      <c r="A17" s="69">
        <v>11.0</v>
      </c>
      <c r="B17" s="69" t="s">
        <v>279</v>
      </c>
      <c r="C17" s="69" t="s">
        <v>280</v>
      </c>
      <c r="D17" s="70" t="s">
        <v>15</v>
      </c>
      <c r="E17" s="71">
        <v>212.0</v>
      </c>
      <c r="F17" s="69">
        <v>35.0</v>
      </c>
      <c r="G17" s="69">
        <v>35.0</v>
      </c>
      <c r="H17" s="69">
        <v>32.0</v>
      </c>
      <c r="I17" s="69">
        <v>3.0</v>
      </c>
      <c r="J17" s="72">
        <v>266.0</v>
      </c>
      <c r="K17" s="69">
        <v>66.0</v>
      </c>
      <c r="L17" s="69">
        <v>66.0</v>
      </c>
      <c r="M17" s="69">
        <v>52.0</v>
      </c>
      <c r="N17" s="69">
        <v>8.0</v>
      </c>
      <c r="O17" s="72">
        <v>37.0</v>
      </c>
      <c r="P17" s="69">
        <v>50.0</v>
      </c>
      <c r="Q17" s="69">
        <v>25.0</v>
      </c>
      <c r="R17" s="69">
        <v>9.0</v>
      </c>
      <c r="S17" s="70">
        <v>47.0</v>
      </c>
      <c r="T17" s="69">
        <f t="shared" si="1"/>
        <v>515</v>
      </c>
      <c r="U17" s="69">
        <v>140.0</v>
      </c>
      <c r="V17" s="73">
        <f t="shared" si="2"/>
        <v>3.678571429</v>
      </c>
      <c r="W17" s="74">
        <v>202.0</v>
      </c>
      <c r="X17" s="69">
        <v>35.0</v>
      </c>
      <c r="Y17" s="69">
        <v>35.0</v>
      </c>
      <c r="Z17" s="69">
        <v>24.0</v>
      </c>
      <c r="AA17" s="69">
        <v>11.0</v>
      </c>
      <c r="AB17" s="84">
        <v>229.0</v>
      </c>
      <c r="AC17" s="69">
        <v>67.0</v>
      </c>
      <c r="AD17" s="69">
        <v>67.0</v>
      </c>
      <c r="AE17" s="69">
        <v>57.0</v>
      </c>
      <c r="AF17" s="69">
        <v>10.0</v>
      </c>
      <c r="AG17" s="69">
        <v>54.0</v>
      </c>
      <c r="AH17" s="69">
        <v>11.0</v>
      </c>
      <c r="AI17" s="69">
        <v>4.0</v>
      </c>
      <c r="AJ17" s="69">
        <v>50.0</v>
      </c>
      <c r="AK17" s="69">
        <f t="shared" si="3"/>
        <v>431</v>
      </c>
      <c r="AL17" s="76">
        <v>140.0</v>
      </c>
      <c r="AM17" s="77">
        <f t="shared" si="4"/>
        <v>3.078571429</v>
      </c>
      <c r="AN17" s="73">
        <f t="shared" si="5"/>
        <v>-16.31067961</v>
      </c>
      <c r="AO17" s="69">
        <v>48.0</v>
      </c>
      <c r="AP17" s="69">
        <v>48.0</v>
      </c>
      <c r="AQ17" s="69">
        <v>40.0</v>
      </c>
      <c r="AR17" s="69">
        <v>8.0</v>
      </c>
      <c r="AS17" s="69">
        <v>64.0</v>
      </c>
      <c r="AT17" s="69">
        <v>64.0</v>
      </c>
      <c r="AU17" s="69">
        <v>52.0</v>
      </c>
      <c r="AV17" s="69">
        <v>12.0</v>
      </c>
      <c r="AW17" s="69">
        <v>68.0</v>
      </c>
      <c r="AX17" s="69">
        <v>18.0</v>
      </c>
      <c r="AY17" s="69">
        <v>6.0</v>
      </c>
      <c r="AZ17" s="69">
        <v>58.0</v>
      </c>
      <c r="BA17" s="69">
        <v>58.0</v>
      </c>
      <c r="BB17" s="69">
        <v>1.0</v>
      </c>
      <c r="BC17" s="69">
        <v>1.0</v>
      </c>
      <c r="BD17" s="69">
        <v>57.0</v>
      </c>
      <c r="BE17" s="69">
        <v>0.0</v>
      </c>
      <c r="BF17" s="69">
        <v>0.0</v>
      </c>
      <c r="BG17" s="69"/>
      <c r="BH17" s="70"/>
      <c r="BI17" s="78">
        <v>408.0</v>
      </c>
      <c r="BJ17" s="69">
        <v>160.0</v>
      </c>
      <c r="BK17" s="79">
        <f t="shared" si="6"/>
        <v>2.55</v>
      </c>
      <c r="BL17" s="80">
        <f t="shared" si="7"/>
        <v>-5.336426914</v>
      </c>
      <c r="BM17" s="69">
        <v>48.0</v>
      </c>
      <c r="BN17" s="69">
        <v>48.0</v>
      </c>
      <c r="BO17" s="69">
        <v>44.0</v>
      </c>
      <c r="BP17" s="69">
        <v>4.0</v>
      </c>
      <c r="BQ17" s="69">
        <v>60.0</v>
      </c>
      <c r="BR17" s="69">
        <v>60.0</v>
      </c>
      <c r="BS17" s="69">
        <v>54.0</v>
      </c>
      <c r="BT17" s="69">
        <v>6.0</v>
      </c>
      <c r="BU17" s="69">
        <v>62.0</v>
      </c>
      <c r="BV17" s="69">
        <v>24.0</v>
      </c>
      <c r="BW17" s="69">
        <v>18.0</v>
      </c>
      <c r="BX17" s="69">
        <v>42.0</v>
      </c>
      <c r="BY17" s="69">
        <v>42.0</v>
      </c>
      <c r="BZ17" s="69">
        <v>4.0</v>
      </c>
      <c r="CA17" s="69">
        <v>2.0</v>
      </c>
      <c r="CB17" s="69">
        <v>40.0</v>
      </c>
      <c r="CC17" s="69">
        <v>42.0</v>
      </c>
      <c r="CD17" s="69">
        <v>1.0</v>
      </c>
      <c r="CE17" s="69">
        <v>0.0</v>
      </c>
      <c r="CF17" s="69">
        <v>42.0</v>
      </c>
      <c r="CG17" s="69"/>
      <c r="CH17" s="69"/>
      <c r="CI17" s="70">
        <v>0.0</v>
      </c>
      <c r="CJ17" s="78">
        <v>553.0</v>
      </c>
      <c r="CK17" s="69">
        <v>160.0</v>
      </c>
      <c r="CL17" s="79">
        <f t="shared" si="8"/>
        <v>3.45625</v>
      </c>
      <c r="CM17" s="81">
        <f t="shared" si="9"/>
        <v>35.53921569</v>
      </c>
      <c r="CN17" s="69">
        <v>42.0</v>
      </c>
      <c r="CO17" s="69">
        <v>41.0</v>
      </c>
      <c r="CP17" s="69">
        <v>36.0</v>
      </c>
      <c r="CQ17" s="69">
        <v>6.0</v>
      </c>
      <c r="CR17" s="71">
        <v>55.0</v>
      </c>
      <c r="CS17" s="69">
        <v>54.0</v>
      </c>
      <c r="CT17" s="69">
        <v>48.0</v>
      </c>
      <c r="CU17" s="69">
        <v>7.0</v>
      </c>
      <c r="CV17" s="71">
        <v>62.0</v>
      </c>
      <c r="CW17" s="69">
        <v>24.0</v>
      </c>
      <c r="CX17" s="69">
        <v>13.0</v>
      </c>
      <c r="CY17" s="69">
        <v>50.0</v>
      </c>
      <c r="CZ17" s="69"/>
      <c r="DA17" s="69">
        <v>3.0</v>
      </c>
      <c r="DB17" s="69">
        <v>1.0</v>
      </c>
      <c r="DC17" s="69"/>
      <c r="DD17" s="69">
        <v>-77.0</v>
      </c>
      <c r="DE17" s="69">
        <v>3.0</v>
      </c>
      <c r="DF17" s="69">
        <v>3.0</v>
      </c>
      <c r="DG17" s="69"/>
      <c r="DH17" s="69">
        <v>0.0</v>
      </c>
      <c r="DI17" s="69">
        <v>0.0</v>
      </c>
      <c r="DJ17" s="70"/>
      <c r="DK17" s="82">
        <v>550.0</v>
      </c>
      <c r="DL17" s="69">
        <v>140.0</v>
      </c>
      <c r="DM17" s="77">
        <f t="shared" si="10"/>
        <v>3.928571429</v>
      </c>
      <c r="DN17" s="83">
        <f t="shared" si="11"/>
        <v>-0.5424954792</v>
      </c>
    </row>
    <row r="18">
      <c r="A18" s="69">
        <v>12.0</v>
      </c>
      <c r="B18" s="69" t="s">
        <v>285</v>
      </c>
      <c r="C18" s="69" t="s">
        <v>286</v>
      </c>
      <c r="D18" s="70" t="s">
        <v>15</v>
      </c>
      <c r="E18" s="71">
        <v>274.0</v>
      </c>
      <c r="F18" s="69">
        <v>30.0</v>
      </c>
      <c r="G18" s="69">
        <v>30.0</v>
      </c>
      <c r="H18" s="69">
        <v>27.0</v>
      </c>
      <c r="I18" s="69">
        <v>3.0</v>
      </c>
      <c r="J18" s="72">
        <v>219.0</v>
      </c>
      <c r="K18" s="69">
        <v>57.0</v>
      </c>
      <c r="L18" s="69">
        <v>57.0</v>
      </c>
      <c r="M18" s="69">
        <v>45.0</v>
      </c>
      <c r="N18" s="69">
        <v>9.0</v>
      </c>
      <c r="O18" s="72">
        <v>57.0</v>
      </c>
      <c r="P18" s="69">
        <v>45.0</v>
      </c>
      <c r="Q18" s="69">
        <v>31.0</v>
      </c>
      <c r="R18" s="69">
        <v>12.0</v>
      </c>
      <c r="S18" s="70">
        <v>36.0</v>
      </c>
      <c r="T18" s="69">
        <f t="shared" si="1"/>
        <v>550</v>
      </c>
      <c r="U18" s="69">
        <v>120.0</v>
      </c>
      <c r="V18" s="73">
        <f t="shared" si="2"/>
        <v>4.583333333</v>
      </c>
      <c r="W18" s="74">
        <v>214.0</v>
      </c>
      <c r="X18" s="69">
        <v>33.0</v>
      </c>
      <c r="Y18" s="69">
        <v>33.0</v>
      </c>
      <c r="Z18" s="69">
        <v>31.0</v>
      </c>
      <c r="AA18" s="69">
        <v>2.0</v>
      </c>
      <c r="AB18" s="84">
        <v>169.0</v>
      </c>
      <c r="AC18" s="69">
        <v>54.0</v>
      </c>
      <c r="AD18" s="69">
        <v>54.0</v>
      </c>
      <c r="AE18" s="69">
        <v>36.0</v>
      </c>
      <c r="AF18" s="69">
        <v>18.0</v>
      </c>
      <c r="AG18" s="69">
        <v>60.0</v>
      </c>
      <c r="AH18" s="69">
        <v>25.0</v>
      </c>
      <c r="AI18" s="69">
        <v>15.0</v>
      </c>
      <c r="AJ18" s="69">
        <v>45.0</v>
      </c>
      <c r="AK18" s="69">
        <f t="shared" si="3"/>
        <v>383</v>
      </c>
      <c r="AL18" s="76">
        <v>130.0</v>
      </c>
      <c r="AM18" s="77">
        <f t="shared" si="4"/>
        <v>2.946153846</v>
      </c>
      <c r="AN18" s="73">
        <f t="shared" si="5"/>
        <v>-30.36363636</v>
      </c>
      <c r="AO18" s="69">
        <v>48.0</v>
      </c>
      <c r="AP18" s="69">
        <v>48.0</v>
      </c>
      <c r="AQ18" s="69">
        <v>43.0</v>
      </c>
      <c r="AR18" s="69">
        <v>5.0</v>
      </c>
      <c r="AS18" s="69">
        <v>61.0</v>
      </c>
      <c r="AT18" s="69">
        <v>61.0</v>
      </c>
      <c r="AU18" s="69">
        <v>56.0</v>
      </c>
      <c r="AV18" s="69">
        <v>5.0</v>
      </c>
      <c r="AW18" s="69">
        <v>61.0</v>
      </c>
      <c r="AX18" s="69">
        <v>23.0</v>
      </c>
      <c r="AY18" s="69">
        <v>13.0</v>
      </c>
      <c r="AZ18" s="69">
        <v>48.0</v>
      </c>
      <c r="BA18" s="69">
        <v>48.0</v>
      </c>
      <c r="BB18" s="69">
        <v>3.0</v>
      </c>
      <c r="BC18" s="69">
        <v>2.0</v>
      </c>
      <c r="BD18" s="69">
        <v>46.0</v>
      </c>
      <c r="BE18" s="69">
        <v>0.0</v>
      </c>
      <c r="BF18" s="69">
        <v>0.0</v>
      </c>
      <c r="BG18" s="69">
        <v>1.0</v>
      </c>
      <c r="BH18" s="70">
        <v>1.0</v>
      </c>
      <c r="BI18" s="78">
        <v>492.0</v>
      </c>
      <c r="BJ18" s="69">
        <v>160.0</v>
      </c>
      <c r="BK18" s="79">
        <f t="shared" si="6"/>
        <v>3.075</v>
      </c>
      <c r="BL18" s="80">
        <f t="shared" si="7"/>
        <v>28.45953003</v>
      </c>
      <c r="BM18" s="69">
        <v>36.0</v>
      </c>
      <c r="BN18" s="69">
        <v>36.0</v>
      </c>
      <c r="BO18" s="69">
        <v>34.0</v>
      </c>
      <c r="BP18" s="69">
        <v>2.0</v>
      </c>
      <c r="BQ18" s="69">
        <v>44.0</v>
      </c>
      <c r="BR18" s="69">
        <v>44.0</v>
      </c>
      <c r="BS18" s="69">
        <v>37.0</v>
      </c>
      <c r="BT18" s="69">
        <v>7.0</v>
      </c>
      <c r="BU18" s="69">
        <v>49.0</v>
      </c>
      <c r="BV18" s="69">
        <v>15.0</v>
      </c>
      <c r="BW18" s="69">
        <v>8.0</v>
      </c>
      <c r="BX18" s="69">
        <v>38.0</v>
      </c>
      <c r="BY18" s="69">
        <v>38.0</v>
      </c>
      <c r="BZ18" s="69">
        <v>6.0</v>
      </c>
      <c r="CA18" s="69">
        <v>3.0</v>
      </c>
      <c r="CB18" s="69">
        <v>35.0</v>
      </c>
      <c r="CC18" s="69">
        <v>38.0</v>
      </c>
      <c r="CD18" s="69">
        <v>0.0</v>
      </c>
      <c r="CE18" s="69">
        <v>0.0</v>
      </c>
      <c r="CF18" s="69">
        <v>38.0</v>
      </c>
      <c r="CG18" s="69"/>
      <c r="CH18" s="69"/>
      <c r="CI18" s="70">
        <v>0.0</v>
      </c>
      <c r="CJ18" s="78">
        <v>533.0</v>
      </c>
      <c r="CK18" s="69">
        <v>120.0</v>
      </c>
      <c r="CL18" s="79">
        <f t="shared" si="8"/>
        <v>4.441666667</v>
      </c>
      <c r="CM18" s="81">
        <f t="shared" si="9"/>
        <v>8.333333333</v>
      </c>
      <c r="CN18" s="69">
        <v>36.0</v>
      </c>
      <c r="CO18" s="69">
        <v>35.0</v>
      </c>
      <c r="CP18" s="69">
        <v>34.0</v>
      </c>
      <c r="CQ18" s="69">
        <v>2.0</v>
      </c>
      <c r="CR18" s="71">
        <v>44.0</v>
      </c>
      <c r="CS18" s="69">
        <v>44.0</v>
      </c>
      <c r="CT18" s="69">
        <v>35.0</v>
      </c>
      <c r="CU18" s="69">
        <v>9.0</v>
      </c>
      <c r="CV18" s="71">
        <v>49.0</v>
      </c>
      <c r="CW18" s="69">
        <v>24.0</v>
      </c>
      <c r="CX18" s="69">
        <v>14.0</v>
      </c>
      <c r="CY18" s="69">
        <v>37.0</v>
      </c>
      <c r="CZ18" s="69"/>
      <c r="DA18" s="69">
        <v>5.0</v>
      </c>
      <c r="DB18" s="69">
        <v>2.0</v>
      </c>
      <c r="DC18" s="69"/>
      <c r="DD18" s="69">
        <v>-72.0</v>
      </c>
      <c r="DE18" s="69">
        <v>0.0</v>
      </c>
      <c r="DF18" s="69">
        <v>0.0</v>
      </c>
      <c r="DG18" s="69"/>
      <c r="DH18" s="69">
        <v>2.0</v>
      </c>
      <c r="DI18" s="69">
        <v>1.0</v>
      </c>
      <c r="DJ18" s="70"/>
      <c r="DK18" s="82">
        <v>638.0</v>
      </c>
      <c r="DL18" s="69">
        <v>120.0</v>
      </c>
      <c r="DM18" s="77">
        <f t="shared" si="10"/>
        <v>5.316666667</v>
      </c>
      <c r="DN18" s="83">
        <f t="shared" si="11"/>
        <v>19.69981238</v>
      </c>
    </row>
    <row r="19">
      <c r="A19" s="69">
        <v>13.0</v>
      </c>
      <c r="B19" s="69" t="s">
        <v>288</v>
      </c>
      <c r="C19" s="69" t="s">
        <v>289</v>
      </c>
      <c r="D19" s="70" t="s">
        <v>15</v>
      </c>
      <c r="E19" s="71">
        <v>246.0</v>
      </c>
      <c r="F19" s="69">
        <v>30.0</v>
      </c>
      <c r="G19" s="69">
        <v>30.0</v>
      </c>
      <c r="H19" s="69">
        <v>28.0</v>
      </c>
      <c r="I19" s="69">
        <v>2.0</v>
      </c>
      <c r="J19" s="72">
        <v>197.0</v>
      </c>
      <c r="K19" s="69">
        <v>56.0</v>
      </c>
      <c r="L19" s="69">
        <v>56.0</v>
      </c>
      <c r="M19" s="69">
        <v>48.0</v>
      </c>
      <c r="N19" s="69">
        <v>6.0</v>
      </c>
      <c r="O19" s="72">
        <v>30.0</v>
      </c>
      <c r="P19" s="69">
        <v>42.0</v>
      </c>
      <c r="Q19" s="69">
        <v>16.0</v>
      </c>
      <c r="R19" s="69">
        <v>6.0</v>
      </c>
      <c r="S19" s="70">
        <v>38.0</v>
      </c>
      <c r="T19" s="69">
        <f t="shared" si="1"/>
        <v>473</v>
      </c>
      <c r="U19" s="69">
        <v>120.0</v>
      </c>
      <c r="V19" s="73">
        <f t="shared" si="2"/>
        <v>3.941666667</v>
      </c>
      <c r="W19" s="74">
        <v>247.0</v>
      </c>
      <c r="X19" s="69">
        <v>33.0</v>
      </c>
      <c r="Y19" s="69">
        <v>33.0</v>
      </c>
      <c r="Z19" s="69">
        <v>29.0</v>
      </c>
      <c r="AA19" s="69">
        <v>4.0</v>
      </c>
      <c r="AB19" s="84">
        <v>161.0</v>
      </c>
      <c r="AC19" s="69">
        <v>56.0</v>
      </c>
      <c r="AD19" s="69">
        <v>56.0</v>
      </c>
      <c r="AE19" s="69">
        <v>52.0</v>
      </c>
      <c r="AF19" s="69">
        <v>4.0</v>
      </c>
      <c r="AG19" s="69">
        <v>47.0</v>
      </c>
      <c r="AH19" s="69">
        <v>7.0</v>
      </c>
      <c r="AI19" s="69">
        <v>5.0</v>
      </c>
      <c r="AJ19" s="69">
        <v>42.0</v>
      </c>
      <c r="AK19" s="69">
        <f t="shared" si="3"/>
        <v>408</v>
      </c>
      <c r="AL19" s="76">
        <v>130.0</v>
      </c>
      <c r="AM19" s="77">
        <f t="shared" si="4"/>
        <v>3.138461538</v>
      </c>
      <c r="AN19" s="73">
        <f t="shared" si="5"/>
        <v>-13.74207188</v>
      </c>
      <c r="AO19" s="69">
        <v>48.0</v>
      </c>
      <c r="AP19" s="69">
        <v>48.0</v>
      </c>
      <c r="AQ19" s="69">
        <v>42.0</v>
      </c>
      <c r="AR19" s="69">
        <v>6.0</v>
      </c>
      <c r="AS19" s="69">
        <v>62.0</v>
      </c>
      <c r="AT19" s="69">
        <v>62.0</v>
      </c>
      <c r="AU19" s="69">
        <v>49.0</v>
      </c>
      <c r="AV19" s="69">
        <v>13.0</v>
      </c>
      <c r="AW19" s="69">
        <v>69.0</v>
      </c>
      <c r="AX19" s="69">
        <v>17.0</v>
      </c>
      <c r="AY19" s="69">
        <v>9.0</v>
      </c>
      <c r="AZ19" s="69">
        <v>53.0</v>
      </c>
      <c r="BA19" s="69">
        <v>53.0</v>
      </c>
      <c r="BB19" s="69">
        <v>2.0</v>
      </c>
      <c r="BC19" s="69">
        <v>2.0</v>
      </c>
      <c r="BD19" s="69">
        <v>51.0</v>
      </c>
      <c r="BE19" s="69">
        <v>0.0</v>
      </c>
      <c r="BF19" s="69">
        <v>0.0</v>
      </c>
      <c r="BG19" s="69"/>
      <c r="BH19" s="70"/>
      <c r="BI19" s="78">
        <v>500.0</v>
      </c>
      <c r="BJ19" s="69">
        <v>160.0</v>
      </c>
      <c r="BK19" s="79">
        <f t="shared" si="6"/>
        <v>3.125</v>
      </c>
      <c r="BL19" s="80">
        <f t="shared" si="7"/>
        <v>22.54901961</v>
      </c>
      <c r="BM19" s="69">
        <v>36.0</v>
      </c>
      <c r="BN19" s="69">
        <v>36.0</v>
      </c>
      <c r="BO19" s="69">
        <v>34.0</v>
      </c>
      <c r="BP19" s="69">
        <v>2.0</v>
      </c>
      <c r="BQ19" s="69">
        <v>44.0</v>
      </c>
      <c r="BR19" s="69">
        <v>44.0</v>
      </c>
      <c r="BS19" s="69">
        <v>38.0</v>
      </c>
      <c r="BT19" s="69">
        <v>6.0</v>
      </c>
      <c r="BU19" s="69">
        <v>48.0</v>
      </c>
      <c r="BV19" s="69">
        <v>13.0</v>
      </c>
      <c r="BW19" s="69">
        <v>10.0</v>
      </c>
      <c r="BX19" s="69">
        <v>37.0</v>
      </c>
      <c r="BY19" s="69">
        <v>37.0</v>
      </c>
      <c r="BZ19" s="69">
        <v>1.0</v>
      </c>
      <c r="CA19" s="69">
        <v>1.0</v>
      </c>
      <c r="CB19" s="69">
        <v>36.0</v>
      </c>
      <c r="CC19" s="69">
        <v>37.0</v>
      </c>
      <c r="CD19" s="69">
        <v>0.0</v>
      </c>
      <c r="CE19" s="69">
        <v>0.0</v>
      </c>
      <c r="CF19" s="69">
        <v>37.0</v>
      </c>
      <c r="CG19" s="69"/>
      <c r="CH19" s="69"/>
      <c r="CI19" s="70">
        <v>0.0</v>
      </c>
      <c r="CJ19" s="78">
        <v>521.0</v>
      </c>
      <c r="CK19" s="69">
        <v>120.0</v>
      </c>
      <c r="CL19" s="79">
        <f t="shared" si="8"/>
        <v>4.341666667</v>
      </c>
      <c r="CM19" s="81">
        <f t="shared" si="9"/>
        <v>4.2</v>
      </c>
      <c r="CN19" s="69">
        <v>36.0</v>
      </c>
      <c r="CO19" s="69">
        <v>36.0</v>
      </c>
      <c r="CP19" s="69">
        <v>35.0</v>
      </c>
      <c r="CQ19" s="69">
        <v>1.0</v>
      </c>
      <c r="CR19" s="71">
        <v>43.0</v>
      </c>
      <c r="CS19" s="69">
        <v>43.0</v>
      </c>
      <c r="CT19" s="69">
        <v>37.0</v>
      </c>
      <c r="CU19" s="69">
        <v>6.0</v>
      </c>
      <c r="CV19" s="71">
        <v>47.0</v>
      </c>
      <c r="CW19" s="69">
        <v>9.0</v>
      </c>
      <c r="CX19" s="69">
        <v>6.0</v>
      </c>
      <c r="CY19" s="69">
        <v>42.0</v>
      </c>
      <c r="CZ19" s="69"/>
      <c r="DA19" s="69">
        <v>8.0</v>
      </c>
      <c r="DB19" s="69">
        <v>1.0</v>
      </c>
      <c r="DC19" s="69"/>
      <c r="DD19" s="69">
        <v>-71.0</v>
      </c>
      <c r="DE19" s="69">
        <v>0.0</v>
      </c>
      <c r="DF19" s="69">
        <v>0.0</v>
      </c>
      <c r="DG19" s="69"/>
      <c r="DH19" s="69">
        <v>0.0</v>
      </c>
      <c r="DI19" s="69">
        <v>0.0</v>
      </c>
      <c r="DJ19" s="70"/>
      <c r="DK19" s="82">
        <v>448.0</v>
      </c>
      <c r="DL19" s="69">
        <v>120.0</v>
      </c>
      <c r="DM19" s="77">
        <f t="shared" si="10"/>
        <v>3.733333333</v>
      </c>
      <c r="DN19" s="83">
        <f t="shared" si="11"/>
        <v>-14.01151631</v>
      </c>
    </row>
    <row r="20">
      <c r="A20" s="69">
        <v>14.0</v>
      </c>
      <c r="B20" s="69" t="s">
        <v>292</v>
      </c>
      <c r="C20" s="69" t="s">
        <v>293</v>
      </c>
      <c r="D20" s="70" t="s">
        <v>15</v>
      </c>
      <c r="E20" s="71">
        <v>91.0</v>
      </c>
      <c r="F20" s="69">
        <v>25.0</v>
      </c>
      <c r="G20" s="69">
        <v>25.0</v>
      </c>
      <c r="H20" s="69">
        <v>24.0</v>
      </c>
      <c r="I20" s="69">
        <v>1.0</v>
      </c>
      <c r="J20" s="72">
        <v>73.0</v>
      </c>
      <c r="K20" s="69">
        <v>46.0</v>
      </c>
      <c r="L20" s="69">
        <v>46.0</v>
      </c>
      <c r="M20" s="69">
        <v>40.0</v>
      </c>
      <c r="N20" s="69">
        <v>5.0</v>
      </c>
      <c r="O20" s="72">
        <v>11.0</v>
      </c>
      <c r="P20" s="69">
        <v>35.0</v>
      </c>
      <c r="Q20" s="69">
        <v>3.0</v>
      </c>
      <c r="R20" s="69">
        <v>1.0</v>
      </c>
      <c r="S20" s="70">
        <v>35.0</v>
      </c>
      <c r="T20" s="69">
        <f t="shared" si="1"/>
        <v>175</v>
      </c>
      <c r="U20" s="69">
        <v>100.0</v>
      </c>
      <c r="V20" s="73">
        <f t="shared" si="2"/>
        <v>1.75</v>
      </c>
      <c r="W20" s="74">
        <v>84.0</v>
      </c>
      <c r="X20" s="69">
        <v>28.0</v>
      </c>
      <c r="Y20" s="69">
        <v>28.0</v>
      </c>
      <c r="Z20" s="69">
        <v>26.0</v>
      </c>
      <c r="AA20" s="69">
        <v>2.0</v>
      </c>
      <c r="AB20" s="84">
        <v>45.0</v>
      </c>
      <c r="AC20" s="69">
        <v>46.0</v>
      </c>
      <c r="AD20" s="69">
        <v>32.0</v>
      </c>
      <c r="AE20" s="69">
        <v>29.0</v>
      </c>
      <c r="AF20" s="69">
        <v>17.0</v>
      </c>
      <c r="AG20" s="69">
        <v>55.0</v>
      </c>
      <c r="AH20" s="69">
        <v>3.0</v>
      </c>
      <c r="AI20" s="69">
        <v>1.0</v>
      </c>
      <c r="AJ20" s="69">
        <v>54.0</v>
      </c>
      <c r="AK20" s="69">
        <f t="shared" si="3"/>
        <v>129</v>
      </c>
      <c r="AL20" s="76">
        <v>110.0</v>
      </c>
      <c r="AM20" s="77">
        <f t="shared" si="4"/>
        <v>1.172727273</v>
      </c>
      <c r="AN20" s="73">
        <f t="shared" si="5"/>
        <v>-26.28571429</v>
      </c>
      <c r="AO20" s="69">
        <v>48.0</v>
      </c>
      <c r="AP20" s="69">
        <v>48.0</v>
      </c>
      <c r="AQ20" s="69">
        <v>40.0</v>
      </c>
      <c r="AR20" s="69">
        <v>8.0</v>
      </c>
      <c r="AS20" s="69">
        <v>64.0</v>
      </c>
      <c r="AT20" s="69">
        <v>41.0</v>
      </c>
      <c r="AU20" s="69">
        <v>37.0</v>
      </c>
      <c r="AV20" s="69">
        <v>27.0</v>
      </c>
      <c r="AW20" s="69">
        <v>83.0</v>
      </c>
      <c r="AX20" s="69">
        <v>4.0</v>
      </c>
      <c r="AY20" s="69">
        <v>1.0</v>
      </c>
      <c r="AZ20" s="69">
        <v>63.0</v>
      </c>
      <c r="BA20" s="69">
        <v>63.0</v>
      </c>
      <c r="BB20" s="69">
        <v>1.0</v>
      </c>
      <c r="BC20" s="69">
        <v>1.0</v>
      </c>
      <c r="BD20" s="69">
        <v>62.0</v>
      </c>
      <c r="BE20" s="69">
        <v>0.0</v>
      </c>
      <c r="BF20" s="69">
        <v>0.0</v>
      </c>
      <c r="BG20" s="69"/>
      <c r="BH20" s="70"/>
      <c r="BI20" s="78">
        <v>175.0</v>
      </c>
      <c r="BJ20" s="69">
        <v>160.0</v>
      </c>
      <c r="BK20" s="79">
        <f t="shared" si="6"/>
        <v>1.09375</v>
      </c>
      <c r="BL20" s="80">
        <f t="shared" si="7"/>
        <v>35.65891473</v>
      </c>
      <c r="BM20" s="69">
        <v>36.0</v>
      </c>
      <c r="BN20" s="69">
        <v>36.0</v>
      </c>
      <c r="BO20" s="69">
        <v>31.0</v>
      </c>
      <c r="BP20" s="69">
        <v>5.0</v>
      </c>
      <c r="BQ20" s="69">
        <v>47.0</v>
      </c>
      <c r="BR20" s="69">
        <v>39.0</v>
      </c>
      <c r="BS20" s="69">
        <v>33.0</v>
      </c>
      <c r="BT20" s="69">
        <v>14.0</v>
      </c>
      <c r="BU20" s="69">
        <v>56.0</v>
      </c>
      <c r="BV20" s="69">
        <v>1.0</v>
      </c>
      <c r="BW20" s="69">
        <v>1.0</v>
      </c>
      <c r="BX20" s="69">
        <v>55.0</v>
      </c>
      <c r="BY20" s="69">
        <v>55.0</v>
      </c>
      <c r="BZ20" s="69">
        <v>1.0</v>
      </c>
      <c r="CA20" s="69">
        <v>0.0</v>
      </c>
      <c r="CB20" s="69">
        <v>55.0</v>
      </c>
      <c r="CC20" s="69">
        <v>55.0</v>
      </c>
      <c r="CD20" s="69">
        <v>0.0</v>
      </c>
      <c r="CE20" s="69">
        <v>0.0</v>
      </c>
      <c r="CF20" s="69">
        <v>55.0</v>
      </c>
      <c r="CG20" s="69"/>
      <c r="CH20" s="69"/>
      <c r="CI20" s="70">
        <v>0.0</v>
      </c>
      <c r="CJ20" s="78">
        <v>153.0</v>
      </c>
      <c r="CK20" s="69">
        <v>120.0</v>
      </c>
      <c r="CL20" s="79">
        <f t="shared" si="8"/>
        <v>1.275</v>
      </c>
      <c r="CM20" s="81">
        <f t="shared" si="9"/>
        <v>-12.57142857</v>
      </c>
      <c r="CN20" s="69">
        <v>36.0</v>
      </c>
      <c r="CO20" s="69">
        <v>36.0</v>
      </c>
      <c r="CP20" s="69">
        <v>31.0</v>
      </c>
      <c r="CQ20" s="69">
        <v>5.0</v>
      </c>
      <c r="CR20" s="71">
        <v>47.0</v>
      </c>
      <c r="CS20" s="69">
        <v>47.0</v>
      </c>
      <c r="CT20" s="69">
        <v>44.0</v>
      </c>
      <c r="CU20" s="69">
        <v>3.0</v>
      </c>
      <c r="CV20" s="71">
        <v>43.0</v>
      </c>
      <c r="CW20" s="69">
        <v>1.0</v>
      </c>
      <c r="CX20" s="69">
        <v>1.0</v>
      </c>
      <c r="CY20" s="69">
        <v>44.0</v>
      </c>
      <c r="CZ20" s="69"/>
      <c r="DA20" s="69">
        <v>2.0</v>
      </c>
      <c r="DB20" s="69">
        <v>2.0</v>
      </c>
      <c r="DC20" s="69"/>
      <c r="DD20" s="69">
        <v>-68.0</v>
      </c>
      <c r="DE20" s="69">
        <v>0.0</v>
      </c>
      <c r="DF20" s="69">
        <v>0.0</v>
      </c>
      <c r="DG20" s="69"/>
      <c r="DH20" s="69">
        <v>0.0</v>
      </c>
      <c r="DI20" s="69">
        <v>0.0</v>
      </c>
      <c r="DJ20" s="70"/>
      <c r="DK20" s="82">
        <v>155.0</v>
      </c>
      <c r="DL20" s="69">
        <v>120.0</v>
      </c>
      <c r="DM20" s="77">
        <f t="shared" si="10"/>
        <v>1.291666667</v>
      </c>
      <c r="DN20" s="83">
        <f t="shared" si="11"/>
        <v>1.307189542</v>
      </c>
    </row>
    <row r="21" ht="15.75" customHeight="1">
      <c r="A21" s="69">
        <v>15.0</v>
      </c>
      <c r="B21" s="69" t="s">
        <v>295</v>
      </c>
      <c r="C21" s="69" t="s">
        <v>296</v>
      </c>
      <c r="D21" s="70" t="s">
        <v>15</v>
      </c>
      <c r="E21" s="71">
        <v>106.0</v>
      </c>
      <c r="F21" s="69">
        <v>25.0</v>
      </c>
      <c r="G21" s="69">
        <v>25.0</v>
      </c>
      <c r="H21" s="69">
        <v>23.0</v>
      </c>
      <c r="I21" s="69">
        <v>2.0</v>
      </c>
      <c r="J21" s="72">
        <v>66.0</v>
      </c>
      <c r="K21" s="69">
        <v>47.0</v>
      </c>
      <c r="L21" s="69">
        <v>47.0</v>
      </c>
      <c r="M21" s="69">
        <v>38.0</v>
      </c>
      <c r="N21" s="69">
        <v>8.0</v>
      </c>
      <c r="O21" s="72">
        <v>8.0</v>
      </c>
      <c r="P21" s="69">
        <v>38.0</v>
      </c>
      <c r="Q21" s="69">
        <v>5.0</v>
      </c>
      <c r="R21" s="69">
        <v>3.0</v>
      </c>
      <c r="S21" s="70">
        <v>36.0</v>
      </c>
      <c r="T21" s="69">
        <f t="shared" si="1"/>
        <v>180</v>
      </c>
      <c r="U21" s="69">
        <v>100.0</v>
      </c>
      <c r="V21" s="73">
        <f t="shared" si="2"/>
        <v>1.8</v>
      </c>
      <c r="W21" s="74">
        <v>88.0</v>
      </c>
      <c r="X21" s="69">
        <v>28.0</v>
      </c>
      <c r="Y21" s="69">
        <v>28.0</v>
      </c>
      <c r="Z21" s="69">
        <v>25.0</v>
      </c>
      <c r="AA21" s="69">
        <v>3.0</v>
      </c>
      <c r="AB21" s="84">
        <v>46.0</v>
      </c>
      <c r="AC21" s="69">
        <v>47.0</v>
      </c>
      <c r="AD21" s="69">
        <v>34.0</v>
      </c>
      <c r="AE21" s="69">
        <v>25.0</v>
      </c>
      <c r="AF21" s="69">
        <v>22.0</v>
      </c>
      <c r="AG21" s="69">
        <v>55.0</v>
      </c>
      <c r="AH21" s="69">
        <v>1.0</v>
      </c>
      <c r="AI21" s="69">
        <v>1.0</v>
      </c>
      <c r="AJ21" s="69">
        <v>54.0</v>
      </c>
      <c r="AK21" s="69">
        <f t="shared" si="3"/>
        <v>134</v>
      </c>
      <c r="AL21" s="76">
        <v>110.0</v>
      </c>
      <c r="AM21" s="77">
        <f t="shared" si="4"/>
        <v>1.218181818</v>
      </c>
      <c r="AN21" s="73">
        <f t="shared" si="5"/>
        <v>-25.55555556</v>
      </c>
      <c r="AO21" s="69">
        <v>36.0</v>
      </c>
      <c r="AP21" s="69">
        <v>36.0</v>
      </c>
      <c r="AQ21" s="69">
        <v>34.0</v>
      </c>
      <c r="AR21" s="69">
        <v>2.0</v>
      </c>
      <c r="AS21" s="69">
        <v>44.0</v>
      </c>
      <c r="AT21" s="69">
        <v>38.0</v>
      </c>
      <c r="AU21" s="69">
        <v>34.0</v>
      </c>
      <c r="AV21" s="69">
        <v>10.0</v>
      </c>
      <c r="AW21" s="69">
        <v>52.0</v>
      </c>
      <c r="AX21" s="69">
        <v>7.0</v>
      </c>
      <c r="AY21" s="69">
        <v>3.0</v>
      </c>
      <c r="AZ21" s="69">
        <v>41.0</v>
      </c>
      <c r="BA21" s="69">
        <v>41.0</v>
      </c>
      <c r="BB21" s="69">
        <v>1.0</v>
      </c>
      <c r="BC21" s="69">
        <v>1.0</v>
      </c>
      <c r="BD21" s="69">
        <v>40.0</v>
      </c>
      <c r="BE21" s="69">
        <v>0.0</v>
      </c>
      <c r="BF21" s="69">
        <v>0.0</v>
      </c>
      <c r="BG21" s="69"/>
      <c r="BH21" s="70"/>
      <c r="BI21" s="78">
        <v>178.0</v>
      </c>
      <c r="BJ21" s="69">
        <v>120.0</v>
      </c>
      <c r="BK21" s="79">
        <f t="shared" si="6"/>
        <v>1.483333333</v>
      </c>
      <c r="BL21" s="80">
        <f t="shared" si="7"/>
        <v>32.8358209</v>
      </c>
      <c r="BM21" s="69">
        <v>36.0</v>
      </c>
      <c r="BN21" s="69">
        <v>36.0</v>
      </c>
      <c r="BO21" s="69">
        <v>33.0</v>
      </c>
      <c r="BP21" s="69">
        <v>3.0</v>
      </c>
      <c r="BQ21" s="69">
        <v>45.0</v>
      </c>
      <c r="BR21" s="69">
        <v>45.0</v>
      </c>
      <c r="BS21" s="69">
        <v>36.0</v>
      </c>
      <c r="BT21" s="69">
        <v>9.0</v>
      </c>
      <c r="BU21" s="69">
        <v>51.0</v>
      </c>
      <c r="BV21" s="69">
        <v>4.0</v>
      </c>
      <c r="BW21" s="69">
        <v>2.0</v>
      </c>
      <c r="BX21" s="69">
        <v>48.0</v>
      </c>
      <c r="BY21" s="69">
        <v>48.0</v>
      </c>
      <c r="BZ21" s="69">
        <v>1.0</v>
      </c>
      <c r="CA21" s="69">
        <v>1.0</v>
      </c>
      <c r="CB21" s="69">
        <v>47.0</v>
      </c>
      <c r="CC21" s="69">
        <v>48.0</v>
      </c>
      <c r="CD21" s="69">
        <v>1.0</v>
      </c>
      <c r="CE21" s="69">
        <v>1.0</v>
      </c>
      <c r="CF21" s="69">
        <v>47.0</v>
      </c>
      <c r="CG21" s="69"/>
      <c r="CH21" s="69"/>
      <c r="CI21" s="70">
        <v>0.0</v>
      </c>
      <c r="CJ21" s="78">
        <v>216.0</v>
      </c>
      <c r="CK21" s="69">
        <v>120.0</v>
      </c>
      <c r="CL21" s="79">
        <f t="shared" si="8"/>
        <v>1.8</v>
      </c>
      <c r="CM21" s="81">
        <f t="shared" si="9"/>
        <v>21.34831461</v>
      </c>
      <c r="CN21" s="69">
        <v>36.0</v>
      </c>
      <c r="CO21" s="69">
        <v>36.0</v>
      </c>
      <c r="CP21" s="69">
        <v>33.0</v>
      </c>
      <c r="CQ21" s="69">
        <v>3.0</v>
      </c>
      <c r="CR21" s="71">
        <v>45.0</v>
      </c>
      <c r="CS21" s="69">
        <v>45.0</v>
      </c>
      <c r="CT21" s="69">
        <v>40.0</v>
      </c>
      <c r="CU21" s="69">
        <v>5.0</v>
      </c>
      <c r="CV21" s="71">
        <v>47.0</v>
      </c>
      <c r="CW21" s="69">
        <v>5.0</v>
      </c>
      <c r="CX21" s="69">
        <v>2.0</v>
      </c>
      <c r="CY21" s="69">
        <v>45.0</v>
      </c>
      <c r="CZ21" s="69"/>
      <c r="DA21" s="69">
        <v>0.0</v>
      </c>
      <c r="DB21" s="69">
        <v>0.0</v>
      </c>
      <c r="DC21" s="69"/>
      <c r="DD21" s="69">
        <v>-67.0</v>
      </c>
      <c r="DE21" s="69">
        <v>0.0</v>
      </c>
      <c r="DF21" s="69">
        <v>0.0</v>
      </c>
      <c r="DG21" s="69"/>
      <c r="DH21" s="69">
        <v>0.0</v>
      </c>
      <c r="DI21" s="69">
        <v>0.0</v>
      </c>
      <c r="DJ21" s="70"/>
      <c r="DK21" s="82">
        <v>206.0</v>
      </c>
      <c r="DL21" s="69">
        <v>120.0</v>
      </c>
      <c r="DM21" s="77">
        <f t="shared" si="10"/>
        <v>1.716666667</v>
      </c>
      <c r="DN21" s="83">
        <f t="shared" si="11"/>
        <v>-4.62962963</v>
      </c>
    </row>
    <row r="22" ht="15.75" customHeight="1">
      <c r="A22" s="69">
        <v>16.0</v>
      </c>
      <c r="B22" s="69" t="s">
        <v>301</v>
      </c>
      <c r="C22" s="69" t="s">
        <v>302</v>
      </c>
      <c r="D22" s="70" t="s">
        <v>15</v>
      </c>
      <c r="E22" s="71">
        <v>1219.0</v>
      </c>
      <c r="F22" s="69">
        <v>63.0</v>
      </c>
      <c r="G22" s="69">
        <v>68.0</v>
      </c>
      <c r="H22" s="69">
        <v>68.0</v>
      </c>
      <c r="I22" s="69">
        <v>-5.0</v>
      </c>
      <c r="J22" s="72">
        <v>2298.0</v>
      </c>
      <c r="K22" s="69">
        <v>112.0</v>
      </c>
      <c r="L22" s="69">
        <v>113.0</v>
      </c>
      <c r="M22" s="69">
        <v>107.0</v>
      </c>
      <c r="N22" s="69">
        <v>4.0</v>
      </c>
      <c r="O22" s="72">
        <v>575.0</v>
      </c>
      <c r="P22" s="69">
        <v>79.0</v>
      </c>
      <c r="Q22" s="69">
        <v>100.0</v>
      </c>
      <c r="R22" s="69">
        <v>83.0</v>
      </c>
      <c r="S22" s="70">
        <v>-8.0</v>
      </c>
      <c r="T22" s="69">
        <f t="shared" si="1"/>
        <v>4092</v>
      </c>
      <c r="U22" s="69">
        <v>250.0</v>
      </c>
      <c r="V22" s="73">
        <f t="shared" si="2"/>
        <v>16.368</v>
      </c>
      <c r="W22" s="74">
        <v>1239.0</v>
      </c>
      <c r="X22" s="69">
        <v>63.0</v>
      </c>
      <c r="Y22" s="69">
        <v>63.0</v>
      </c>
      <c r="Z22" s="69">
        <v>62.0</v>
      </c>
      <c r="AA22" s="69">
        <v>1.0</v>
      </c>
      <c r="AB22" s="84">
        <v>1971.0</v>
      </c>
      <c r="AC22" s="69">
        <v>101.0</v>
      </c>
      <c r="AD22" s="69">
        <v>101.0</v>
      </c>
      <c r="AE22" s="69">
        <v>95.0</v>
      </c>
      <c r="AF22" s="69">
        <v>6.0</v>
      </c>
      <c r="AG22" s="69">
        <v>89.0</v>
      </c>
      <c r="AH22" s="69">
        <v>89.0</v>
      </c>
      <c r="AI22" s="69">
        <v>56.0</v>
      </c>
      <c r="AJ22" s="69">
        <v>33.0</v>
      </c>
      <c r="AK22" s="69">
        <f t="shared" si="3"/>
        <v>3210</v>
      </c>
      <c r="AL22" s="76">
        <v>250.0</v>
      </c>
      <c r="AM22" s="77">
        <f t="shared" si="4"/>
        <v>12.84</v>
      </c>
      <c r="AN22" s="73">
        <f t="shared" si="5"/>
        <v>-21.5542522</v>
      </c>
      <c r="AO22" s="69">
        <v>75.0</v>
      </c>
      <c r="AP22" s="69">
        <v>75.0</v>
      </c>
      <c r="AQ22" s="69">
        <v>75.0</v>
      </c>
      <c r="AR22" s="69">
        <v>0.0</v>
      </c>
      <c r="AS22" s="69">
        <v>88.0</v>
      </c>
      <c r="AT22" s="69">
        <v>88.0</v>
      </c>
      <c r="AU22" s="69">
        <v>85.0</v>
      </c>
      <c r="AV22" s="69">
        <v>3.0</v>
      </c>
      <c r="AW22" s="69">
        <v>90.0</v>
      </c>
      <c r="AX22" s="69">
        <v>90.0</v>
      </c>
      <c r="AY22" s="69">
        <v>70.0</v>
      </c>
      <c r="AZ22" s="69">
        <v>18.0</v>
      </c>
      <c r="BA22" s="69">
        <v>18.0</v>
      </c>
      <c r="BB22" s="69">
        <v>8.0</v>
      </c>
      <c r="BC22" s="69">
        <v>8.0</v>
      </c>
      <c r="BD22" s="69">
        <v>10.0</v>
      </c>
      <c r="BE22" s="69">
        <v>21.0</v>
      </c>
      <c r="BF22" s="69">
        <v>21.0</v>
      </c>
      <c r="BG22" s="69"/>
      <c r="BH22" s="70"/>
      <c r="BI22" s="78">
        <v>4317.0</v>
      </c>
      <c r="BJ22" s="69">
        <v>250.0</v>
      </c>
      <c r="BK22" s="79">
        <f t="shared" si="6"/>
        <v>17.268</v>
      </c>
      <c r="BL22" s="80">
        <f t="shared" si="7"/>
        <v>34.48598131</v>
      </c>
      <c r="BM22" s="69">
        <v>75.0</v>
      </c>
      <c r="BN22" s="69">
        <v>76.0</v>
      </c>
      <c r="BO22" s="69">
        <v>76.0</v>
      </c>
      <c r="BP22" s="69">
        <v>-1.0</v>
      </c>
      <c r="BQ22" s="69">
        <v>88.0</v>
      </c>
      <c r="BR22" s="69">
        <v>88.0</v>
      </c>
      <c r="BS22" s="69">
        <v>86.0</v>
      </c>
      <c r="BT22" s="69">
        <v>2.0</v>
      </c>
      <c r="BU22" s="69">
        <v>91.0</v>
      </c>
      <c r="BV22" s="69">
        <v>79.0</v>
      </c>
      <c r="BW22" s="69">
        <v>61.0</v>
      </c>
      <c r="BX22" s="69">
        <v>21.0</v>
      </c>
      <c r="BY22" s="69">
        <v>21.0</v>
      </c>
      <c r="BZ22" s="69">
        <v>11.0</v>
      </c>
      <c r="CA22" s="69">
        <v>9.0</v>
      </c>
      <c r="CB22" s="69">
        <v>12.0</v>
      </c>
      <c r="CC22" s="69">
        <v>21.0</v>
      </c>
      <c r="CD22" s="69">
        <v>23.0</v>
      </c>
      <c r="CE22" s="69">
        <v>21.0</v>
      </c>
      <c r="CF22" s="69">
        <v>0.0</v>
      </c>
      <c r="CG22" s="69"/>
      <c r="CH22" s="69"/>
      <c r="CI22" s="70">
        <v>0.0</v>
      </c>
      <c r="CJ22" s="78">
        <v>4032.0</v>
      </c>
      <c r="CK22" s="69">
        <v>250.0</v>
      </c>
      <c r="CL22" s="79">
        <f t="shared" si="8"/>
        <v>16.128</v>
      </c>
      <c r="CM22" s="81">
        <f t="shared" si="9"/>
        <v>-6.60180681</v>
      </c>
      <c r="CN22" s="69">
        <v>75.0</v>
      </c>
      <c r="CO22" s="69">
        <v>75.0</v>
      </c>
      <c r="CP22" s="69">
        <v>75.0</v>
      </c>
      <c r="CQ22" s="69">
        <v>0.0</v>
      </c>
      <c r="CR22" s="71">
        <v>88.0</v>
      </c>
      <c r="CS22" s="69">
        <v>88.0</v>
      </c>
      <c r="CT22" s="69">
        <v>86.0</v>
      </c>
      <c r="CU22" s="69">
        <v>2.0</v>
      </c>
      <c r="CV22" s="71">
        <v>74.0</v>
      </c>
      <c r="CW22" s="69">
        <v>72.0</v>
      </c>
      <c r="CX22" s="69">
        <v>53.0</v>
      </c>
      <c r="CY22" s="69">
        <v>38.0</v>
      </c>
      <c r="CZ22" s="69"/>
      <c r="DA22" s="69">
        <v>241.0</v>
      </c>
      <c r="DB22" s="69">
        <v>17.0</v>
      </c>
      <c r="DC22" s="69"/>
      <c r="DD22" s="69">
        <v>-210.0</v>
      </c>
      <c r="DE22" s="69">
        <v>23.0</v>
      </c>
      <c r="DF22" s="69">
        <v>19.0</v>
      </c>
      <c r="DG22" s="69"/>
      <c r="DH22" s="69">
        <v>0.0</v>
      </c>
      <c r="DI22" s="69">
        <v>0.0</v>
      </c>
      <c r="DJ22" s="70"/>
      <c r="DK22" s="82">
        <v>2003.0</v>
      </c>
      <c r="DL22" s="69">
        <v>250.0</v>
      </c>
      <c r="DM22" s="77">
        <f t="shared" si="10"/>
        <v>8.012</v>
      </c>
      <c r="DN22" s="83">
        <f t="shared" si="11"/>
        <v>-50.32242063</v>
      </c>
    </row>
    <row r="23" ht="15.75" customHeight="1">
      <c r="A23" s="69">
        <v>116.0</v>
      </c>
      <c r="B23" s="69" t="s">
        <v>308</v>
      </c>
      <c r="C23" s="69" t="s">
        <v>309</v>
      </c>
      <c r="D23" s="70" t="s">
        <v>15</v>
      </c>
      <c r="E23" s="71">
        <v>969.0</v>
      </c>
      <c r="F23" s="69">
        <v>40.0</v>
      </c>
      <c r="G23" s="69">
        <v>41.0</v>
      </c>
      <c r="H23" s="69">
        <v>41.0</v>
      </c>
      <c r="I23" s="69">
        <v>-1.0</v>
      </c>
      <c r="J23" s="72">
        <v>1179.0</v>
      </c>
      <c r="K23" s="69">
        <v>72.0</v>
      </c>
      <c r="L23" s="69">
        <v>72.0</v>
      </c>
      <c r="M23" s="69">
        <v>59.0</v>
      </c>
      <c r="N23" s="69">
        <v>6.0</v>
      </c>
      <c r="O23" s="72">
        <v>118.0</v>
      </c>
      <c r="P23" s="69">
        <v>54.0</v>
      </c>
      <c r="Q23" s="69">
        <v>54.0</v>
      </c>
      <c r="R23" s="69">
        <v>27.0</v>
      </c>
      <c r="S23" s="70">
        <v>33.0</v>
      </c>
      <c r="T23" s="69">
        <f t="shared" si="1"/>
        <v>2266</v>
      </c>
      <c r="U23" s="69">
        <v>160.0</v>
      </c>
      <c r="V23" s="73">
        <f t="shared" si="2"/>
        <v>14.1625</v>
      </c>
      <c r="W23" s="74">
        <v>1099.0</v>
      </c>
      <c r="X23" s="69">
        <v>50.0</v>
      </c>
      <c r="Y23" s="69">
        <v>50.0</v>
      </c>
      <c r="Z23" s="69">
        <v>48.0</v>
      </c>
      <c r="AA23" s="69">
        <v>2.0</v>
      </c>
      <c r="AB23" s="84">
        <v>1072.0</v>
      </c>
      <c r="AC23" s="69">
        <v>82.0</v>
      </c>
      <c r="AD23" s="69">
        <v>82.0</v>
      </c>
      <c r="AE23" s="69">
        <v>74.0</v>
      </c>
      <c r="AF23" s="69">
        <v>8.0</v>
      </c>
      <c r="AG23" s="69">
        <v>75.0</v>
      </c>
      <c r="AH23" s="69">
        <v>75.0</v>
      </c>
      <c r="AI23" s="69">
        <v>42.0</v>
      </c>
      <c r="AJ23" s="69">
        <v>33.0</v>
      </c>
      <c r="AK23" s="69">
        <f t="shared" si="3"/>
        <v>2171</v>
      </c>
      <c r="AL23" s="76">
        <v>200.0</v>
      </c>
      <c r="AM23" s="77">
        <f t="shared" si="4"/>
        <v>10.855</v>
      </c>
      <c r="AN23" s="73">
        <f t="shared" si="5"/>
        <v>-4.192409532</v>
      </c>
      <c r="AO23" s="69">
        <v>108.0</v>
      </c>
      <c r="AP23" s="69">
        <v>108.0</v>
      </c>
      <c r="AQ23" s="69">
        <v>102.0</v>
      </c>
      <c r="AR23" s="69">
        <v>6.0</v>
      </c>
      <c r="AS23" s="69">
        <v>132.0</v>
      </c>
      <c r="AT23" s="69">
        <v>132.0</v>
      </c>
      <c r="AU23" s="69">
        <v>119.0</v>
      </c>
      <c r="AV23" s="69">
        <v>13.0</v>
      </c>
      <c r="AW23" s="69">
        <v>139.0</v>
      </c>
      <c r="AX23" s="69">
        <v>139.0</v>
      </c>
      <c r="AY23" s="69">
        <v>65.0</v>
      </c>
      <c r="AZ23" s="69">
        <v>67.0</v>
      </c>
      <c r="BA23" s="69">
        <v>67.0</v>
      </c>
      <c r="BB23" s="69">
        <v>6.0</v>
      </c>
      <c r="BC23" s="69">
        <v>6.0</v>
      </c>
      <c r="BD23" s="69">
        <v>61.0</v>
      </c>
      <c r="BE23" s="69">
        <v>5.0</v>
      </c>
      <c r="BF23" s="69">
        <v>2.0</v>
      </c>
      <c r="BG23" s="69">
        <v>2.0</v>
      </c>
      <c r="BH23" s="70">
        <v>2.0</v>
      </c>
      <c r="BI23" s="78">
        <v>2845.0</v>
      </c>
      <c r="BJ23" s="69">
        <v>360.0</v>
      </c>
      <c r="BK23" s="79">
        <f t="shared" si="6"/>
        <v>7.902777778</v>
      </c>
      <c r="BL23" s="80">
        <f t="shared" si="7"/>
        <v>31.04560111</v>
      </c>
      <c r="BM23" s="69">
        <v>108.0</v>
      </c>
      <c r="BN23" s="69">
        <v>108.0</v>
      </c>
      <c r="BO23" s="69">
        <v>99.0</v>
      </c>
      <c r="BP23" s="69">
        <v>9.0</v>
      </c>
      <c r="BQ23" s="69">
        <v>135.0</v>
      </c>
      <c r="BR23" s="69">
        <v>135.0</v>
      </c>
      <c r="BS23" s="69">
        <v>120.0</v>
      </c>
      <c r="BT23" s="69">
        <v>15.0</v>
      </c>
      <c r="BU23" s="69">
        <v>141.0</v>
      </c>
      <c r="BV23" s="69">
        <v>98.0</v>
      </c>
      <c r="BW23" s="69">
        <v>50.0</v>
      </c>
      <c r="BX23" s="69">
        <v>84.0</v>
      </c>
      <c r="BY23" s="69">
        <v>84.0</v>
      </c>
      <c r="BZ23" s="69">
        <v>10.0</v>
      </c>
      <c r="CA23" s="69">
        <v>7.0</v>
      </c>
      <c r="CB23" s="69">
        <v>77.0</v>
      </c>
      <c r="CC23" s="69">
        <v>82.0</v>
      </c>
      <c r="CD23" s="69">
        <v>18.0</v>
      </c>
      <c r="CE23" s="69">
        <v>4.0</v>
      </c>
      <c r="CF23" s="69">
        <v>78.0</v>
      </c>
      <c r="CG23" s="69">
        <v>2.0</v>
      </c>
      <c r="CH23" s="69"/>
      <c r="CI23" s="70">
        <v>2.0</v>
      </c>
      <c r="CJ23" s="78">
        <v>2831.0</v>
      </c>
      <c r="CK23" s="69">
        <v>360.0</v>
      </c>
      <c r="CL23" s="79">
        <f t="shared" si="8"/>
        <v>7.863888889</v>
      </c>
      <c r="CM23" s="81">
        <f t="shared" si="9"/>
        <v>-0.4920913884</v>
      </c>
      <c r="CN23" s="69">
        <v>108.0</v>
      </c>
      <c r="CO23" s="69">
        <v>105.0</v>
      </c>
      <c r="CP23" s="69">
        <v>98.0</v>
      </c>
      <c r="CQ23" s="69">
        <v>10.0</v>
      </c>
      <c r="CR23" s="71">
        <v>136.0</v>
      </c>
      <c r="CS23" s="69">
        <v>136.0</v>
      </c>
      <c r="CT23" s="69">
        <v>116.0</v>
      </c>
      <c r="CU23" s="69">
        <v>20.0</v>
      </c>
      <c r="CV23" s="71">
        <v>130.0</v>
      </c>
      <c r="CW23" s="69">
        <v>97.0</v>
      </c>
      <c r="CX23" s="69">
        <v>56.0</v>
      </c>
      <c r="CY23" s="69">
        <v>90.0</v>
      </c>
      <c r="CZ23" s="69"/>
      <c r="DA23" s="69">
        <v>25.0</v>
      </c>
      <c r="DB23" s="69">
        <v>16.0</v>
      </c>
      <c r="DC23" s="69"/>
      <c r="DD23" s="69">
        <v>-240.0</v>
      </c>
      <c r="DE23" s="69">
        <v>13.0</v>
      </c>
      <c r="DF23" s="69">
        <v>8.0</v>
      </c>
      <c r="DG23" s="69"/>
      <c r="DH23" s="69">
        <v>2.0</v>
      </c>
      <c r="DI23" s="69">
        <v>1.0</v>
      </c>
      <c r="DJ23" s="70"/>
      <c r="DK23" s="82">
        <v>1588.0</v>
      </c>
      <c r="DL23" s="69">
        <v>360.0</v>
      </c>
      <c r="DM23" s="77">
        <f t="shared" si="10"/>
        <v>4.411111111</v>
      </c>
      <c r="DN23" s="83">
        <f t="shared" si="11"/>
        <v>-43.90674673</v>
      </c>
    </row>
    <row r="24" ht="15.75" customHeight="1">
      <c r="A24" s="69">
        <v>18.0</v>
      </c>
      <c r="B24" s="69" t="s">
        <v>315</v>
      </c>
      <c r="C24" s="69" t="s">
        <v>316</v>
      </c>
      <c r="D24" s="70" t="s">
        <v>15</v>
      </c>
      <c r="E24" s="71">
        <v>532.0</v>
      </c>
      <c r="F24" s="69">
        <v>20.0</v>
      </c>
      <c r="G24" s="69">
        <v>27.0</v>
      </c>
      <c r="H24" s="69">
        <v>27.0</v>
      </c>
      <c r="I24" s="69">
        <v>-7.0</v>
      </c>
      <c r="J24" s="72">
        <v>880.0</v>
      </c>
      <c r="K24" s="69">
        <v>36.0</v>
      </c>
      <c r="L24" s="69">
        <v>36.0</v>
      </c>
      <c r="M24" s="69">
        <v>35.0</v>
      </c>
      <c r="N24" s="69">
        <v>1.0</v>
      </c>
      <c r="O24" s="72">
        <v>159.0</v>
      </c>
      <c r="P24" s="69">
        <v>25.0</v>
      </c>
      <c r="Q24" s="69">
        <v>30.0</v>
      </c>
      <c r="R24" s="69">
        <v>20.0</v>
      </c>
      <c r="S24" s="70">
        <v>-2.0</v>
      </c>
      <c r="T24" s="69">
        <f t="shared" si="1"/>
        <v>1571</v>
      </c>
      <c r="U24" s="69">
        <v>80.0</v>
      </c>
      <c r="V24" s="73">
        <f t="shared" si="2"/>
        <v>19.6375</v>
      </c>
      <c r="W24" s="74">
        <v>614.0</v>
      </c>
      <c r="X24" s="69">
        <v>25.0</v>
      </c>
      <c r="Y24" s="69">
        <v>25.0</v>
      </c>
      <c r="Z24" s="69">
        <v>25.0</v>
      </c>
      <c r="AA24" s="69">
        <v>0.0</v>
      </c>
      <c r="AB24" s="84">
        <v>946.0</v>
      </c>
      <c r="AC24" s="69">
        <v>40.0</v>
      </c>
      <c r="AD24" s="69">
        <v>40.0</v>
      </c>
      <c r="AE24" s="69">
        <v>38.0</v>
      </c>
      <c r="AF24" s="69">
        <v>2.0</v>
      </c>
      <c r="AG24" s="69">
        <v>36.0</v>
      </c>
      <c r="AH24" s="69">
        <v>36.0</v>
      </c>
      <c r="AI24" s="69">
        <v>20.0</v>
      </c>
      <c r="AJ24" s="69">
        <v>16.0</v>
      </c>
      <c r="AK24" s="69">
        <f t="shared" si="3"/>
        <v>1560</v>
      </c>
      <c r="AL24" s="76">
        <v>100.0</v>
      </c>
      <c r="AM24" s="77">
        <f t="shared" si="4"/>
        <v>15.6</v>
      </c>
      <c r="AN24" s="73">
        <f t="shared" si="5"/>
        <v>-0.7001909612</v>
      </c>
      <c r="AO24" s="69">
        <v>30.0</v>
      </c>
      <c r="AP24" s="69">
        <v>30.0</v>
      </c>
      <c r="AQ24" s="69">
        <v>30.0</v>
      </c>
      <c r="AR24" s="69">
        <v>0.0</v>
      </c>
      <c r="AS24" s="69">
        <v>35.0</v>
      </c>
      <c r="AT24" s="69">
        <v>35.0</v>
      </c>
      <c r="AU24" s="69">
        <v>35.0</v>
      </c>
      <c r="AV24" s="69">
        <v>0.0</v>
      </c>
      <c r="AW24" s="69">
        <v>35.0</v>
      </c>
      <c r="AX24" s="69">
        <v>35.0</v>
      </c>
      <c r="AY24" s="69">
        <v>17.0</v>
      </c>
      <c r="AZ24" s="69">
        <v>18.0</v>
      </c>
      <c r="BA24" s="69">
        <v>18.0</v>
      </c>
      <c r="BB24" s="69">
        <v>6.0</v>
      </c>
      <c r="BC24" s="69">
        <v>5.0</v>
      </c>
      <c r="BD24" s="69">
        <v>13.0</v>
      </c>
      <c r="BE24" s="69">
        <v>19.0</v>
      </c>
      <c r="BF24" s="69">
        <v>13.0</v>
      </c>
      <c r="BG24" s="69">
        <v>2.0</v>
      </c>
      <c r="BH24" s="70">
        <v>1.0</v>
      </c>
      <c r="BI24" s="78">
        <v>1941.0</v>
      </c>
      <c r="BJ24" s="69">
        <v>100.0</v>
      </c>
      <c r="BK24" s="79">
        <f t="shared" si="6"/>
        <v>19.41</v>
      </c>
      <c r="BL24" s="80">
        <f t="shared" si="7"/>
        <v>24.42307692</v>
      </c>
      <c r="BM24" s="69">
        <v>30.0</v>
      </c>
      <c r="BN24" s="69">
        <v>30.0</v>
      </c>
      <c r="BO24" s="69">
        <v>30.0</v>
      </c>
      <c r="BP24" s="69">
        <v>0.0</v>
      </c>
      <c r="BQ24" s="69">
        <v>35.0</v>
      </c>
      <c r="BR24" s="69">
        <v>35.0</v>
      </c>
      <c r="BS24" s="69">
        <v>35.0</v>
      </c>
      <c r="BT24" s="69">
        <v>0.0</v>
      </c>
      <c r="BU24" s="69">
        <v>36.0</v>
      </c>
      <c r="BV24" s="69">
        <v>29.0</v>
      </c>
      <c r="BW24" s="69">
        <v>22.0</v>
      </c>
      <c r="BX24" s="69">
        <v>8.0</v>
      </c>
      <c r="BY24" s="69">
        <v>8.0</v>
      </c>
      <c r="BZ24" s="69">
        <v>6.0</v>
      </c>
      <c r="CA24" s="69">
        <v>6.0</v>
      </c>
      <c r="CB24" s="69">
        <v>2.0</v>
      </c>
      <c r="CC24" s="69">
        <v>8.0</v>
      </c>
      <c r="CD24" s="69">
        <v>8.0</v>
      </c>
      <c r="CE24" s="69">
        <v>8.0</v>
      </c>
      <c r="CF24" s="69">
        <v>0.0</v>
      </c>
      <c r="CG24" s="69"/>
      <c r="CH24" s="69"/>
      <c r="CI24" s="70">
        <v>0.0</v>
      </c>
      <c r="CJ24" s="78">
        <v>1956.0</v>
      </c>
      <c r="CK24" s="69">
        <v>100.0</v>
      </c>
      <c r="CL24" s="79">
        <f t="shared" si="8"/>
        <v>19.56</v>
      </c>
      <c r="CM24" s="81">
        <f t="shared" si="9"/>
        <v>0.772797527</v>
      </c>
      <c r="CN24" s="69">
        <v>30.0</v>
      </c>
      <c r="CO24" s="69">
        <v>30.0</v>
      </c>
      <c r="CP24" s="69">
        <v>30.0</v>
      </c>
      <c r="CQ24" s="69">
        <v>0.0</v>
      </c>
      <c r="CR24" s="71">
        <v>35.0</v>
      </c>
      <c r="CS24" s="69">
        <v>35.0</v>
      </c>
      <c r="CT24" s="69">
        <v>35.0</v>
      </c>
      <c r="CU24" s="69">
        <v>0.0</v>
      </c>
      <c r="CV24" s="71">
        <v>22.0</v>
      </c>
      <c r="CW24" s="69">
        <v>21.0</v>
      </c>
      <c r="CX24" s="69">
        <v>16.0</v>
      </c>
      <c r="CY24" s="69">
        <v>20.0</v>
      </c>
      <c r="CZ24" s="69"/>
      <c r="DA24" s="69">
        <v>70.0</v>
      </c>
      <c r="DB24" s="69">
        <v>14.0</v>
      </c>
      <c r="DC24" s="69"/>
      <c r="DD24" s="69">
        <v>-80.0</v>
      </c>
      <c r="DE24" s="69">
        <v>7.0</v>
      </c>
      <c r="DF24" s="69">
        <v>5.0</v>
      </c>
      <c r="DG24" s="69"/>
      <c r="DH24" s="69">
        <v>0.0</v>
      </c>
      <c r="DI24" s="69">
        <v>0.0</v>
      </c>
      <c r="DJ24" s="70"/>
      <c r="DK24" s="82">
        <v>1204.0</v>
      </c>
      <c r="DL24" s="69">
        <v>100.0</v>
      </c>
      <c r="DM24" s="77">
        <f t="shared" si="10"/>
        <v>12.04</v>
      </c>
      <c r="DN24" s="83">
        <f t="shared" si="11"/>
        <v>-38.44580777</v>
      </c>
    </row>
    <row r="25" ht="15.75" customHeight="1">
      <c r="A25" s="69">
        <v>19.0</v>
      </c>
      <c r="B25" s="69" t="s">
        <v>317</v>
      </c>
      <c r="C25" s="69" t="s">
        <v>318</v>
      </c>
      <c r="D25" s="70" t="s">
        <v>15</v>
      </c>
      <c r="E25" s="71">
        <v>117.0</v>
      </c>
      <c r="F25" s="69">
        <v>23.0</v>
      </c>
      <c r="G25" s="69">
        <v>27.0</v>
      </c>
      <c r="H25" s="69">
        <v>27.0</v>
      </c>
      <c r="I25" s="69">
        <v>-4.0</v>
      </c>
      <c r="J25" s="72">
        <v>110.0</v>
      </c>
      <c r="K25" s="69">
        <v>40.0</v>
      </c>
      <c r="L25" s="69">
        <v>40.0</v>
      </c>
      <c r="M25" s="69">
        <v>33.0</v>
      </c>
      <c r="N25" s="69">
        <v>5.0</v>
      </c>
      <c r="O25" s="72">
        <v>21.0</v>
      </c>
      <c r="P25" s="69">
        <v>32.0</v>
      </c>
      <c r="Q25" s="69">
        <v>11.0</v>
      </c>
      <c r="R25" s="69">
        <v>7.0</v>
      </c>
      <c r="S25" s="70">
        <v>23.0</v>
      </c>
      <c r="T25" s="69">
        <f t="shared" si="1"/>
        <v>248</v>
      </c>
      <c r="U25" s="69">
        <v>90.0</v>
      </c>
      <c r="V25" s="73">
        <f t="shared" si="2"/>
        <v>2.755555556</v>
      </c>
      <c r="W25" s="74">
        <v>77.0</v>
      </c>
      <c r="X25" s="69">
        <v>23.0</v>
      </c>
      <c r="Y25" s="69">
        <v>25.0</v>
      </c>
      <c r="Z25" s="69">
        <v>22.0</v>
      </c>
      <c r="AA25" s="69">
        <v>1.0</v>
      </c>
      <c r="AB25" s="84">
        <v>68.0</v>
      </c>
      <c r="AC25" s="69">
        <v>37.0</v>
      </c>
      <c r="AD25" s="69">
        <v>37.0</v>
      </c>
      <c r="AE25" s="69">
        <v>29.0</v>
      </c>
      <c r="AF25" s="69">
        <v>8.0</v>
      </c>
      <c r="AG25" s="69">
        <v>37.0</v>
      </c>
      <c r="AH25" s="69">
        <v>5.0</v>
      </c>
      <c r="AI25" s="69">
        <v>3.0</v>
      </c>
      <c r="AJ25" s="69">
        <v>34.0</v>
      </c>
      <c r="AK25" s="69">
        <f t="shared" si="3"/>
        <v>145</v>
      </c>
      <c r="AL25" s="76">
        <v>90.0</v>
      </c>
      <c r="AM25" s="77">
        <f t="shared" si="4"/>
        <v>1.611111111</v>
      </c>
      <c r="AN25" s="73">
        <f t="shared" si="5"/>
        <v>-41.53225806</v>
      </c>
      <c r="AO25" s="69">
        <v>36.0</v>
      </c>
      <c r="AP25" s="69">
        <v>36.0</v>
      </c>
      <c r="AQ25" s="69">
        <v>33.0</v>
      </c>
      <c r="AR25" s="69">
        <v>3.0</v>
      </c>
      <c r="AS25" s="69">
        <v>45.0</v>
      </c>
      <c r="AT25" s="69">
        <v>32.0</v>
      </c>
      <c r="AU25" s="69">
        <v>27.0</v>
      </c>
      <c r="AV25" s="69">
        <v>18.0</v>
      </c>
      <c r="AW25" s="69">
        <v>60.0</v>
      </c>
      <c r="AX25" s="69">
        <v>5.0</v>
      </c>
      <c r="AY25" s="69">
        <v>1.0</v>
      </c>
      <c r="AZ25" s="69">
        <v>44.0</v>
      </c>
      <c r="BA25" s="69">
        <v>44.0</v>
      </c>
      <c r="BB25" s="69">
        <v>1.0</v>
      </c>
      <c r="BC25" s="69">
        <v>1.0</v>
      </c>
      <c r="BD25" s="69">
        <v>43.0</v>
      </c>
      <c r="BE25" s="69">
        <v>0.0</v>
      </c>
      <c r="BF25" s="69">
        <v>0.0</v>
      </c>
      <c r="BG25" s="69"/>
      <c r="BH25" s="70"/>
      <c r="BI25" s="78">
        <v>159.0</v>
      </c>
      <c r="BJ25" s="69">
        <v>120.0</v>
      </c>
      <c r="BK25" s="79">
        <f t="shared" si="6"/>
        <v>1.325</v>
      </c>
      <c r="BL25" s="80">
        <f t="shared" si="7"/>
        <v>9.655172414</v>
      </c>
      <c r="BM25" s="69">
        <v>24.0</v>
      </c>
      <c r="BN25" s="69">
        <v>24.0</v>
      </c>
      <c r="BO25" s="69">
        <v>24.0</v>
      </c>
      <c r="BP25" s="69">
        <v>0.0</v>
      </c>
      <c r="BQ25" s="69">
        <v>28.0</v>
      </c>
      <c r="BR25" s="69">
        <v>28.0</v>
      </c>
      <c r="BS25" s="69">
        <v>25.0</v>
      </c>
      <c r="BT25" s="69">
        <v>3.0</v>
      </c>
      <c r="BU25" s="69">
        <v>31.0</v>
      </c>
      <c r="BV25" s="69">
        <v>10.0</v>
      </c>
      <c r="BW25" s="69">
        <v>5.0</v>
      </c>
      <c r="BX25" s="69">
        <v>26.0</v>
      </c>
      <c r="BY25" s="69">
        <v>26.0</v>
      </c>
      <c r="BZ25" s="69">
        <v>1.0</v>
      </c>
      <c r="CA25" s="69">
        <v>0.0</v>
      </c>
      <c r="CB25" s="69">
        <v>26.0</v>
      </c>
      <c r="CC25" s="69">
        <v>26.0</v>
      </c>
      <c r="CD25" s="69">
        <v>0.0</v>
      </c>
      <c r="CE25" s="69">
        <v>0.0</v>
      </c>
      <c r="CF25" s="69">
        <v>26.0</v>
      </c>
      <c r="CG25" s="69">
        <v>1.0</v>
      </c>
      <c r="CH25" s="69">
        <v>1.0</v>
      </c>
      <c r="CI25" s="70">
        <v>0.0</v>
      </c>
      <c r="CJ25" s="78">
        <v>186.0</v>
      </c>
      <c r="CK25" s="69">
        <v>80.0</v>
      </c>
      <c r="CL25" s="79">
        <f t="shared" si="8"/>
        <v>2.325</v>
      </c>
      <c r="CM25" s="81">
        <f t="shared" si="9"/>
        <v>16.98113208</v>
      </c>
      <c r="CN25" s="69">
        <v>24.0</v>
      </c>
      <c r="CO25" s="69">
        <v>24.0</v>
      </c>
      <c r="CP25" s="69">
        <v>22.0</v>
      </c>
      <c r="CQ25" s="69">
        <v>2.0</v>
      </c>
      <c r="CR25" s="71">
        <v>30.0</v>
      </c>
      <c r="CS25" s="69">
        <v>30.0</v>
      </c>
      <c r="CT25" s="69">
        <v>27.0</v>
      </c>
      <c r="CU25" s="69">
        <v>3.0</v>
      </c>
      <c r="CV25" s="71">
        <v>31.0</v>
      </c>
      <c r="CW25" s="69">
        <v>7.0</v>
      </c>
      <c r="CX25" s="69">
        <v>6.0</v>
      </c>
      <c r="CY25" s="69">
        <v>25.0</v>
      </c>
      <c r="CZ25" s="69"/>
      <c r="DA25" s="69">
        <v>0.0</v>
      </c>
      <c r="DB25" s="69">
        <v>0.0</v>
      </c>
      <c r="DC25" s="69"/>
      <c r="DD25" s="69">
        <v>-50.0</v>
      </c>
      <c r="DE25" s="69">
        <v>1.0</v>
      </c>
      <c r="DF25" s="69">
        <v>1.0</v>
      </c>
      <c r="DG25" s="69"/>
      <c r="DH25" s="69">
        <v>0.0</v>
      </c>
      <c r="DI25" s="69">
        <v>0.0</v>
      </c>
      <c r="DJ25" s="70"/>
      <c r="DK25" s="82">
        <v>185.0</v>
      </c>
      <c r="DL25" s="69">
        <v>80.0</v>
      </c>
      <c r="DM25" s="77">
        <f t="shared" si="10"/>
        <v>2.3125</v>
      </c>
      <c r="DN25" s="83">
        <f t="shared" si="11"/>
        <v>-0.5376344086</v>
      </c>
    </row>
    <row r="26" ht="15.75" customHeight="1">
      <c r="A26" s="69">
        <v>20.0</v>
      </c>
      <c r="B26" s="69" t="s">
        <v>319</v>
      </c>
      <c r="C26" s="69" t="s">
        <v>320</v>
      </c>
      <c r="D26" s="70" t="s">
        <v>15</v>
      </c>
      <c r="E26" s="71">
        <v>33.0</v>
      </c>
      <c r="F26" s="69">
        <v>23.0</v>
      </c>
      <c r="G26" s="69">
        <v>27.0</v>
      </c>
      <c r="H26" s="69">
        <v>26.0</v>
      </c>
      <c r="I26" s="69">
        <v>-3.0</v>
      </c>
      <c r="J26" s="72">
        <v>35.0</v>
      </c>
      <c r="K26" s="69">
        <v>40.0</v>
      </c>
      <c r="L26" s="69">
        <v>22.0</v>
      </c>
      <c r="M26" s="69">
        <v>14.0</v>
      </c>
      <c r="N26" s="69">
        <v>24.0</v>
      </c>
      <c r="O26" s="72">
        <v>9.0</v>
      </c>
      <c r="P26" s="69">
        <v>51.0</v>
      </c>
      <c r="Q26" s="69">
        <v>2.0</v>
      </c>
      <c r="R26" s="69">
        <v>2.0</v>
      </c>
      <c r="S26" s="70">
        <v>48.0</v>
      </c>
      <c r="T26" s="69">
        <f t="shared" si="1"/>
        <v>77</v>
      </c>
      <c r="U26" s="69">
        <v>90.0</v>
      </c>
      <c r="V26" s="73">
        <f t="shared" si="2"/>
        <v>0.8555555556</v>
      </c>
      <c r="W26" s="74">
        <v>28.0</v>
      </c>
      <c r="X26" s="69">
        <v>23.0</v>
      </c>
      <c r="Y26" s="69">
        <v>20.0</v>
      </c>
      <c r="Z26" s="69">
        <v>13.0</v>
      </c>
      <c r="AA26" s="69">
        <v>10.0</v>
      </c>
      <c r="AB26" s="84">
        <v>34.0</v>
      </c>
      <c r="AC26" s="69">
        <v>46.0</v>
      </c>
      <c r="AD26" s="69">
        <v>27.0</v>
      </c>
      <c r="AE26" s="69">
        <v>23.0</v>
      </c>
      <c r="AF26" s="69">
        <v>23.0</v>
      </c>
      <c r="AG26" s="69">
        <v>45.0</v>
      </c>
      <c r="AH26" s="69">
        <v>2.0</v>
      </c>
      <c r="AI26" s="69">
        <v>0.0</v>
      </c>
      <c r="AJ26" s="69">
        <v>45.0</v>
      </c>
      <c r="AK26" s="69">
        <f t="shared" si="3"/>
        <v>62</v>
      </c>
      <c r="AL26" s="76">
        <v>90.0</v>
      </c>
      <c r="AM26" s="77">
        <f t="shared" si="4"/>
        <v>0.6888888889</v>
      </c>
      <c r="AN26" s="73">
        <f t="shared" si="5"/>
        <v>-19.48051948</v>
      </c>
      <c r="AO26" s="69">
        <v>36.0</v>
      </c>
      <c r="AP26" s="69">
        <v>25.0</v>
      </c>
      <c r="AQ26" s="69">
        <v>23.0</v>
      </c>
      <c r="AR26" s="69">
        <v>13.0</v>
      </c>
      <c r="AS26" s="69">
        <v>55.0</v>
      </c>
      <c r="AT26" s="69">
        <v>11.0</v>
      </c>
      <c r="AU26" s="69">
        <v>7.0</v>
      </c>
      <c r="AV26" s="69">
        <v>48.0</v>
      </c>
      <c r="AW26" s="69">
        <v>90.0</v>
      </c>
      <c r="AX26" s="69">
        <v>1.0</v>
      </c>
      <c r="AY26" s="69">
        <v>1.0</v>
      </c>
      <c r="AZ26" s="69">
        <v>54.0</v>
      </c>
      <c r="BA26" s="69">
        <v>54.0</v>
      </c>
      <c r="BB26" s="69">
        <v>0.0</v>
      </c>
      <c r="BC26" s="69">
        <v>0.0</v>
      </c>
      <c r="BD26" s="69">
        <v>54.0</v>
      </c>
      <c r="BE26" s="69">
        <v>0.0</v>
      </c>
      <c r="BF26" s="69">
        <v>0.0</v>
      </c>
      <c r="BG26" s="69"/>
      <c r="BH26" s="70"/>
      <c r="BI26" s="78">
        <v>62.0</v>
      </c>
      <c r="BJ26" s="69">
        <v>120.0</v>
      </c>
      <c r="BK26" s="79">
        <f t="shared" si="6"/>
        <v>0.5166666667</v>
      </c>
      <c r="BL26" s="80">
        <f t="shared" si="7"/>
        <v>0</v>
      </c>
      <c r="BM26" s="69">
        <v>24.0</v>
      </c>
      <c r="BN26" s="69">
        <v>23.0</v>
      </c>
      <c r="BO26" s="69">
        <v>16.0</v>
      </c>
      <c r="BP26" s="69">
        <v>8.0</v>
      </c>
      <c r="BQ26" s="69">
        <v>36.0</v>
      </c>
      <c r="BR26" s="69">
        <v>34.0</v>
      </c>
      <c r="BS26" s="69">
        <v>29.0</v>
      </c>
      <c r="BT26" s="69">
        <v>7.0</v>
      </c>
      <c r="BU26" s="69">
        <v>35.0</v>
      </c>
      <c r="BV26" s="69">
        <v>1.0</v>
      </c>
      <c r="BW26" s="69">
        <v>0.0</v>
      </c>
      <c r="BX26" s="69">
        <v>35.0</v>
      </c>
      <c r="BY26" s="69">
        <v>35.0</v>
      </c>
      <c r="BZ26" s="69">
        <v>1.0</v>
      </c>
      <c r="CA26" s="69">
        <v>0.0</v>
      </c>
      <c r="CB26" s="69">
        <v>35.0</v>
      </c>
      <c r="CC26" s="69">
        <v>35.0</v>
      </c>
      <c r="CD26" s="69">
        <v>0.0</v>
      </c>
      <c r="CE26" s="69">
        <v>0.0</v>
      </c>
      <c r="CF26" s="69">
        <v>35.0</v>
      </c>
      <c r="CG26" s="69"/>
      <c r="CH26" s="69"/>
      <c r="CI26" s="70">
        <v>0.0</v>
      </c>
      <c r="CJ26" s="78">
        <v>80.0</v>
      </c>
      <c r="CK26" s="69">
        <v>80.0</v>
      </c>
      <c r="CL26" s="79">
        <f t="shared" si="8"/>
        <v>1</v>
      </c>
      <c r="CM26" s="81">
        <f t="shared" si="9"/>
        <v>29.03225806</v>
      </c>
      <c r="CN26" s="69">
        <v>24.0</v>
      </c>
      <c r="CO26" s="69">
        <v>23.0</v>
      </c>
      <c r="CP26" s="69">
        <v>19.0</v>
      </c>
      <c r="CQ26" s="69">
        <v>5.0</v>
      </c>
      <c r="CR26" s="71">
        <v>33.0</v>
      </c>
      <c r="CS26" s="69">
        <v>25.0</v>
      </c>
      <c r="CT26" s="69">
        <v>19.0</v>
      </c>
      <c r="CU26" s="69">
        <v>14.0</v>
      </c>
      <c r="CV26" s="71">
        <v>41.0</v>
      </c>
      <c r="CW26" s="69">
        <v>4.0</v>
      </c>
      <c r="CX26" s="69">
        <v>3.0</v>
      </c>
      <c r="CY26" s="69">
        <v>39.0</v>
      </c>
      <c r="CZ26" s="69"/>
      <c r="DA26" s="69">
        <v>1.0</v>
      </c>
      <c r="DB26" s="69">
        <v>1.0</v>
      </c>
      <c r="DC26" s="69"/>
      <c r="DD26" s="69">
        <v>-22.0</v>
      </c>
      <c r="DE26" s="69">
        <v>0.0</v>
      </c>
      <c r="DF26" s="69">
        <v>0.0</v>
      </c>
      <c r="DG26" s="69"/>
      <c r="DH26" s="69">
        <v>0.0</v>
      </c>
      <c r="DI26" s="69">
        <v>0.0</v>
      </c>
      <c r="DJ26" s="70"/>
      <c r="DK26" s="82">
        <v>94.0</v>
      </c>
      <c r="DL26" s="69">
        <v>80.0</v>
      </c>
      <c r="DM26" s="77">
        <f t="shared" si="10"/>
        <v>1.175</v>
      </c>
      <c r="DN26" s="83">
        <f t="shared" si="11"/>
        <v>17.5</v>
      </c>
    </row>
    <row r="27" ht="15.75" customHeight="1">
      <c r="A27" s="69">
        <v>21.0</v>
      </c>
      <c r="B27" s="69" t="s">
        <v>321</v>
      </c>
      <c r="C27" s="69" t="s">
        <v>322</v>
      </c>
      <c r="D27" s="70" t="s">
        <v>15</v>
      </c>
      <c r="E27" s="71">
        <v>77.0</v>
      </c>
      <c r="F27" s="69">
        <v>23.0</v>
      </c>
      <c r="G27" s="69">
        <v>27.0</v>
      </c>
      <c r="H27" s="69">
        <v>27.0</v>
      </c>
      <c r="I27" s="69">
        <v>-4.0</v>
      </c>
      <c r="J27" s="72">
        <v>64.0</v>
      </c>
      <c r="K27" s="69">
        <v>40.0</v>
      </c>
      <c r="L27" s="69">
        <v>40.0</v>
      </c>
      <c r="M27" s="69">
        <v>33.0</v>
      </c>
      <c r="N27" s="69">
        <v>5.0</v>
      </c>
      <c r="O27" s="72">
        <v>17.0</v>
      </c>
      <c r="P27" s="69">
        <v>32.0</v>
      </c>
      <c r="Q27" s="69">
        <v>10.0</v>
      </c>
      <c r="R27" s="69">
        <v>5.0</v>
      </c>
      <c r="S27" s="70">
        <v>25.0</v>
      </c>
      <c r="T27" s="69">
        <f t="shared" si="1"/>
        <v>158</v>
      </c>
      <c r="U27" s="69">
        <v>90.0</v>
      </c>
      <c r="V27" s="73">
        <f t="shared" si="2"/>
        <v>1.755555556</v>
      </c>
      <c r="W27" s="74">
        <v>73.0</v>
      </c>
      <c r="X27" s="69">
        <v>23.0</v>
      </c>
      <c r="Y27" s="69">
        <v>25.0</v>
      </c>
      <c r="Z27" s="69">
        <v>20.0</v>
      </c>
      <c r="AA27" s="69">
        <v>3.0</v>
      </c>
      <c r="AB27" s="84">
        <v>64.0</v>
      </c>
      <c r="AC27" s="69">
        <v>39.0</v>
      </c>
      <c r="AD27" s="69">
        <v>39.0</v>
      </c>
      <c r="AE27" s="69">
        <v>33.0</v>
      </c>
      <c r="AF27" s="69">
        <v>6.0</v>
      </c>
      <c r="AG27" s="69">
        <v>35.0</v>
      </c>
      <c r="AH27" s="69">
        <v>9.0</v>
      </c>
      <c r="AI27" s="69">
        <v>5.0</v>
      </c>
      <c r="AJ27" s="69">
        <v>30.0</v>
      </c>
      <c r="AK27" s="69">
        <f t="shared" si="3"/>
        <v>137</v>
      </c>
      <c r="AL27" s="76">
        <v>90.0</v>
      </c>
      <c r="AM27" s="77">
        <f t="shared" si="4"/>
        <v>1.522222222</v>
      </c>
      <c r="AN27" s="73">
        <f t="shared" si="5"/>
        <v>-13.29113924</v>
      </c>
      <c r="AO27" s="69">
        <v>36.0</v>
      </c>
      <c r="AP27" s="69">
        <v>36.0</v>
      </c>
      <c r="AQ27" s="69">
        <v>36.0</v>
      </c>
      <c r="AR27" s="69">
        <v>0.0</v>
      </c>
      <c r="AS27" s="69">
        <v>42.0</v>
      </c>
      <c r="AT27" s="69">
        <v>42.0</v>
      </c>
      <c r="AU27" s="69">
        <v>32.0</v>
      </c>
      <c r="AV27" s="69">
        <v>10.0</v>
      </c>
      <c r="AW27" s="69">
        <v>52.0</v>
      </c>
      <c r="AX27" s="69">
        <v>11.0</v>
      </c>
      <c r="AY27" s="69">
        <v>6.0</v>
      </c>
      <c r="AZ27" s="69">
        <v>36.0</v>
      </c>
      <c r="BA27" s="69">
        <v>36.0</v>
      </c>
      <c r="BB27" s="69">
        <v>0.0</v>
      </c>
      <c r="BC27" s="69">
        <v>0.0</v>
      </c>
      <c r="BD27" s="69">
        <v>36.0</v>
      </c>
      <c r="BE27" s="69">
        <v>0.0</v>
      </c>
      <c r="BF27" s="69">
        <v>0.0</v>
      </c>
      <c r="BG27" s="69"/>
      <c r="BH27" s="70"/>
      <c r="BI27" s="78">
        <v>164.0</v>
      </c>
      <c r="BJ27" s="69">
        <v>120.0</v>
      </c>
      <c r="BK27" s="79">
        <f t="shared" si="6"/>
        <v>1.366666667</v>
      </c>
      <c r="BL27" s="80">
        <f t="shared" si="7"/>
        <v>19.7080292</v>
      </c>
      <c r="BM27" s="69">
        <v>24.0</v>
      </c>
      <c r="BN27" s="69">
        <v>24.0</v>
      </c>
      <c r="BO27" s="69">
        <v>22.0</v>
      </c>
      <c r="BP27" s="69">
        <v>2.0</v>
      </c>
      <c r="BQ27" s="69">
        <v>30.0</v>
      </c>
      <c r="BR27" s="69">
        <v>30.0</v>
      </c>
      <c r="BS27" s="69">
        <v>24.0</v>
      </c>
      <c r="BT27" s="69">
        <v>6.0</v>
      </c>
      <c r="BU27" s="69">
        <v>34.0</v>
      </c>
      <c r="BV27" s="69">
        <v>6.0</v>
      </c>
      <c r="BW27" s="69">
        <v>2.0</v>
      </c>
      <c r="BX27" s="69">
        <v>30.0</v>
      </c>
      <c r="BY27" s="69">
        <v>30.0</v>
      </c>
      <c r="BZ27" s="69">
        <v>5.0</v>
      </c>
      <c r="CA27" s="69">
        <v>2.0</v>
      </c>
      <c r="CB27" s="69">
        <v>28.0</v>
      </c>
      <c r="CC27" s="69">
        <v>30.0</v>
      </c>
      <c r="CD27" s="69">
        <v>2.0</v>
      </c>
      <c r="CE27" s="69">
        <v>2.0</v>
      </c>
      <c r="CF27" s="69">
        <v>28.0</v>
      </c>
      <c r="CG27" s="69"/>
      <c r="CH27" s="69"/>
      <c r="CI27" s="70">
        <v>0.0</v>
      </c>
      <c r="CJ27" s="78">
        <v>221.0</v>
      </c>
      <c r="CK27" s="69">
        <v>80.0</v>
      </c>
      <c r="CL27" s="79">
        <f t="shared" si="8"/>
        <v>2.7625</v>
      </c>
      <c r="CM27" s="81">
        <f t="shared" si="9"/>
        <v>34.75609756</v>
      </c>
      <c r="CN27" s="69">
        <v>24.0</v>
      </c>
      <c r="CO27" s="69">
        <v>24.0</v>
      </c>
      <c r="CP27" s="69">
        <v>23.0</v>
      </c>
      <c r="CQ27" s="69">
        <v>1.0</v>
      </c>
      <c r="CR27" s="71">
        <v>29.0</v>
      </c>
      <c r="CS27" s="69">
        <v>29.0</v>
      </c>
      <c r="CT27" s="69">
        <v>24.0</v>
      </c>
      <c r="CU27" s="69">
        <v>5.0</v>
      </c>
      <c r="CV27" s="71">
        <v>32.0</v>
      </c>
      <c r="CW27" s="69">
        <v>15.0</v>
      </c>
      <c r="CX27" s="69">
        <v>12.0</v>
      </c>
      <c r="CY27" s="69">
        <v>21.0</v>
      </c>
      <c r="CZ27" s="69"/>
      <c r="DA27" s="69">
        <v>3.0</v>
      </c>
      <c r="DB27" s="69">
        <v>1.0</v>
      </c>
      <c r="DC27" s="69"/>
      <c r="DD27" s="69">
        <v>-53.0</v>
      </c>
      <c r="DE27" s="69">
        <v>3.0</v>
      </c>
      <c r="DF27" s="69">
        <v>1.0</v>
      </c>
      <c r="DG27" s="69"/>
      <c r="DH27" s="69">
        <v>0.0</v>
      </c>
      <c r="DI27" s="69">
        <v>0.0</v>
      </c>
      <c r="DJ27" s="70"/>
      <c r="DK27" s="82">
        <v>195.0</v>
      </c>
      <c r="DL27" s="69">
        <v>80.0</v>
      </c>
      <c r="DM27" s="77">
        <f t="shared" si="10"/>
        <v>2.4375</v>
      </c>
      <c r="DN27" s="83">
        <f t="shared" si="11"/>
        <v>-11.76470588</v>
      </c>
    </row>
    <row r="28" ht="15.75" customHeight="1">
      <c r="A28" s="69">
        <v>22.0</v>
      </c>
      <c r="B28" s="69" t="s">
        <v>323</v>
      </c>
      <c r="C28" s="69" t="s">
        <v>324</v>
      </c>
      <c r="D28" s="70" t="s">
        <v>15</v>
      </c>
      <c r="E28" s="71">
        <v>151.0</v>
      </c>
      <c r="F28" s="69">
        <v>23.0</v>
      </c>
      <c r="G28" s="69">
        <v>27.0</v>
      </c>
      <c r="H28" s="69">
        <v>26.0</v>
      </c>
      <c r="I28" s="69">
        <v>-3.0</v>
      </c>
      <c r="J28" s="72">
        <v>162.0</v>
      </c>
      <c r="K28" s="69">
        <v>40.0</v>
      </c>
      <c r="L28" s="69">
        <v>40.0</v>
      </c>
      <c r="M28" s="69">
        <v>31.0</v>
      </c>
      <c r="N28" s="69">
        <v>8.0</v>
      </c>
      <c r="O28" s="72">
        <v>61.0</v>
      </c>
      <c r="P28" s="69">
        <v>35.0</v>
      </c>
      <c r="Q28" s="69">
        <v>23.0</v>
      </c>
      <c r="R28" s="69">
        <v>13.0</v>
      </c>
      <c r="S28" s="70">
        <v>20.0</v>
      </c>
      <c r="T28" s="69">
        <f t="shared" si="1"/>
        <v>374</v>
      </c>
      <c r="U28" s="69">
        <v>90.0</v>
      </c>
      <c r="V28" s="73">
        <f t="shared" si="2"/>
        <v>4.155555556</v>
      </c>
      <c r="W28" s="74">
        <v>117.0</v>
      </c>
      <c r="X28" s="69">
        <v>23.0</v>
      </c>
      <c r="Y28" s="69">
        <v>25.0</v>
      </c>
      <c r="Z28" s="69">
        <v>21.0</v>
      </c>
      <c r="AA28" s="69">
        <v>2.0</v>
      </c>
      <c r="AB28" s="84">
        <v>97.0</v>
      </c>
      <c r="AC28" s="69">
        <v>38.0</v>
      </c>
      <c r="AD28" s="69">
        <v>38.0</v>
      </c>
      <c r="AE28" s="69">
        <v>29.0</v>
      </c>
      <c r="AF28" s="69">
        <v>9.0</v>
      </c>
      <c r="AG28" s="69">
        <v>36.0</v>
      </c>
      <c r="AH28" s="69">
        <v>18.0</v>
      </c>
      <c r="AI28" s="69">
        <v>11.0</v>
      </c>
      <c r="AJ28" s="69">
        <v>25.0</v>
      </c>
      <c r="AK28" s="69">
        <f t="shared" si="3"/>
        <v>214</v>
      </c>
      <c r="AL28" s="76">
        <v>90.0</v>
      </c>
      <c r="AM28" s="77">
        <f t="shared" si="4"/>
        <v>2.377777778</v>
      </c>
      <c r="AN28" s="73">
        <f t="shared" si="5"/>
        <v>-42.78074866</v>
      </c>
      <c r="AO28" s="69">
        <v>36.0</v>
      </c>
      <c r="AP28" s="69">
        <v>36.0</v>
      </c>
      <c r="AQ28" s="69">
        <v>36.0</v>
      </c>
      <c r="AR28" s="69">
        <v>0.0</v>
      </c>
      <c r="AS28" s="69">
        <v>42.0</v>
      </c>
      <c r="AT28" s="69">
        <v>42.0</v>
      </c>
      <c r="AU28" s="69">
        <v>32.0</v>
      </c>
      <c r="AV28" s="69">
        <v>10.0</v>
      </c>
      <c r="AW28" s="69">
        <v>52.0</v>
      </c>
      <c r="AX28" s="69">
        <v>28.0</v>
      </c>
      <c r="AY28" s="69">
        <v>14.0</v>
      </c>
      <c r="AZ28" s="69">
        <v>28.0</v>
      </c>
      <c r="BA28" s="69">
        <v>28.0</v>
      </c>
      <c r="BB28" s="69">
        <v>0.0</v>
      </c>
      <c r="BC28" s="69">
        <v>0.0</v>
      </c>
      <c r="BD28" s="69">
        <v>28.0</v>
      </c>
      <c r="BE28" s="69">
        <v>0.0</v>
      </c>
      <c r="BF28" s="69">
        <v>0.0</v>
      </c>
      <c r="BG28" s="69"/>
      <c r="BH28" s="70"/>
      <c r="BI28" s="78">
        <v>318.0</v>
      </c>
      <c r="BJ28" s="69">
        <v>120.0</v>
      </c>
      <c r="BK28" s="79">
        <f t="shared" si="6"/>
        <v>2.65</v>
      </c>
      <c r="BL28" s="80">
        <f t="shared" si="7"/>
        <v>48.59813084</v>
      </c>
      <c r="BM28" s="69">
        <v>36.0</v>
      </c>
      <c r="BN28" s="69">
        <v>36.0</v>
      </c>
      <c r="BO28" s="69">
        <v>31.0</v>
      </c>
      <c r="BP28" s="69">
        <v>5.0</v>
      </c>
      <c r="BQ28" s="69">
        <v>47.0</v>
      </c>
      <c r="BR28" s="69">
        <v>46.0</v>
      </c>
      <c r="BS28" s="69">
        <v>36.0</v>
      </c>
      <c r="BT28" s="69">
        <v>11.0</v>
      </c>
      <c r="BU28" s="69">
        <v>53.0</v>
      </c>
      <c r="BV28" s="69">
        <v>15.0</v>
      </c>
      <c r="BW28" s="69">
        <v>5.0</v>
      </c>
      <c r="BX28" s="69">
        <v>48.0</v>
      </c>
      <c r="BY28" s="69">
        <v>48.0</v>
      </c>
      <c r="BZ28" s="69">
        <v>2.0</v>
      </c>
      <c r="CA28" s="69">
        <v>0.0</v>
      </c>
      <c r="CB28" s="69">
        <v>48.0</v>
      </c>
      <c r="CC28" s="69">
        <v>48.0</v>
      </c>
      <c r="CD28" s="69">
        <v>2.0</v>
      </c>
      <c r="CE28" s="69">
        <v>1.0</v>
      </c>
      <c r="CF28" s="69">
        <v>47.0</v>
      </c>
      <c r="CG28" s="69"/>
      <c r="CH28" s="69"/>
      <c r="CI28" s="70">
        <v>0.0</v>
      </c>
      <c r="CJ28" s="78">
        <v>340.0</v>
      </c>
      <c r="CK28" s="69">
        <v>120.0</v>
      </c>
      <c r="CL28" s="79">
        <f t="shared" si="8"/>
        <v>2.833333333</v>
      </c>
      <c r="CM28" s="81">
        <f t="shared" si="9"/>
        <v>6.918238994</v>
      </c>
      <c r="CN28" s="69">
        <v>24.0</v>
      </c>
      <c r="CO28" s="69">
        <v>24.0</v>
      </c>
      <c r="CP28" s="69">
        <v>24.0</v>
      </c>
      <c r="CQ28" s="69">
        <v>0.0</v>
      </c>
      <c r="CR28" s="71">
        <v>28.0</v>
      </c>
      <c r="CS28" s="69">
        <v>28.0</v>
      </c>
      <c r="CT28" s="69">
        <v>20.0</v>
      </c>
      <c r="CU28" s="69">
        <v>8.0</v>
      </c>
      <c r="CV28" s="71">
        <v>46.0</v>
      </c>
      <c r="CW28" s="69">
        <v>24.0</v>
      </c>
      <c r="CX28" s="69">
        <v>17.0</v>
      </c>
      <c r="CY28" s="69">
        <v>33.0</v>
      </c>
      <c r="CZ28" s="69"/>
      <c r="DA28" s="69">
        <v>3.0</v>
      </c>
      <c r="DB28" s="69">
        <v>4.0</v>
      </c>
      <c r="DC28" s="69"/>
      <c r="DD28" s="69">
        <v>-39.0</v>
      </c>
      <c r="DE28" s="69">
        <v>4.0</v>
      </c>
      <c r="DF28" s="69">
        <v>3.0</v>
      </c>
      <c r="DG28" s="69"/>
      <c r="DH28" s="69">
        <v>0.0</v>
      </c>
      <c r="DI28" s="69">
        <v>0.0</v>
      </c>
      <c r="DJ28" s="70"/>
      <c r="DK28" s="82">
        <v>485.0</v>
      </c>
      <c r="DL28" s="69">
        <v>80.0</v>
      </c>
      <c r="DM28" s="77">
        <f t="shared" si="10"/>
        <v>6.0625</v>
      </c>
      <c r="DN28" s="83">
        <f t="shared" si="11"/>
        <v>42.64705882</v>
      </c>
    </row>
    <row r="29" ht="15.75" customHeight="1">
      <c r="A29" s="69">
        <v>23.0</v>
      </c>
      <c r="B29" s="69" t="s">
        <v>325</v>
      </c>
      <c r="C29" s="69" t="s">
        <v>326</v>
      </c>
      <c r="D29" s="70" t="s">
        <v>15</v>
      </c>
      <c r="E29" s="71">
        <v>121.0</v>
      </c>
      <c r="F29" s="69">
        <v>45.0</v>
      </c>
      <c r="G29" s="69">
        <v>39.0</v>
      </c>
      <c r="H29" s="69">
        <v>36.0</v>
      </c>
      <c r="I29" s="69">
        <v>9.0</v>
      </c>
      <c r="J29" s="72">
        <v>153.0</v>
      </c>
      <c r="K29" s="69">
        <v>90.0</v>
      </c>
      <c r="L29" s="69">
        <v>90.0</v>
      </c>
      <c r="M29" s="69">
        <v>70.0</v>
      </c>
      <c r="N29" s="69">
        <v>18.0</v>
      </c>
      <c r="O29" s="72">
        <v>42.0</v>
      </c>
      <c r="P29" s="69">
        <v>72.0</v>
      </c>
      <c r="Q29" s="69">
        <v>26.0</v>
      </c>
      <c r="R29" s="69">
        <v>13.0</v>
      </c>
      <c r="S29" s="70">
        <v>61.0</v>
      </c>
      <c r="T29" s="69">
        <f t="shared" si="1"/>
        <v>316</v>
      </c>
      <c r="U29" s="69">
        <v>180.0</v>
      </c>
      <c r="V29" s="73">
        <f t="shared" si="2"/>
        <v>1.755555556</v>
      </c>
      <c r="W29" s="74">
        <v>151.0</v>
      </c>
      <c r="X29" s="69">
        <v>45.0</v>
      </c>
      <c r="Y29" s="69">
        <v>45.0</v>
      </c>
      <c r="Z29" s="69">
        <v>37.0</v>
      </c>
      <c r="AA29" s="69">
        <v>8.0</v>
      </c>
      <c r="AB29" s="84">
        <v>188.0</v>
      </c>
      <c r="AC29" s="69">
        <v>80.0</v>
      </c>
      <c r="AD29" s="69">
        <v>80.0</v>
      </c>
      <c r="AE29" s="69">
        <v>64.0</v>
      </c>
      <c r="AF29" s="69">
        <v>16.0</v>
      </c>
      <c r="AG29" s="69">
        <v>77.0</v>
      </c>
      <c r="AH29" s="69">
        <v>28.0</v>
      </c>
      <c r="AI29" s="69">
        <v>23.0</v>
      </c>
      <c r="AJ29" s="69">
        <v>54.0</v>
      </c>
      <c r="AK29" s="69">
        <f t="shared" si="3"/>
        <v>339</v>
      </c>
      <c r="AL29" s="76">
        <v>180.0</v>
      </c>
      <c r="AM29" s="77">
        <f t="shared" si="4"/>
        <v>1.883333333</v>
      </c>
      <c r="AN29" s="73">
        <f t="shared" si="5"/>
        <v>7.278481013</v>
      </c>
      <c r="AO29" s="69">
        <v>48.0</v>
      </c>
      <c r="AP29" s="69">
        <v>48.0</v>
      </c>
      <c r="AQ29" s="69">
        <v>46.0</v>
      </c>
      <c r="AR29" s="69">
        <v>2.0</v>
      </c>
      <c r="AS29" s="69">
        <v>58.0</v>
      </c>
      <c r="AT29" s="69">
        <v>58.0</v>
      </c>
      <c r="AU29" s="69">
        <v>45.0</v>
      </c>
      <c r="AV29" s="69">
        <v>13.0</v>
      </c>
      <c r="AW29" s="69">
        <v>69.0</v>
      </c>
      <c r="AX29" s="69">
        <v>22.0</v>
      </c>
      <c r="AY29" s="69">
        <v>13.0</v>
      </c>
      <c r="AZ29" s="69">
        <v>45.0</v>
      </c>
      <c r="BA29" s="69">
        <v>45.0</v>
      </c>
      <c r="BB29" s="69">
        <v>0.0</v>
      </c>
      <c r="BC29" s="69">
        <v>0.0</v>
      </c>
      <c r="BD29" s="69">
        <v>45.0</v>
      </c>
      <c r="BE29" s="69">
        <v>0.0</v>
      </c>
      <c r="BF29" s="69">
        <v>0.0</v>
      </c>
      <c r="BG29" s="69"/>
      <c r="BH29" s="70"/>
      <c r="BI29" s="78">
        <v>335.0</v>
      </c>
      <c r="BJ29" s="69">
        <v>160.0</v>
      </c>
      <c r="BK29" s="79">
        <f t="shared" si="6"/>
        <v>2.09375</v>
      </c>
      <c r="BL29" s="80">
        <f t="shared" si="7"/>
        <v>-1.179941003</v>
      </c>
      <c r="BM29" s="69">
        <v>48.0</v>
      </c>
      <c r="BN29" s="69">
        <v>48.0</v>
      </c>
      <c r="BO29" s="69">
        <v>41.0</v>
      </c>
      <c r="BP29" s="69">
        <v>7.0</v>
      </c>
      <c r="BQ29" s="69">
        <v>63.0</v>
      </c>
      <c r="BR29" s="69">
        <v>63.0</v>
      </c>
      <c r="BS29" s="69">
        <v>52.0</v>
      </c>
      <c r="BT29" s="69">
        <v>11.0</v>
      </c>
      <c r="BU29" s="69">
        <v>67.0</v>
      </c>
      <c r="BV29" s="69">
        <v>20.0</v>
      </c>
      <c r="BW29" s="69">
        <v>11.0</v>
      </c>
      <c r="BX29" s="69">
        <v>56.0</v>
      </c>
      <c r="BY29" s="69">
        <v>56.0</v>
      </c>
      <c r="BZ29" s="69">
        <v>0.0</v>
      </c>
      <c r="CA29" s="69">
        <v>0.0</v>
      </c>
      <c r="CB29" s="69">
        <v>56.0</v>
      </c>
      <c r="CC29" s="69">
        <v>56.0</v>
      </c>
      <c r="CD29" s="69">
        <v>5.0</v>
      </c>
      <c r="CE29" s="69">
        <v>1.0</v>
      </c>
      <c r="CF29" s="69">
        <v>55.0</v>
      </c>
      <c r="CG29" s="69"/>
      <c r="CH29" s="69"/>
      <c r="CI29" s="70">
        <v>0.0</v>
      </c>
      <c r="CJ29" s="78">
        <v>348.0</v>
      </c>
      <c r="CK29" s="69">
        <v>160.0</v>
      </c>
      <c r="CL29" s="79">
        <f t="shared" si="8"/>
        <v>2.175</v>
      </c>
      <c r="CM29" s="81">
        <f t="shared" si="9"/>
        <v>3.880597015</v>
      </c>
      <c r="CN29" s="69">
        <v>48.0</v>
      </c>
      <c r="CO29" s="69">
        <v>46.0</v>
      </c>
      <c r="CP29" s="69">
        <v>42.0</v>
      </c>
      <c r="CQ29" s="69">
        <v>6.0</v>
      </c>
      <c r="CR29" s="71">
        <v>62.0</v>
      </c>
      <c r="CS29" s="69">
        <v>62.0</v>
      </c>
      <c r="CT29" s="69">
        <v>50.0</v>
      </c>
      <c r="CU29" s="69">
        <v>12.0</v>
      </c>
      <c r="CV29" s="71">
        <v>67.0</v>
      </c>
      <c r="CW29" s="69">
        <v>24.0</v>
      </c>
      <c r="CX29" s="69">
        <v>18.0</v>
      </c>
      <c r="CY29" s="69">
        <v>50.0</v>
      </c>
      <c r="CZ29" s="69"/>
      <c r="DA29" s="69">
        <v>1.0</v>
      </c>
      <c r="DB29" s="69">
        <v>1.0</v>
      </c>
      <c r="DC29" s="69"/>
      <c r="DD29" s="69">
        <v>-92.0</v>
      </c>
      <c r="DE29" s="69">
        <v>1.0</v>
      </c>
      <c r="DF29" s="69">
        <v>1.0</v>
      </c>
      <c r="DG29" s="69"/>
      <c r="DH29" s="69">
        <v>2.0</v>
      </c>
      <c r="DI29" s="69">
        <v>1.0</v>
      </c>
      <c r="DJ29" s="70"/>
      <c r="DK29" s="82">
        <v>302.0</v>
      </c>
      <c r="DL29" s="69">
        <v>160.0</v>
      </c>
      <c r="DM29" s="77">
        <f t="shared" si="10"/>
        <v>1.8875</v>
      </c>
      <c r="DN29" s="83">
        <f t="shared" si="11"/>
        <v>-13.2183908</v>
      </c>
    </row>
    <row r="30" ht="15.75" customHeight="1">
      <c r="A30" s="69">
        <v>24.0</v>
      </c>
      <c r="B30" s="69" t="s">
        <v>329</v>
      </c>
      <c r="C30" s="69" t="s">
        <v>330</v>
      </c>
      <c r="D30" s="70" t="s">
        <v>15</v>
      </c>
      <c r="E30" s="71">
        <v>68.0</v>
      </c>
      <c r="F30" s="69">
        <v>45.0</v>
      </c>
      <c r="G30" s="69">
        <v>38.0</v>
      </c>
      <c r="H30" s="69">
        <v>34.0</v>
      </c>
      <c r="I30" s="69">
        <v>11.0</v>
      </c>
      <c r="J30" s="72">
        <v>106.0</v>
      </c>
      <c r="K30" s="69">
        <v>92.0</v>
      </c>
      <c r="L30" s="69">
        <v>72.0</v>
      </c>
      <c r="M30" s="69">
        <v>54.0</v>
      </c>
      <c r="N30" s="69">
        <v>35.0</v>
      </c>
      <c r="O30" s="72">
        <v>14.0</v>
      </c>
      <c r="P30" s="69">
        <v>89.0</v>
      </c>
      <c r="Q30" s="69">
        <v>5.0</v>
      </c>
      <c r="R30" s="69">
        <v>2.0</v>
      </c>
      <c r="S30" s="70">
        <v>90.0</v>
      </c>
      <c r="T30" s="69">
        <f t="shared" si="1"/>
        <v>188</v>
      </c>
      <c r="U30" s="69">
        <v>180.0</v>
      </c>
      <c r="V30" s="73">
        <f t="shared" si="2"/>
        <v>1.044444444</v>
      </c>
      <c r="W30" s="74">
        <v>73.0</v>
      </c>
      <c r="X30" s="69">
        <v>45.0</v>
      </c>
      <c r="Y30" s="69">
        <v>45.0</v>
      </c>
      <c r="Z30" s="69">
        <v>35.0</v>
      </c>
      <c r="AA30" s="69">
        <v>10.0</v>
      </c>
      <c r="AB30" s="84">
        <v>96.0</v>
      </c>
      <c r="AC30" s="69">
        <v>82.0</v>
      </c>
      <c r="AD30" s="69">
        <v>70.0</v>
      </c>
      <c r="AE30" s="69">
        <v>55.0</v>
      </c>
      <c r="AF30" s="69">
        <v>27.0</v>
      </c>
      <c r="AG30" s="69">
        <v>83.0</v>
      </c>
      <c r="AH30" s="69">
        <v>8.0</v>
      </c>
      <c r="AI30" s="69">
        <v>4.0</v>
      </c>
      <c r="AJ30" s="69">
        <v>79.0</v>
      </c>
      <c r="AK30" s="69">
        <f t="shared" si="3"/>
        <v>169</v>
      </c>
      <c r="AL30" s="76">
        <v>180.0</v>
      </c>
      <c r="AM30" s="77">
        <f t="shared" si="4"/>
        <v>0.9388888889</v>
      </c>
      <c r="AN30" s="73">
        <f t="shared" si="5"/>
        <v>-10.10638298</v>
      </c>
      <c r="AO30" s="69">
        <v>48.0</v>
      </c>
      <c r="AP30" s="69">
        <v>48.0</v>
      </c>
      <c r="AQ30" s="69">
        <v>39.0</v>
      </c>
      <c r="AR30" s="69">
        <v>9.0</v>
      </c>
      <c r="AS30" s="69">
        <v>65.0</v>
      </c>
      <c r="AT30" s="69">
        <v>54.0</v>
      </c>
      <c r="AU30" s="69">
        <v>43.0</v>
      </c>
      <c r="AV30" s="69">
        <v>22.0</v>
      </c>
      <c r="AW30" s="69">
        <v>78.0</v>
      </c>
      <c r="AX30" s="69">
        <v>3.0</v>
      </c>
      <c r="AY30" s="69">
        <v>2.0</v>
      </c>
      <c r="AZ30" s="69">
        <v>63.0</v>
      </c>
      <c r="BA30" s="69">
        <v>63.0</v>
      </c>
      <c r="BB30" s="69">
        <v>0.0</v>
      </c>
      <c r="BC30" s="69">
        <v>0.0</v>
      </c>
      <c r="BD30" s="69">
        <v>63.0</v>
      </c>
      <c r="BE30" s="69">
        <v>0.0</v>
      </c>
      <c r="BF30" s="69">
        <v>0.0</v>
      </c>
      <c r="BG30" s="69"/>
      <c r="BH30" s="70"/>
      <c r="BI30" s="78">
        <v>164.0</v>
      </c>
      <c r="BJ30" s="69">
        <v>160.0</v>
      </c>
      <c r="BK30" s="79">
        <f t="shared" si="6"/>
        <v>1.025</v>
      </c>
      <c r="BL30" s="80">
        <f t="shared" si="7"/>
        <v>-2.958579882</v>
      </c>
      <c r="BM30" s="69">
        <v>48.0</v>
      </c>
      <c r="BN30" s="69">
        <v>48.0</v>
      </c>
      <c r="BO30" s="69">
        <v>37.0</v>
      </c>
      <c r="BP30" s="69">
        <v>11.0</v>
      </c>
      <c r="BQ30" s="69">
        <v>67.0</v>
      </c>
      <c r="BR30" s="69">
        <v>67.0</v>
      </c>
      <c r="BS30" s="69">
        <v>55.0</v>
      </c>
      <c r="BT30" s="69">
        <v>12.0</v>
      </c>
      <c r="BU30" s="69">
        <v>68.0</v>
      </c>
      <c r="BV30" s="69">
        <v>6.0</v>
      </c>
      <c r="BW30" s="69">
        <v>6.0</v>
      </c>
      <c r="BX30" s="69">
        <v>62.0</v>
      </c>
      <c r="BY30" s="69">
        <v>62.0</v>
      </c>
      <c r="BZ30" s="69"/>
      <c r="CA30" s="69">
        <v>0.0</v>
      </c>
      <c r="CB30" s="69">
        <v>62.0</v>
      </c>
      <c r="CC30" s="69">
        <v>62.0</v>
      </c>
      <c r="CD30" s="69">
        <v>0.0</v>
      </c>
      <c r="CE30" s="69">
        <v>0.0</v>
      </c>
      <c r="CF30" s="69">
        <v>62.0</v>
      </c>
      <c r="CG30" s="69"/>
      <c r="CH30" s="69"/>
      <c r="CI30" s="70">
        <v>0.0</v>
      </c>
      <c r="CJ30" s="78">
        <v>186.0</v>
      </c>
      <c r="CK30" s="69">
        <v>160.0</v>
      </c>
      <c r="CL30" s="79">
        <f t="shared" si="8"/>
        <v>1.1625</v>
      </c>
      <c r="CM30" s="81">
        <f t="shared" si="9"/>
        <v>13.41463415</v>
      </c>
      <c r="CN30" s="69">
        <v>48.0</v>
      </c>
      <c r="CO30" s="69">
        <v>38.0</v>
      </c>
      <c r="CP30" s="69">
        <v>34.0</v>
      </c>
      <c r="CQ30" s="69">
        <v>14.0</v>
      </c>
      <c r="CR30" s="71">
        <v>70.0</v>
      </c>
      <c r="CS30" s="69">
        <v>69.0</v>
      </c>
      <c r="CT30" s="69">
        <v>53.0</v>
      </c>
      <c r="CU30" s="69">
        <v>17.0</v>
      </c>
      <c r="CV30" s="71">
        <v>73.0</v>
      </c>
      <c r="CW30" s="69">
        <v>5.0</v>
      </c>
      <c r="CX30" s="69">
        <v>3.0</v>
      </c>
      <c r="CY30" s="69">
        <v>70.0</v>
      </c>
      <c r="CZ30" s="69"/>
      <c r="DA30" s="69">
        <v>0.0</v>
      </c>
      <c r="DB30" s="69">
        <v>0.0</v>
      </c>
      <c r="DC30" s="69"/>
      <c r="DD30" s="69">
        <v>-59.0</v>
      </c>
      <c r="DE30" s="69">
        <v>0.0</v>
      </c>
      <c r="DF30" s="69">
        <v>0.0</v>
      </c>
      <c r="DG30" s="69"/>
      <c r="DH30" s="69">
        <v>0.0</v>
      </c>
      <c r="DI30" s="69">
        <v>0.0</v>
      </c>
      <c r="DJ30" s="70"/>
      <c r="DK30" s="82">
        <v>145.0</v>
      </c>
      <c r="DL30" s="69">
        <v>160.0</v>
      </c>
      <c r="DM30" s="77">
        <f t="shared" si="10"/>
        <v>0.90625</v>
      </c>
      <c r="DN30" s="83">
        <f t="shared" si="11"/>
        <v>-22.04301075</v>
      </c>
    </row>
    <row r="31" ht="15.75" customHeight="1">
      <c r="A31" s="69">
        <v>25.0</v>
      </c>
      <c r="B31" s="69" t="s">
        <v>333</v>
      </c>
      <c r="C31" s="69" t="s">
        <v>334</v>
      </c>
      <c r="D31" s="70" t="s">
        <v>15</v>
      </c>
      <c r="E31" s="71">
        <v>252.0</v>
      </c>
      <c r="F31" s="69">
        <v>30.0</v>
      </c>
      <c r="G31" s="69">
        <v>30.0</v>
      </c>
      <c r="H31" s="69">
        <v>29.0</v>
      </c>
      <c r="I31" s="69">
        <v>1.0</v>
      </c>
      <c r="J31" s="72">
        <v>350.0</v>
      </c>
      <c r="K31" s="69">
        <v>54.0</v>
      </c>
      <c r="L31" s="69">
        <v>55.0</v>
      </c>
      <c r="M31" s="69">
        <v>48.0</v>
      </c>
      <c r="N31" s="69">
        <v>3.0</v>
      </c>
      <c r="O31" s="72">
        <v>58.0</v>
      </c>
      <c r="P31" s="69">
        <v>39.0</v>
      </c>
      <c r="Q31" s="69">
        <v>30.0</v>
      </c>
      <c r="R31" s="69">
        <v>17.0</v>
      </c>
      <c r="S31" s="70">
        <v>26.0</v>
      </c>
      <c r="T31" s="69">
        <f t="shared" si="1"/>
        <v>660</v>
      </c>
      <c r="U31" s="69">
        <v>120.0</v>
      </c>
      <c r="V31" s="73">
        <f t="shared" si="2"/>
        <v>5.5</v>
      </c>
      <c r="W31" s="74">
        <v>290.0</v>
      </c>
      <c r="X31" s="69">
        <v>23.0</v>
      </c>
      <c r="Y31" s="69">
        <v>23.0</v>
      </c>
      <c r="Z31" s="69">
        <v>22.0</v>
      </c>
      <c r="AA31" s="69">
        <v>1.0</v>
      </c>
      <c r="AB31" s="84">
        <v>367.0</v>
      </c>
      <c r="AC31" s="69">
        <v>37.0</v>
      </c>
      <c r="AD31" s="69">
        <v>37.0</v>
      </c>
      <c r="AE31" s="69">
        <v>30.0</v>
      </c>
      <c r="AF31" s="69">
        <v>7.0</v>
      </c>
      <c r="AG31" s="69">
        <v>35.0</v>
      </c>
      <c r="AH31" s="69">
        <v>28.0</v>
      </c>
      <c r="AI31" s="69">
        <v>9.0</v>
      </c>
      <c r="AJ31" s="69">
        <v>26.0</v>
      </c>
      <c r="AK31" s="69">
        <f t="shared" si="3"/>
        <v>657</v>
      </c>
      <c r="AL31" s="76">
        <v>90.0</v>
      </c>
      <c r="AM31" s="77">
        <f t="shared" si="4"/>
        <v>7.3</v>
      </c>
      <c r="AN31" s="73">
        <f t="shared" si="5"/>
        <v>-0.4545454545</v>
      </c>
      <c r="AO31" s="69">
        <v>36.0</v>
      </c>
      <c r="AP31" s="69">
        <v>36.0</v>
      </c>
      <c r="AQ31" s="69">
        <v>33.0</v>
      </c>
      <c r="AR31" s="69">
        <v>3.0</v>
      </c>
      <c r="AS31" s="69">
        <v>45.0</v>
      </c>
      <c r="AT31" s="69">
        <v>45.0</v>
      </c>
      <c r="AU31" s="69">
        <v>44.0</v>
      </c>
      <c r="AV31" s="69">
        <v>1.0</v>
      </c>
      <c r="AW31" s="69">
        <v>43.0</v>
      </c>
      <c r="AX31" s="69">
        <v>43.0</v>
      </c>
      <c r="AY31" s="69">
        <v>23.0</v>
      </c>
      <c r="AZ31" s="69">
        <v>22.0</v>
      </c>
      <c r="BA31" s="69">
        <v>22.0</v>
      </c>
      <c r="BB31" s="69">
        <v>6.0</v>
      </c>
      <c r="BC31" s="69">
        <v>6.0</v>
      </c>
      <c r="BD31" s="69">
        <v>16.0</v>
      </c>
      <c r="BE31" s="69">
        <v>0.0</v>
      </c>
      <c r="BF31" s="69">
        <v>0.0</v>
      </c>
      <c r="BG31" s="69"/>
      <c r="BH31" s="70"/>
      <c r="BI31" s="78">
        <v>952.0</v>
      </c>
      <c r="BJ31" s="69">
        <v>120.0</v>
      </c>
      <c r="BK31" s="79">
        <f t="shared" si="6"/>
        <v>7.933333333</v>
      </c>
      <c r="BL31" s="80">
        <f t="shared" si="7"/>
        <v>44.90106545</v>
      </c>
      <c r="BM31" s="69">
        <v>36.0</v>
      </c>
      <c r="BN31" s="69">
        <v>36.0</v>
      </c>
      <c r="BO31" s="69">
        <v>35.0</v>
      </c>
      <c r="BP31" s="69">
        <v>1.0</v>
      </c>
      <c r="BQ31" s="69">
        <v>43.0</v>
      </c>
      <c r="BR31" s="69">
        <v>43.0</v>
      </c>
      <c r="BS31" s="69">
        <v>37.0</v>
      </c>
      <c r="BT31" s="69">
        <v>6.0</v>
      </c>
      <c r="BU31" s="69">
        <v>48.0</v>
      </c>
      <c r="BV31" s="69">
        <v>46.0</v>
      </c>
      <c r="BW31" s="69">
        <v>23.0</v>
      </c>
      <c r="BX31" s="69">
        <v>23.0</v>
      </c>
      <c r="BY31" s="69">
        <v>23.0</v>
      </c>
      <c r="BZ31" s="69">
        <v>2.0</v>
      </c>
      <c r="CA31" s="69">
        <v>2.0</v>
      </c>
      <c r="CB31" s="69">
        <v>21.0</v>
      </c>
      <c r="CC31" s="69">
        <v>23.0</v>
      </c>
      <c r="CD31" s="69">
        <v>4.0</v>
      </c>
      <c r="CE31" s="69">
        <v>1.0</v>
      </c>
      <c r="CF31" s="69">
        <v>22.0</v>
      </c>
      <c r="CG31" s="69"/>
      <c r="CH31" s="69"/>
      <c r="CI31" s="70">
        <v>0.0</v>
      </c>
      <c r="CJ31" s="78">
        <v>1141.0</v>
      </c>
      <c r="CK31" s="69">
        <v>120.0</v>
      </c>
      <c r="CL31" s="79">
        <f t="shared" si="8"/>
        <v>9.508333333</v>
      </c>
      <c r="CM31" s="81">
        <f t="shared" si="9"/>
        <v>19.85294118</v>
      </c>
      <c r="CN31" s="69">
        <v>36.0</v>
      </c>
      <c r="CO31" s="69">
        <v>36.0</v>
      </c>
      <c r="CP31" s="69">
        <v>34.0</v>
      </c>
      <c r="CQ31" s="69">
        <v>2.0</v>
      </c>
      <c r="CR31" s="71">
        <v>44.0</v>
      </c>
      <c r="CS31" s="69">
        <v>44.0</v>
      </c>
      <c r="CT31" s="69">
        <v>42.0</v>
      </c>
      <c r="CU31" s="69">
        <v>2.0</v>
      </c>
      <c r="CV31" s="71">
        <v>38.0</v>
      </c>
      <c r="CW31" s="69">
        <v>38.0</v>
      </c>
      <c r="CX31" s="69">
        <v>22.0</v>
      </c>
      <c r="CY31" s="69">
        <v>22.0</v>
      </c>
      <c r="CZ31" s="69"/>
      <c r="DA31" s="69">
        <v>17.0</v>
      </c>
      <c r="DB31" s="69">
        <v>6.0</v>
      </c>
      <c r="DC31" s="69"/>
      <c r="DD31" s="69">
        <v>-94.0</v>
      </c>
      <c r="DE31" s="69">
        <v>10.0</v>
      </c>
      <c r="DF31" s="69">
        <v>5.0</v>
      </c>
      <c r="DG31" s="69"/>
      <c r="DH31" s="69">
        <v>0.0</v>
      </c>
      <c r="DI31" s="69">
        <v>0.0</v>
      </c>
      <c r="DJ31" s="70"/>
      <c r="DK31" s="82">
        <v>1052.0</v>
      </c>
      <c r="DL31" s="69">
        <v>120.0</v>
      </c>
      <c r="DM31" s="77">
        <f t="shared" si="10"/>
        <v>8.766666667</v>
      </c>
      <c r="DN31" s="83">
        <f t="shared" si="11"/>
        <v>-7.800175285</v>
      </c>
    </row>
    <row r="32" ht="15.75" customHeight="1">
      <c r="A32" s="69">
        <v>26.0</v>
      </c>
      <c r="B32" s="69" t="s">
        <v>343</v>
      </c>
      <c r="C32" s="69" t="s">
        <v>344</v>
      </c>
      <c r="D32" s="70" t="s">
        <v>15</v>
      </c>
      <c r="E32" s="71">
        <v>831.0</v>
      </c>
      <c r="F32" s="69">
        <v>23.0</v>
      </c>
      <c r="G32" s="69">
        <v>27.0</v>
      </c>
      <c r="H32" s="69">
        <v>27.0</v>
      </c>
      <c r="I32" s="69">
        <v>-4.0</v>
      </c>
      <c r="J32" s="72">
        <v>1160.0</v>
      </c>
      <c r="K32" s="69">
        <v>40.0</v>
      </c>
      <c r="L32" s="69">
        <v>40.0</v>
      </c>
      <c r="M32" s="69">
        <v>34.0</v>
      </c>
      <c r="N32" s="69">
        <v>4.0</v>
      </c>
      <c r="O32" s="72">
        <v>209.0</v>
      </c>
      <c r="P32" s="69">
        <v>31.0</v>
      </c>
      <c r="Q32" s="69">
        <v>39.0</v>
      </c>
      <c r="R32" s="69">
        <v>28.0</v>
      </c>
      <c r="S32" s="70">
        <v>1.0</v>
      </c>
      <c r="T32" s="69">
        <f t="shared" si="1"/>
        <v>2200</v>
      </c>
      <c r="U32" s="69">
        <v>90.0</v>
      </c>
      <c r="V32" s="73">
        <f t="shared" si="2"/>
        <v>24.44444444</v>
      </c>
      <c r="W32" s="74">
        <v>842.0</v>
      </c>
      <c r="X32" s="69">
        <v>23.0</v>
      </c>
      <c r="Y32" s="69">
        <v>25.0</v>
      </c>
      <c r="Z32" s="69">
        <v>24.0</v>
      </c>
      <c r="AA32" s="69">
        <v>-1.0</v>
      </c>
      <c r="AB32" s="84">
        <v>1108.0</v>
      </c>
      <c r="AC32" s="69">
        <v>36.0</v>
      </c>
      <c r="AD32" s="69">
        <v>36.0</v>
      </c>
      <c r="AE32" s="69">
        <v>36.0</v>
      </c>
      <c r="AF32" s="69">
        <v>0.0</v>
      </c>
      <c r="AG32" s="69">
        <v>30.0</v>
      </c>
      <c r="AH32" s="69">
        <v>30.0</v>
      </c>
      <c r="AI32" s="69">
        <v>18.0</v>
      </c>
      <c r="AJ32" s="69">
        <v>12.0</v>
      </c>
      <c r="AK32" s="69">
        <f t="shared" si="3"/>
        <v>1950</v>
      </c>
      <c r="AL32" s="76">
        <v>90.0</v>
      </c>
      <c r="AM32" s="77">
        <f t="shared" si="4"/>
        <v>21.66666667</v>
      </c>
      <c r="AN32" s="73">
        <f t="shared" si="5"/>
        <v>-11.36363636</v>
      </c>
      <c r="AO32" s="69">
        <v>36.0</v>
      </c>
      <c r="AP32" s="69">
        <v>36.0</v>
      </c>
      <c r="AQ32" s="69">
        <v>36.0</v>
      </c>
      <c r="AR32" s="69">
        <v>0.0</v>
      </c>
      <c r="AS32" s="69">
        <v>42.0</v>
      </c>
      <c r="AT32" s="69">
        <v>42.0</v>
      </c>
      <c r="AU32" s="69">
        <v>40.0</v>
      </c>
      <c r="AV32" s="69">
        <v>2.0</v>
      </c>
      <c r="AW32" s="69">
        <v>44.0</v>
      </c>
      <c r="AX32" s="69">
        <v>44.0</v>
      </c>
      <c r="AY32" s="69">
        <v>30.0</v>
      </c>
      <c r="AZ32" s="69">
        <v>12.0</v>
      </c>
      <c r="BA32" s="69">
        <v>12.0</v>
      </c>
      <c r="BB32" s="69">
        <v>5.0</v>
      </c>
      <c r="BC32" s="69">
        <v>5.0</v>
      </c>
      <c r="BD32" s="69">
        <v>7.0</v>
      </c>
      <c r="BE32" s="69">
        <v>7.0</v>
      </c>
      <c r="BF32" s="69">
        <v>4.0</v>
      </c>
      <c r="BG32" s="69"/>
      <c r="BH32" s="70"/>
      <c r="BI32" s="78">
        <v>2591.0</v>
      </c>
      <c r="BJ32" s="69">
        <v>120.0</v>
      </c>
      <c r="BK32" s="79">
        <f t="shared" si="6"/>
        <v>21.59166667</v>
      </c>
      <c r="BL32" s="80">
        <f t="shared" si="7"/>
        <v>32.87179487</v>
      </c>
      <c r="BM32" s="69">
        <v>36.0</v>
      </c>
      <c r="BN32" s="69">
        <v>36.0</v>
      </c>
      <c r="BO32" s="69">
        <v>35.0</v>
      </c>
      <c r="BP32" s="69">
        <v>1.0</v>
      </c>
      <c r="BQ32" s="69">
        <v>43.0</v>
      </c>
      <c r="BR32" s="69">
        <v>43.0</v>
      </c>
      <c r="BS32" s="69">
        <v>41.0</v>
      </c>
      <c r="BT32" s="69">
        <v>2.0</v>
      </c>
      <c r="BU32" s="69">
        <v>44.0</v>
      </c>
      <c r="BV32" s="69">
        <v>41.0</v>
      </c>
      <c r="BW32" s="69">
        <v>31.0</v>
      </c>
      <c r="BX32" s="69">
        <v>10.0</v>
      </c>
      <c r="BY32" s="69">
        <v>10.0</v>
      </c>
      <c r="BZ32" s="69">
        <v>7.0</v>
      </c>
      <c r="CA32" s="69">
        <v>3.0</v>
      </c>
      <c r="CB32" s="69">
        <v>7.0</v>
      </c>
      <c r="CC32" s="69">
        <v>10.0</v>
      </c>
      <c r="CD32" s="69">
        <v>8.0</v>
      </c>
      <c r="CE32" s="69">
        <v>6.0</v>
      </c>
      <c r="CF32" s="69">
        <v>4.0</v>
      </c>
      <c r="CG32" s="69"/>
      <c r="CH32" s="69"/>
      <c r="CI32" s="70">
        <v>0.0</v>
      </c>
      <c r="CJ32" s="78">
        <v>2595.0</v>
      </c>
      <c r="CK32" s="69">
        <v>120.0</v>
      </c>
      <c r="CL32" s="79">
        <f t="shared" si="8"/>
        <v>21.625</v>
      </c>
      <c r="CM32" s="81">
        <f t="shared" si="9"/>
        <v>0.1543805481</v>
      </c>
      <c r="CN32" s="69">
        <v>36.0</v>
      </c>
      <c r="CO32" s="69">
        <v>36.0</v>
      </c>
      <c r="CP32" s="69">
        <v>36.0</v>
      </c>
      <c r="CQ32" s="69">
        <v>0.0</v>
      </c>
      <c r="CR32" s="71">
        <v>42.0</v>
      </c>
      <c r="CS32" s="69">
        <v>42.0</v>
      </c>
      <c r="CT32" s="69">
        <v>41.0</v>
      </c>
      <c r="CU32" s="69">
        <v>1.0</v>
      </c>
      <c r="CV32" s="71">
        <v>38.0</v>
      </c>
      <c r="CW32" s="69">
        <v>38.0</v>
      </c>
      <c r="CX32" s="69">
        <v>32.0</v>
      </c>
      <c r="CY32" s="69">
        <v>11.0</v>
      </c>
      <c r="CZ32" s="69"/>
      <c r="DA32" s="69">
        <v>49.0</v>
      </c>
      <c r="DB32" s="69">
        <v>5.0</v>
      </c>
      <c r="DC32" s="69"/>
      <c r="DD32" s="69">
        <v>-108.0</v>
      </c>
      <c r="DE32" s="69">
        <v>4.0</v>
      </c>
      <c r="DF32" s="69">
        <v>3.0</v>
      </c>
      <c r="DG32" s="69"/>
      <c r="DH32" s="69">
        <v>0.0</v>
      </c>
      <c r="DI32" s="69">
        <v>0.0</v>
      </c>
      <c r="DJ32" s="70"/>
      <c r="DK32" s="82">
        <v>2174.0</v>
      </c>
      <c r="DL32" s="69">
        <v>120.0</v>
      </c>
      <c r="DM32" s="77">
        <f t="shared" si="10"/>
        <v>18.11666667</v>
      </c>
      <c r="DN32" s="83">
        <f t="shared" si="11"/>
        <v>-16.22350674</v>
      </c>
    </row>
    <row r="33" ht="15.75" customHeight="1">
      <c r="A33" s="69">
        <v>27.0</v>
      </c>
      <c r="B33" s="69" t="s">
        <v>351</v>
      </c>
      <c r="C33" s="69" t="s">
        <v>352</v>
      </c>
      <c r="D33" s="70" t="s">
        <v>15</v>
      </c>
      <c r="E33" s="71">
        <v>1066.0</v>
      </c>
      <c r="F33" s="69">
        <v>15.0</v>
      </c>
      <c r="G33" s="69">
        <v>17.0</v>
      </c>
      <c r="H33" s="69">
        <v>17.0</v>
      </c>
      <c r="I33" s="69">
        <v>-2.0</v>
      </c>
      <c r="J33" s="72">
        <v>1563.0</v>
      </c>
      <c r="K33" s="69">
        <v>27.0</v>
      </c>
      <c r="L33" s="69">
        <v>27.0</v>
      </c>
      <c r="M33" s="69">
        <v>23.0</v>
      </c>
      <c r="N33" s="69">
        <v>2.0</v>
      </c>
      <c r="O33" s="72">
        <v>417.0</v>
      </c>
      <c r="P33" s="69">
        <v>20.0</v>
      </c>
      <c r="Q33" s="69">
        <v>28.0</v>
      </c>
      <c r="R33" s="69">
        <v>19.0</v>
      </c>
      <c r="S33" s="70">
        <v>1.0</v>
      </c>
      <c r="T33" s="69">
        <f t="shared" si="1"/>
        <v>3046</v>
      </c>
      <c r="U33" s="69">
        <v>60.0</v>
      </c>
      <c r="V33" s="73">
        <f t="shared" si="2"/>
        <v>50.76666667</v>
      </c>
      <c r="W33" s="74">
        <v>1268.0</v>
      </c>
      <c r="X33" s="69">
        <v>15.0</v>
      </c>
      <c r="Y33" s="69">
        <v>18.0</v>
      </c>
      <c r="Z33" s="69">
        <v>18.0</v>
      </c>
      <c r="AA33" s="69">
        <v>-3.0</v>
      </c>
      <c r="AB33" s="84">
        <v>1439.0</v>
      </c>
      <c r="AC33" s="69">
        <v>24.0</v>
      </c>
      <c r="AD33" s="69">
        <v>24.0</v>
      </c>
      <c r="AE33" s="69">
        <v>23.0</v>
      </c>
      <c r="AF33" s="69">
        <v>1.0</v>
      </c>
      <c r="AG33" s="69">
        <v>19.0</v>
      </c>
      <c r="AH33" s="69">
        <v>19.0</v>
      </c>
      <c r="AI33" s="69">
        <v>11.0</v>
      </c>
      <c r="AJ33" s="69">
        <v>8.0</v>
      </c>
      <c r="AK33" s="69">
        <f t="shared" si="3"/>
        <v>2707</v>
      </c>
      <c r="AL33" s="76">
        <v>60.0</v>
      </c>
      <c r="AM33" s="77">
        <f t="shared" si="4"/>
        <v>45.11666667</v>
      </c>
      <c r="AN33" s="73">
        <f t="shared" si="5"/>
        <v>-11.12934997</v>
      </c>
      <c r="AO33" s="69">
        <v>24.0</v>
      </c>
      <c r="AP33" s="69">
        <v>24.0</v>
      </c>
      <c r="AQ33" s="69">
        <v>24.0</v>
      </c>
      <c r="AR33" s="69">
        <v>0.0</v>
      </c>
      <c r="AS33" s="69">
        <v>28.0</v>
      </c>
      <c r="AT33" s="69">
        <v>28.0</v>
      </c>
      <c r="AU33" s="69">
        <v>25.0</v>
      </c>
      <c r="AV33" s="69">
        <v>3.0</v>
      </c>
      <c r="AW33" s="69">
        <v>31.0</v>
      </c>
      <c r="AX33" s="69">
        <v>31.0</v>
      </c>
      <c r="AY33" s="69">
        <v>24.0</v>
      </c>
      <c r="AZ33" s="69">
        <v>4.0</v>
      </c>
      <c r="BA33" s="69">
        <v>4.0</v>
      </c>
      <c r="BB33" s="69">
        <v>5.0</v>
      </c>
      <c r="BC33" s="69">
        <v>5.0</v>
      </c>
      <c r="BD33" s="69">
        <v>-1.0</v>
      </c>
      <c r="BE33" s="69">
        <v>9.0</v>
      </c>
      <c r="BF33" s="69">
        <v>5.0</v>
      </c>
      <c r="BG33" s="69">
        <v>1.0</v>
      </c>
      <c r="BH33" s="70"/>
      <c r="BI33" s="78">
        <v>3588.0</v>
      </c>
      <c r="BJ33" s="69">
        <v>80.0</v>
      </c>
      <c r="BK33" s="79">
        <f t="shared" si="6"/>
        <v>44.85</v>
      </c>
      <c r="BL33" s="80">
        <f t="shared" si="7"/>
        <v>32.54525305</v>
      </c>
      <c r="BM33" s="69">
        <v>24.0</v>
      </c>
      <c r="BN33" s="69">
        <v>24.0</v>
      </c>
      <c r="BO33" s="69">
        <v>24.0</v>
      </c>
      <c r="BP33" s="69">
        <v>0.0</v>
      </c>
      <c r="BQ33" s="69">
        <v>28.0</v>
      </c>
      <c r="BR33" s="69">
        <v>28.0</v>
      </c>
      <c r="BS33" s="69">
        <v>26.0</v>
      </c>
      <c r="BT33" s="69">
        <v>2.0</v>
      </c>
      <c r="BU33" s="69">
        <v>30.0</v>
      </c>
      <c r="BV33" s="69">
        <v>26.0</v>
      </c>
      <c r="BW33" s="69">
        <v>19.0</v>
      </c>
      <c r="BX33" s="69">
        <v>6.0</v>
      </c>
      <c r="BY33" s="69">
        <v>6.0</v>
      </c>
      <c r="BZ33" s="69">
        <v>6.0</v>
      </c>
      <c r="CA33" s="69">
        <v>5.0</v>
      </c>
      <c r="CB33" s="69">
        <v>1.0</v>
      </c>
      <c r="CC33" s="69">
        <v>5.0</v>
      </c>
      <c r="CD33" s="69">
        <v>9.0</v>
      </c>
      <c r="CE33" s="69">
        <v>8.0</v>
      </c>
      <c r="CF33" s="69">
        <v>-3.0</v>
      </c>
      <c r="CG33" s="69">
        <v>1.0</v>
      </c>
      <c r="CH33" s="69"/>
      <c r="CI33" s="70">
        <v>1.0</v>
      </c>
      <c r="CJ33" s="78">
        <v>3231.0</v>
      </c>
      <c r="CK33" s="69">
        <v>80.0</v>
      </c>
      <c r="CL33" s="79">
        <f t="shared" si="8"/>
        <v>40.3875</v>
      </c>
      <c r="CM33" s="81">
        <f t="shared" si="9"/>
        <v>-9.949832776</v>
      </c>
      <c r="CN33" s="69">
        <v>27.0</v>
      </c>
      <c r="CO33" s="69">
        <v>27.0</v>
      </c>
      <c r="CP33" s="69">
        <v>27.0</v>
      </c>
      <c r="CQ33" s="69">
        <v>0.0</v>
      </c>
      <c r="CR33" s="71">
        <v>32.0</v>
      </c>
      <c r="CS33" s="69">
        <v>32.0</v>
      </c>
      <c r="CT33" s="69">
        <v>30.0</v>
      </c>
      <c r="CU33" s="69">
        <v>2.0</v>
      </c>
      <c r="CV33" s="71">
        <v>20.0</v>
      </c>
      <c r="CW33" s="69">
        <v>22.0</v>
      </c>
      <c r="CX33" s="69">
        <v>12.0</v>
      </c>
      <c r="CY33" s="69">
        <v>18.0</v>
      </c>
      <c r="CZ33" s="69"/>
      <c r="DA33" s="69">
        <v>66.0</v>
      </c>
      <c r="DB33" s="69">
        <v>10.0</v>
      </c>
      <c r="DC33" s="69"/>
      <c r="DD33" s="69">
        <v>-70.0</v>
      </c>
      <c r="DE33" s="69">
        <v>10.0</v>
      </c>
      <c r="DF33" s="69">
        <v>10.0</v>
      </c>
      <c r="DG33" s="69"/>
      <c r="DH33" s="69">
        <v>0.0</v>
      </c>
      <c r="DI33" s="69">
        <v>0.0</v>
      </c>
      <c r="DJ33" s="70"/>
      <c r="DK33" s="82">
        <v>3526.0</v>
      </c>
      <c r="DL33" s="69">
        <v>90.0</v>
      </c>
      <c r="DM33" s="77">
        <f t="shared" si="10"/>
        <v>39.17777778</v>
      </c>
      <c r="DN33" s="83">
        <f t="shared" si="11"/>
        <v>9.130300217</v>
      </c>
    </row>
    <row r="34" ht="15.75" customHeight="1">
      <c r="A34" s="69">
        <v>28.0</v>
      </c>
      <c r="B34" s="69" t="s">
        <v>362</v>
      </c>
      <c r="C34" s="69" t="s">
        <v>363</v>
      </c>
      <c r="D34" s="70" t="s">
        <v>15</v>
      </c>
      <c r="E34" s="71">
        <v>96.0</v>
      </c>
      <c r="F34" s="69">
        <v>23.0</v>
      </c>
      <c r="G34" s="69">
        <v>23.0</v>
      </c>
      <c r="H34" s="69">
        <v>22.0</v>
      </c>
      <c r="I34" s="69">
        <v>1.0</v>
      </c>
      <c r="J34" s="72">
        <v>84.0</v>
      </c>
      <c r="K34" s="69">
        <v>41.0</v>
      </c>
      <c r="L34" s="69">
        <v>41.0</v>
      </c>
      <c r="M34" s="69">
        <v>35.0</v>
      </c>
      <c r="N34" s="69">
        <v>3.0</v>
      </c>
      <c r="O34" s="72">
        <v>6.0</v>
      </c>
      <c r="P34" s="69">
        <v>30.0</v>
      </c>
      <c r="Q34" s="69">
        <v>5.0</v>
      </c>
      <c r="R34" s="69">
        <v>2.0</v>
      </c>
      <c r="S34" s="70">
        <v>31.0</v>
      </c>
      <c r="T34" s="69">
        <f t="shared" si="1"/>
        <v>186</v>
      </c>
      <c r="U34" s="69">
        <v>90.0</v>
      </c>
      <c r="V34" s="73">
        <f t="shared" si="2"/>
        <v>2.066666667</v>
      </c>
      <c r="W34" s="74">
        <v>67.0</v>
      </c>
      <c r="X34" s="69">
        <v>23.0</v>
      </c>
      <c r="Y34" s="69">
        <v>23.0</v>
      </c>
      <c r="Z34" s="69">
        <v>22.0</v>
      </c>
      <c r="AA34" s="69">
        <v>1.0</v>
      </c>
      <c r="AB34" s="84">
        <v>81.0</v>
      </c>
      <c r="AC34" s="69">
        <v>37.0</v>
      </c>
      <c r="AD34" s="69">
        <v>37.0</v>
      </c>
      <c r="AE34" s="69">
        <v>33.0</v>
      </c>
      <c r="AF34" s="69">
        <v>4.0</v>
      </c>
      <c r="AG34" s="69">
        <v>35.0</v>
      </c>
      <c r="AH34" s="69">
        <v>2.0</v>
      </c>
      <c r="AI34" s="69">
        <v>1.0</v>
      </c>
      <c r="AJ34" s="69">
        <v>34.0</v>
      </c>
      <c r="AK34" s="69">
        <f t="shared" si="3"/>
        <v>148</v>
      </c>
      <c r="AL34" s="76">
        <v>90.0</v>
      </c>
      <c r="AM34" s="77">
        <f t="shared" si="4"/>
        <v>1.644444444</v>
      </c>
      <c r="AN34" s="73">
        <f t="shared" si="5"/>
        <v>-20.43010753</v>
      </c>
      <c r="AO34" s="69">
        <v>36.0</v>
      </c>
      <c r="AP34" s="69">
        <v>36.0</v>
      </c>
      <c r="AQ34" s="69">
        <v>35.0</v>
      </c>
      <c r="AR34" s="69">
        <v>1.0</v>
      </c>
      <c r="AS34" s="69">
        <v>43.0</v>
      </c>
      <c r="AT34" s="69">
        <v>43.0</v>
      </c>
      <c r="AU34" s="69">
        <v>39.0</v>
      </c>
      <c r="AV34" s="69">
        <v>4.0</v>
      </c>
      <c r="AW34" s="69">
        <v>46.0</v>
      </c>
      <c r="AX34" s="69">
        <v>5.0</v>
      </c>
      <c r="AY34" s="69">
        <v>0.0</v>
      </c>
      <c r="AZ34" s="69">
        <v>43.0</v>
      </c>
      <c r="BA34" s="69">
        <v>43.0</v>
      </c>
      <c r="BB34" s="69">
        <v>0.0</v>
      </c>
      <c r="BC34" s="69">
        <v>0.0</v>
      </c>
      <c r="BD34" s="69">
        <v>43.0</v>
      </c>
      <c r="BE34" s="69">
        <v>0.0</v>
      </c>
      <c r="BF34" s="69">
        <v>0.0</v>
      </c>
      <c r="BG34" s="69"/>
      <c r="BH34" s="70"/>
      <c r="BI34" s="78">
        <v>180.0</v>
      </c>
      <c r="BJ34" s="69">
        <v>120.0</v>
      </c>
      <c r="BK34" s="79">
        <f t="shared" si="6"/>
        <v>1.5</v>
      </c>
      <c r="BL34" s="80">
        <f t="shared" si="7"/>
        <v>21.62162162</v>
      </c>
      <c r="BM34" s="69">
        <v>24.0</v>
      </c>
      <c r="BN34" s="69">
        <v>24.0</v>
      </c>
      <c r="BO34" s="69">
        <v>24.0</v>
      </c>
      <c r="BP34" s="69">
        <v>0.0</v>
      </c>
      <c r="BQ34" s="69">
        <v>28.0</v>
      </c>
      <c r="BR34" s="69">
        <v>28.0</v>
      </c>
      <c r="BS34" s="69">
        <v>25.0</v>
      </c>
      <c r="BT34" s="69">
        <v>3.0</v>
      </c>
      <c r="BU34" s="69">
        <v>31.0</v>
      </c>
      <c r="BV34" s="69">
        <v>2.0</v>
      </c>
      <c r="BW34" s="69">
        <v>1.0</v>
      </c>
      <c r="BX34" s="69">
        <v>29.0</v>
      </c>
      <c r="BY34" s="69">
        <v>29.0</v>
      </c>
      <c r="BZ34" s="69">
        <v>1.0</v>
      </c>
      <c r="CA34" s="69">
        <v>1.0</v>
      </c>
      <c r="CB34" s="69">
        <v>28.0</v>
      </c>
      <c r="CC34" s="69">
        <v>29.0</v>
      </c>
      <c r="CD34" s="69">
        <v>0.0</v>
      </c>
      <c r="CE34" s="69">
        <v>0.0</v>
      </c>
      <c r="CF34" s="69">
        <v>29.0</v>
      </c>
      <c r="CG34" s="69"/>
      <c r="CH34" s="69"/>
      <c r="CI34" s="70">
        <v>0.0</v>
      </c>
      <c r="CJ34" s="78">
        <v>211.0</v>
      </c>
      <c r="CK34" s="69">
        <v>80.0</v>
      </c>
      <c r="CL34" s="79">
        <f t="shared" si="8"/>
        <v>2.6375</v>
      </c>
      <c r="CM34" s="81">
        <f t="shared" si="9"/>
        <v>17.22222222</v>
      </c>
      <c r="CN34" s="69">
        <v>24.0</v>
      </c>
      <c r="CO34" s="69">
        <v>23.0</v>
      </c>
      <c r="CP34" s="69">
        <v>23.0</v>
      </c>
      <c r="CQ34" s="69">
        <v>1.0</v>
      </c>
      <c r="CR34" s="71">
        <v>29.0</v>
      </c>
      <c r="CS34" s="69">
        <v>29.0</v>
      </c>
      <c r="CT34" s="69">
        <v>26.0</v>
      </c>
      <c r="CU34" s="69">
        <v>3.0</v>
      </c>
      <c r="CV34" s="71">
        <v>29.0</v>
      </c>
      <c r="CW34" s="69">
        <v>0.0</v>
      </c>
      <c r="CX34" s="69">
        <v>0.0</v>
      </c>
      <c r="CY34" s="69">
        <v>31.0</v>
      </c>
      <c r="CZ34" s="69"/>
      <c r="DA34" s="69">
        <v>1.0</v>
      </c>
      <c r="DB34" s="69">
        <v>2.0</v>
      </c>
      <c r="DC34" s="69"/>
      <c r="DD34" s="69">
        <v>-45.0</v>
      </c>
      <c r="DE34" s="69">
        <v>0.0</v>
      </c>
      <c r="DF34" s="69">
        <v>0.0</v>
      </c>
      <c r="DG34" s="69"/>
      <c r="DH34" s="69">
        <v>0.0</v>
      </c>
      <c r="DI34" s="69">
        <v>0.0</v>
      </c>
      <c r="DJ34" s="70"/>
      <c r="DK34" s="82">
        <v>209.0</v>
      </c>
      <c r="DL34" s="69">
        <v>80.0</v>
      </c>
      <c r="DM34" s="77">
        <f t="shared" si="10"/>
        <v>2.6125</v>
      </c>
      <c r="DN34" s="83">
        <f t="shared" si="11"/>
        <v>-0.9478672986</v>
      </c>
    </row>
    <row r="35" ht="15.75" customHeight="1">
      <c r="A35" s="69">
        <v>29.0</v>
      </c>
      <c r="B35" s="69" t="s">
        <v>377</v>
      </c>
      <c r="C35" s="69" t="s">
        <v>378</v>
      </c>
      <c r="D35" s="70" t="s">
        <v>15</v>
      </c>
      <c r="E35" s="71">
        <v>253.0</v>
      </c>
      <c r="F35" s="69">
        <v>20.0</v>
      </c>
      <c r="G35" s="69">
        <v>21.0</v>
      </c>
      <c r="H35" s="69">
        <v>20.0</v>
      </c>
      <c r="I35" s="69">
        <v>0.0</v>
      </c>
      <c r="J35" s="72">
        <v>528.0</v>
      </c>
      <c r="K35" s="69">
        <v>36.0</v>
      </c>
      <c r="L35" s="69">
        <v>36.0</v>
      </c>
      <c r="M35" s="69">
        <v>33.0</v>
      </c>
      <c r="N35" s="69">
        <v>3.0</v>
      </c>
      <c r="O35" s="72">
        <v>64.0</v>
      </c>
      <c r="P35" s="69">
        <v>27.0</v>
      </c>
      <c r="Q35" s="69">
        <v>28.0</v>
      </c>
      <c r="R35" s="69">
        <v>23.0</v>
      </c>
      <c r="S35" s="70">
        <v>4.0</v>
      </c>
      <c r="T35" s="69">
        <f t="shared" si="1"/>
        <v>845</v>
      </c>
      <c r="U35" s="69">
        <v>80.0</v>
      </c>
      <c r="V35" s="73">
        <f t="shared" si="2"/>
        <v>10.5625</v>
      </c>
      <c r="W35" s="74">
        <v>445.0</v>
      </c>
      <c r="X35" s="69">
        <v>23.0</v>
      </c>
      <c r="Y35" s="69">
        <v>23.0</v>
      </c>
      <c r="Z35" s="69">
        <v>23.0</v>
      </c>
      <c r="AA35" s="69">
        <v>0.0</v>
      </c>
      <c r="AB35" s="84">
        <v>641.0</v>
      </c>
      <c r="AC35" s="69">
        <v>36.0</v>
      </c>
      <c r="AD35" s="69">
        <v>36.0</v>
      </c>
      <c r="AE35" s="69">
        <v>34.0</v>
      </c>
      <c r="AF35" s="69">
        <v>2.0</v>
      </c>
      <c r="AG35" s="69">
        <v>32.0</v>
      </c>
      <c r="AH35" s="69">
        <v>32.0</v>
      </c>
      <c r="AI35" s="69">
        <v>18.0</v>
      </c>
      <c r="AJ35" s="69">
        <v>14.0</v>
      </c>
      <c r="AK35" s="69">
        <f t="shared" si="3"/>
        <v>1086</v>
      </c>
      <c r="AL35" s="76">
        <v>90.0</v>
      </c>
      <c r="AM35" s="77">
        <f t="shared" si="4"/>
        <v>12.06666667</v>
      </c>
      <c r="AN35" s="73">
        <f t="shared" si="5"/>
        <v>28.52071006</v>
      </c>
      <c r="AO35" s="69">
        <v>36.0</v>
      </c>
      <c r="AP35" s="69">
        <v>36.0</v>
      </c>
      <c r="AQ35" s="69">
        <v>35.0</v>
      </c>
      <c r="AR35" s="69">
        <v>1.0</v>
      </c>
      <c r="AS35" s="69">
        <v>43.0</v>
      </c>
      <c r="AT35" s="69">
        <v>43.0</v>
      </c>
      <c r="AU35" s="69">
        <v>40.0</v>
      </c>
      <c r="AV35" s="69">
        <v>3.0</v>
      </c>
      <c r="AW35" s="69">
        <v>45.0</v>
      </c>
      <c r="AX35" s="69">
        <v>45.0</v>
      </c>
      <c r="AY35" s="69">
        <v>27.0</v>
      </c>
      <c r="AZ35" s="69">
        <v>16.0</v>
      </c>
      <c r="BA35" s="69">
        <v>16.0</v>
      </c>
      <c r="BB35" s="69">
        <v>4.0</v>
      </c>
      <c r="BC35" s="69">
        <v>4.0</v>
      </c>
      <c r="BD35" s="69">
        <v>12.0</v>
      </c>
      <c r="BE35" s="69">
        <v>2.0</v>
      </c>
      <c r="BF35" s="69">
        <v>2.0</v>
      </c>
      <c r="BG35" s="69">
        <v>2.0</v>
      </c>
      <c r="BH35" s="70">
        <v>1.0</v>
      </c>
      <c r="BI35" s="78">
        <v>1650.0</v>
      </c>
      <c r="BJ35" s="69">
        <v>120.0</v>
      </c>
      <c r="BK35" s="79">
        <f t="shared" si="6"/>
        <v>13.75</v>
      </c>
      <c r="BL35" s="80">
        <f t="shared" si="7"/>
        <v>51.93370166</v>
      </c>
      <c r="BM35" s="69">
        <v>36.0</v>
      </c>
      <c r="BN35" s="69">
        <v>36.0</v>
      </c>
      <c r="BO35" s="69">
        <v>35.0</v>
      </c>
      <c r="BP35" s="69">
        <v>1.0</v>
      </c>
      <c r="BQ35" s="69">
        <v>43.0</v>
      </c>
      <c r="BR35" s="69">
        <v>43.0</v>
      </c>
      <c r="BS35" s="69">
        <v>44.0</v>
      </c>
      <c r="BT35" s="69">
        <v>-1.0</v>
      </c>
      <c r="BU35" s="69">
        <v>41.0</v>
      </c>
      <c r="BV35" s="69">
        <v>36.0</v>
      </c>
      <c r="BW35" s="69">
        <v>26.0</v>
      </c>
      <c r="BX35" s="69">
        <v>10.0</v>
      </c>
      <c r="BY35" s="69">
        <v>10.0</v>
      </c>
      <c r="BZ35" s="69">
        <v>7.0</v>
      </c>
      <c r="CA35" s="69">
        <v>5.0</v>
      </c>
      <c r="CB35" s="69">
        <v>5.0</v>
      </c>
      <c r="CC35" s="69">
        <v>10.0</v>
      </c>
      <c r="CD35" s="69">
        <v>8.0</v>
      </c>
      <c r="CE35" s="69">
        <v>3.0</v>
      </c>
      <c r="CF35" s="69">
        <v>7.0</v>
      </c>
      <c r="CG35" s="69"/>
      <c r="CH35" s="69"/>
      <c r="CI35" s="70">
        <v>0.0</v>
      </c>
      <c r="CJ35" s="78">
        <v>1813.0</v>
      </c>
      <c r="CK35" s="69">
        <v>120.0</v>
      </c>
      <c r="CL35" s="79">
        <f t="shared" si="8"/>
        <v>15.10833333</v>
      </c>
      <c r="CM35" s="81">
        <f t="shared" si="9"/>
        <v>9.878787879</v>
      </c>
      <c r="CN35" s="69">
        <v>36.0</v>
      </c>
      <c r="CO35" s="69">
        <v>36.0</v>
      </c>
      <c r="CP35" s="69">
        <v>36.0</v>
      </c>
      <c r="CQ35" s="69">
        <v>0.0</v>
      </c>
      <c r="CR35" s="71">
        <v>42.0</v>
      </c>
      <c r="CS35" s="69">
        <v>42.0</v>
      </c>
      <c r="CT35" s="69">
        <v>41.0</v>
      </c>
      <c r="CU35" s="69">
        <v>1.0</v>
      </c>
      <c r="CV35" s="71">
        <v>38.0</v>
      </c>
      <c r="CW35" s="69">
        <v>38.0</v>
      </c>
      <c r="CX35" s="69">
        <v>27.0</v>
      </c>
      <c r="CY35" s="69">
        <v>16.0</v>
      </c>
      <c r="CZ35" s="69"/>
      <c r="DA35" s="69">
        <v>32.0</v>
      </c>
      <c r="DB35" s="69">
        <v>5.0</v>
      </c>
      <c r="DC35" s="69"/>
      <c r="DD35" s="69">
        <v>-103.0</v>
      </c>
      <c r="DE35" s="69">
        <v>11.0</v>
      </c>
      <c r="DF35" s="69">
        <v>9.0</v>
      </c>
      <c r="DG35" s="69"/>
      <c r="DH35" s="69">
        <v>0.0</v>
      </c>
      <c r="DI35" s="69">
        <v>0.0</v>
      </c>
      <c r="DJ35" s="70"/>
      <c r="DK35" s="82">
        <v>1735.0</v>
      </c>
      <c r="DL35" s="69">
        <v>120.0</v>
      </c>
      <c r="DM35" s="77">
        <f t="shared" si="10"/>
        <v>14.45833333</v>
      </c>
      <c r="DN35" s="83">
        <f t="shared" si="11"/>
        <v>-4.302261445</v>
      </c>
    </row>
    <row r="36" ht="15.75" customHeight="1">
      <c r="A36" s="69">
        <v>30.0</v>
      </c>
      <c r="B36" s="69" t="s">
        <v>383</v>
      </c>
      <c r="C36" s="69" t="s">
        <v>384</v>
      </c>
      <c r="D36" s="70" t="s">
        <v>15</v>
      </c>
      <c r="E36" s="71">
        <v>292.0</v>
      </c>
      <c r="F36" s="69">
        <v>23.0</v>
      </c>
      <c r="G36" s="69">
        <v>27.0</v>
      </c>
      <c r="H36" s="69">
        <v>27.0</v>
      </c>
      <c r="I36" s="69">
        <v>-4.0</v>
      </c>
      <c r="J36" s="72">
        <v>276.0</v>
      </c>
      <c r="K36" s="69">
        <v>40.0</v>
      </c>
      <c r="L36" s="69">
        <v>40.0</v>
      </c>
      <c r="M36" s="69">
        <v>34.0</v>
      </c>
      <c r="N36" s="69">
        <v>4.0</v>
      </c>
      <c r="O36" s="72">
        <v>95.0</v>
      </c>
      <c r="P36" s="69">
        <v>31.0</v>
      </c>
      <c r="Q36" s="69">
        <v>35.0</v>
      </c>
      <c r="R36" s="69">
        <v>27.0</v>
      </c>
      <c r="S36" s="70">
        <v>2.0</v>
      </c>
      <c r="T36" s="69">
        <f t="shared" si="1"/>
        <v>663</v>
      </c>
      <c r="U36" s="69">
        <v>90.0</v>
      </c>
      <c r="V36" s="73">
        <f t="shared" si="2"/>
        <v>7.366666667</v>
      </c>
      <c r="W36" s="74">
        <v>277.0</v>
      </c>
      <c r="X36" s="69">
        <v>23.0</v>
      </c>
      <c r="Y36" s="69">
        <v>25.0</v>
      </c>
      <c r="Z36" s="69">
        <v>25.0</v>
      </c>
      <c r="AA36" s="69">
        <v>-2.0</v>
      </c>
      <c r="AB36" s="84">
        <v>250.0</v>
      </c>
      <c r="AC36" s="69">
        <v>36.0</v>
      </c>
      <c r="AD36" s="69">
        <v>36.0</v>
      </c>
      <c r="AE36" s="69">
        <v>35.0</v>
      </c>
      <c r="AF36" s="69">
        <v>1.0</v>
      </c>
      <c r="AG36" s="69">
        <v>29.0</v>
      </c>
      <c r="AH36" s="69">
        <v>29.0</v>
      </c>
      <c r="AI36" s="69">
        <v>28.0</v>
      </c>
      <c r="AJ36" s="69">
        <v>1.0</v>
      </c>
      <c r="AK36" s="69">
        <f t="shared" si="3"/>
        <v>527</v>
      </c>
      <c r="AL36" s="76">
        <v>90.0</v>
      </c>
      <c r="AM36" s="77">
        <f t="shared" si="4"/>
        <v>5.855555556</v>
      </c>
      <c r="AN36" s="73">
        <f t="shared" si="5"/>
        <v>-20.51282051</v>
      </c>
      <c r="AO36" s="69">
        <v>36.0</v>
      </c>
      <c r="AP36" s="69">
        <v>36.0</v>
      </c>
      <c r="AQ36" s="69">
        <v>36.0</v>
      </c>
      <c r="AR36" s="69">
        <v>0.0</v>
      </c>
      <c r="AS36" s="69">
        <v>42.0</v>
      </c>
      <c r="AT36" s="69">
        <v>42.0</v>
      </c>
      <c r="AU36" s="69">
        <v>40.0</v>
      </c>
      <c r="AV36" s="69">
        <v>2.0</v>
      </c>
      <c r="AW36" s="69">
        <v>44.0</v>
      </c>
      <c r="AX36" s="69">
        <v>44.0</v>
      </c>
      <c r="AY36" s="69">
        <v>35.0</v>
      </c>
      <c r="AZ36" s="69">
        <v>7.0</v>
      </c>
      <c r="BA36" s="69">
        <v>7.0</v>
      </c>
      <c r="BB36" s="69">
        <v>3.0</v>
      </c>
      <c r="BC36" s="69">
        <v>2.0</v>
      </c>
      <c r="BD36" s="69">
        <v>5.0</v>
      </c>
      <c r="BE36" s="69">
        <v>0.0</v>
      </c>
      <c r="BF36" s="69">
        <v>0.0</v>
      </c>
      <c r="BG36" s="69"/>
      <c r="BH36" s="70"/>
      <c r="BI36" s="78">
        <v>582.0</v>
      </c>
      <c r="BJ36" s="69">
        <v>120.0</v>
      </c>
      <c r="BK36" s="79">
        <f t="shared" si="6"/>
        <v>4.85</v>
      </c>
      <c r="BL36" s="80">
        <f t="shared" si="7"/>
        <v>10.43643264</v>
      </c>
      <c r="BM36" s="69">
        <v>36.0</v>
      </c>
      <c r="BN36" s="69">
        <v>36.0</v>
      </c>
      <c r="BO36" s="69">
        <v>36.0</v>
      </c>
      <c r="BP36" s="69">
        <v>0.0</v>
      </c>
      <c r="BQ36" s="69">
        <v>42.0</v>
      </c>
      <c r="BR36" s="69">
        <v>42.0</v>
      </c>
      <c r="BS36" s="69">
        <v>39.0</v>
      </c>
      <c r="BT36" s="69">
        <v>3.0</v>
      </c>
      <c r="BU36" s="69">
        <v>45.0</v>
      </c>
      <c r="BV36" s="69">
        <v>43.0</v>
      </c>
      <c r="BW36" s="69">
        <v>36.0</v>
      </c>
      <c r="BX36" s="69">
        <v>8.0</v>
      </c>
      <c r="BY36" s="69">
        <v>8.0</v>
      </c>
      <c r="BZ36" s="69">
        <v>1.0</v>
      </c>
      <c r="CA36" s="69">
        <v>1.0</v>
      </c>
      <c r="CB36" s="69">
        <v>7.0</v>
      </c>
      <c r="CC36" s="69">
        <v>8.0</v>
      </c>
      <c r="CD36" s="69">
        <v>0.0</v>
      </c>
      <c r="CE36" s="69">
        <v>0.0</v>
      </c>
      <c r="CF36" s="69">
        <v>8.0</v>
      </c>
      <c r="CG36" s="69"/>
      <c r="CH36" s="69"/>
      <c r="CI36" s="70">
        <v>0.0</v>
      </c>
      <c r="CJ36" s="78">
        <v>615.0</v>
      </c>
      <c r="CK36" s="69">
        <v>120.0</v>
      </c>
      <c r="CL36" s="79">
        <f t="shared" si="8"/>
        <v>5.125</v>
      </c>
      <c r="CM36" s="81">
        <f t="shared" si="9"/>
        <v>5.670103093</v>
      </c>
      <c r="CN36" s="69">
        <v>36.0</v>
      </c>
      <c r="CO36" s="69">
        <v>36.0</v>
      </c>
      <c r="CP36" s="69">
        <v>36.0</v>
      </c>
      <c r="CQ36" s="69">
        <v>0.0</v>
      </c>
      <c r="CR36" s="71">
        <v>42.0</v>
      </c>
      <c r="CS36" s="69">
        <v>42.0</v>
      </c>
      <c r="CT36" s="69">
        <v>35.0</v>
      </c>
      <c r="CU36" s="69">
        <v>7.0</v>
      </c>
      <c r="CV36" s="71">
        <v>48.0</v>
      </c>
      <c r="CW36" s="69">
        <v>42.0</v>
      </c>
      <c r="CX36" s="69">
        <v>34.0</v>
      </c>
      <c r="CY36" s="69">
        <v>15.0</v>
      </c>
      <c r="CZ36" s="69"/>
      <c r="DA36" s="69">
        <v>12.0</v>
      </c>
      <c r="DB36" s="69">
        <v>1.0</v>
      </c>
      <c r="DC36" s="69"/>
      <c r="DD36" s="69">
        <v>-98.0</v>
      </c>
      <c r="DE36" s="69">
        <v>2.0</v>
      </c>
      <c r="DF36" s="69">
        <v>1.0</v>
      </c>
      <c r="DG36" s="69"/>
      <c r="DH36" s="69">
        <v>0.0</v>
      </c>
      <c r="DI36" s="69">
        <v>0.0</v>
      </c>
      <c r="DJ36" s="70"/>
      <c r="DK36" s="82">
        <v>537.0</v>
      </c>
      <c r="DL36" s="69">
        <v>120.0</v>
      </c>
      <c r="DM36" s="77">
        <f t="shared" si="10"/>
        <v>4.475</v>
      </c>
      <c r="DN36" s="83">
        <f t="shared" si="11"/>
        <v>-12.68292683</v>
      </c>
    </row>
    <row r="37" ht="15.75" customHeight="1">
      <c r="A37" s="69">
        <v>31.0</v>
      </c>
      <c r="B37" s="69" t="s">
        <v>386</v>
      </c>
      <c r="C37" s="69" t="s">
        <v>387</v>
      </c>
      <c r="D37" s="70" t="s">
        <v>15</v>
      </c>
      <c r="E37" s="71">
        <v>59.0</v>
      </c>
      <c r="F37" s="69">
        <v>30.0</v>
      </c>
      <c r="G37" s="69">
        <v>28.0</v>
      </c>
      <c r="H37" s="69">
        <v>26.0</v>
      </c>
      <c r="I37" s="69">
        <v>4.0</v>
      </c>
      <c r="J37" s="72">
        <v>80.0</v>
      </c>
      <c r="K37" s="69">
        <v>58.0</v>
      </c>
      <c r="L37" s="69">
        <v>58.0</v>
      </c>
      <c r="M37" s="69">
        <v>51.0</v>
      </c>
      <c r="N37" s="69">
        <v>4.0</v>
      </c>
      <c r="O37" s="72">
        <v>14.0</v>
      </c>
      <c r="P37" s="69">
        <v>40.0</v>
      </c>
      <c r="Q37" s="69">
        <v>8.0</v>
      </c>
      <c r="R37" s="69">
        <v>3.0</v>
      </c>
      <c r="S37" s="70">
        <v>40.0</v>
      </c>
      <c r="T37" s="69">
        <f t="shared" si="1"/>
        <v>153</v>
      </c>
      <c r="U37" s="69">
        <v>120.0</v>
      </c>
      <c r="V37" s="73">
        <f t="shared" si="2"/>
        <v>1.275</v>
      </c>
      <c r="W37" s="74">
        <v>61.0</v>
      </c>
      <c r="X37" s="69">
        <v>38.0</v>
      </c>
      <c r="Y37" s="69">
        <v>38.0</v>
      </c>
      <c r="Z37" s="69">
        <v>30.0</v>
      </c>
      <c r="AA37" s="69">
        <v>8.0</v>
      </c>
      <c r="AB37" s="84">
        <v>80.0</v>
      </c>
      <c r="AC37" s="69">
        <v>68.0</v>
      </c>
      <c r="AD37" s="69">
        <v>64.0</v>
      </c>
      <c r="AE37" s="69">
        <v>51.0</v>
      </c>
      <c r="AF37" s="69">
        <v>17.0</v>
      </c>
      <c r="AG37" s="69">
        <v>61.0</v>
      </c>
      <c r="AH37" s="69">
        <v>6.0</v>
      </c>
      <c r="AI37" s="69">
        <v>2.0</v>
      </c>
      <c r="AJ37" s="69">
        <v>59.0</v>
      </c>
      <c r="AK37" s="69">
        <f t="shared" si="3"/>
        <v>141</v>
      </c>
      <c r="AL37" s="76">
        <v>150.0</v>
      </c>
      <c r="AM37" s="77">
        <f t="shared" si="4"/>
        <v>0.94</v>
      </c>
      <c r="AN37" s="73">
        <f t="shared" si="5"/>
        <v>-7.843137255</v>
      </c>
      <c r="AO37" s="69">
        <v>36.0</v>
      </c>
      <c r="AP37" s="69">
        <v>36.0</v>
      </c>
      <c r="AQ37" s="69">
        <v>26.0</v>
      </c>
      <c r="AR37" s="69">
        <v>10.0</v>
      </c>
      <c r="AS37" s="69">
        <v>52.0</v>
      </c>
      <c r="AT37" s="69">
        <v>52.0</v>
      </c>
      <c r="AU37" s="69">
        <v>35.0</v>
      </c>
      <c r="AV37" s="69">
        <v>17.0</v>
      </c>
      <c r="AW37" s="69">
        <v>59.0</v>
      </c>
      <c r="AX37" s="69">
        <v>6.0</v>
      </c>
      <c r="AY37" s="69">
        <v>1.0</v>
      </c>
      <c r="AZ37" s="69">
        <v>51.0</v>
      </c>
      <c r="BA37" s="69">
        <v>51.0</v>
      </c>
      <c r="BB37" s="69">
        <v>0.0</v>
      </c>
      <c r="BC37" s="69">
        <v>0.0</v>
      </c>
      <c r="BD37" s="69">
        <v>51.0</v>
      </c>
      <c r="BE37" s="69">
        <v>0.0</v>
      </c>
      <c r="BF37" s="69">
        <v>0.0</v>
      </c>
      <c r="BG37" s="69"/>
      <c r="BH37" s="70"/>
      <c r="BI37" s="78">
        <v>145.0</v>
      </c>
      <c r="BJ37" s="69">
        <v>120.0</v>
      </c>
      <c r="BK37" s="79">
        <f t="shared" si="6"/>
        <v>1.208333333</v>
      </c>
      <c r="BL37" s="80">
        <f t="shared" si="7"/>
        <v>2.836879433</v>
      </c>
      <c r="BM37" s="69">
        <v>36.0</v>
      </c>
      <c r="BN37" s="69">
        <v>36.0</v>
      </c>
      <c r="BO37" s="69">
        <v>29.0</v>
      </c>
      <c r="BP37" s="69">
        <v>7.0</v>
      </c>
      <c r="BQ37" s="69">
        <v>49.0</v>
      </c>
      <c r="BR37" s="69">
        <v>49.0</v>
      </c>
      <c r="BS37" s="69">
        <v>41.0</v>
      </c>
      <c r="BT37" s="69">
        <v>8.0</v>
      </c>
      <c r="BU37" s="69">
        <v>50.0</v>
      </c>
      <c r="BV37" s="69">
        <v>3.0</v>
      </c>
      <c r="BW37" s="69">
        <v>0.0</v>
      </c>
      <c r="BX37" s="69">
        <v>50.0</v>
      </c>
      <c r="BY37" s="69">
        <v>50.0</v>
      </c>
      <c r="BZ37" s="69"/>
      <c r="CA37" s="69">
        <v>0.0</v>
      </c>
      <c r="CB37" s="69">
        <v>50.0</v>
      </c>
      <c r="CC37" s="69">
        <v>50.0</v>
      </c>
      <c r="CD37" s="69">
        <v>0.0</v>
      </c>
      <c r="CE37" s="69">
        <v>0.0</v>
      </c>
      <c r="CF37" s="69">
        <v>50.0</v>
      </c>
      <c r="CG37" s="69">
        <v>1.0</v>
      </c>
      <c r="CH37" s="69">
        <v>1.0</v>
      </c>
      <c r="CI37" s="70">
        <v>0.0</v>
      </c>
      <c r="CJ37" s="78">
        <v>140.0</v>
      </c>
      <c r="CK37" s="69">
        <v>120.0</v>
      </c>
      <c r="CL37" s="79">
        <f t="shared" si="8"/>
        <v>1.166666667</v>
      </c>
      <c r="CM37" s="81">
        <f t="shared" si="9"/>
        <v>-3.448275862</v>
      </c>
      <c r="CN37" s="69">
        <v>36.0</v>
      </c>
      <c r="CO37" s="69">
        <v>23.0</v>
      </c>
      <c r="CP37" s="69">
        <v>19.0</v>
      </c>
      <c r="CQ37" s="69">
        <v>17.0</v>
      </c>
      <c r="CR37" s="71">
        <v>59.0</v>
      </c>
      <c r="CS37" s="69">
        <v>59.0</v>
      </c>
      <c r="CT37" s="69">
        <v>46.0</v>
      </c>
      <c r="CU37" s="69">
        <v>13.0</v>
      </c>
      <c r="CV37" s="71">
        <v>55.0</v>
      </c>
      <c r="CW37" s="69">
        <v>6.0</v>
      </c>
      <c r="CX37" s="69">
        <v>2.0</v>
      </c>
      <c r="CY37" s="69">
        <v>53.0</v>
      </c>
      <c r="CZ37" s="69"/>
      <c r="DA37" s="69">
        <v>0.0</v>
      </c>
      <c r="DB37" s="69">
        <v>0.0</v>
      </c>
      <c r="DC37" s="69"/>
      <c r="DD37" s="69">
        <v>-37.0</v>
      </c>
      <c r="DE37" s="69">
        <v>0.0</v>
      </c>
      <c r="DF37" s="69">
        <v>0.0</v>
      </c>
      <c r="DG37" s="69"/>
      <c r="DH37" s="69">
        <v>0.0</v>
      </c>
      <c r="DI37" s="69">
        <v>0.0</v>
      </c>
      <c r="DJ37" s="70"/>
      <c r="DK37" s="82">
        <v>129.0</v>
      </c>
      <c r="DL37" s="69">
        <v>120.0</v>
      </c>
      <c r="DM37" s="77">
        <f t="shared" si="10"/>
        <v>1.075</v>
      </c>
      <c r="DN37" s="83">
        <f t="shared" si="11"/>
        <v>-7.857142857</v>
      </c>
    </row>
    <row r="38" ht="15.75" customHeight="1">
      <c r="A38" s="69">
        <v>32.0</v>
      </c>
      <c r="B38" s="69" t="s">
        <v>392</v>
      </c>
      <c r="C38" s="69" t="s">
        <v>393</v>
      </c>
      <c r="D38" s="70" t="s">
        <v>15</v>
      </c>
      <c r="E38" s="71">
        <v>75.0</v>
      </c>
      <c r="F38" s="69">
        <v>20.0</v>
      </c>
      <c r="G38" s="69">
        <v>20.0</v>
      </c>
      <c r="H38" s="69">
        <v>19.0</v>
      </c>
      <c r="I38" s="69">
        <v>1.0</v>
      </c>
      <c r="J38" s="72">
        <v>87.0</v>
      </c>
      <c r="K38" s="69">
        <v>36.0</v>
      </c>
      <c r="L38" s="69">
        <v>36.0</v>
      </c>
      <c r="M38" s="69">
        <v>33.0</v>
      </c>
      <c r="N38" s="69">
        <v>1.0</v>
      </c>
      <c r="O38" s="72">
        <v>16.0</v>
      </c>
      <c r="P38" s="69">
        <v>25.0</v>
      </c>
      <c r="Q38" s="69">
        <v>11.0</v>
      </c>
      <c r="R38" s="69">
        <v>3.0</v>
      </c>
      <c r="S38" s="70">
        <v>25.0</v>
      </c>
      <c r="T38" s="69">
        <f t="shared" si="1"/>
        <v>178</v>
      </c>
      <c r="U38" s="69">
        <v>80.0</v>
      </c>
      <c r="V38" s="73">
        <f t="shared" si="2"/>
        <v>2.225</v>
      </c>
      <c r="W38" s="74">
        <v>82.0</v>
      </c>
      <c r="X38" s="69">
        <v>23.0</v>
      </c>
      <c r="Y38" s="69">
        <v>23.0</v>
      </c>
      <c r="Z38" s="69">
        <v>17.0</v>
      </c>
      <c r="AA38" s="69">
        <v>6.0</v>
      </c>
      <c r="AB38" s="84">
        <v>103.0</v>
      </c>
      <c r="AC38" s="69">
        <v>42.0</v>
      </c>
      <c r="AD38" s="69">
        <v>42.0</v>
      </c>
      <c r="AE38" s="69">
        <v>34.0</v>
      </c>
      <c r="AF38" s="69">
        <v>8.0</v>
      </c>
      <c r="AG38" s="69">
        <v>36.0</v>
      </c>
      <c r="AH38" s="69">
        <v>12.0</v>
      </c>
      <c r="AI38" s="69">
        <v>5.0</v>
      </c>
      <c r="AJ38" s="69">
        <v>31.0</v>
      </c>
      <c r="AK38" s="69">
        <f t="shared" si="3"/>
        <v>185</v>
      </c>
      <c r="AL38" s="76">
        <v>90.0</v>
      </c>
      <c r="AM38" s="77">
        <f t="shared" si="4"/>
        <v>2.055555556</v>
      </c>
      <c r="AN38" s="73">
        <f t="shared" si="5"/>
        <v>3.93258427</v>
      </c>
      <c r="AO38" s="69">
        <v>36.0</v>
      </c>
      <c r="AP38" s="69">
        <v>36.0</v>
      </c>
      <c r="AQ38" s="69">
        <v>33.0</v>
      </c>
      <c r="AR38" s="69">
        <v>3.0</v>
      </c>
      <c r="AS38" s="69">
        <v>45.0</v>
      </c>
      <c r="AT38" s="69">
        <v>45.0</v>
      </c>
      <c r="AU38" s="69">
        <v>41.0</v>
      </c>
      <c r="AV38" s="69">
        <v>4.0</v>
      </c>
      <c r="AW38" s="69">
        <v>46.0</v>
      </c>
      <c r="AX38" s="69">
        <v>6.0</v>
      </c>
      <c r="AY38" s="69">
        <v>2.0</v>
      </c>
      <c r="AZ38" s="69">
        <v>43.0</v>
      </c>
      <c r="BA38" s="69">
        <v>43.0</v>
      </c>
      <c r="BB38" s="69">
        <v>0.0</v>
      </c>
      <c r="BC38" s="69">
        <v>0.0</v>
      </c>
      <c r="BD38" s="69">
        <v>43.0</v>
      </c>
      <c r="BE38" s="69">
        <v>0.0</v>
      </c>
      <c r="BF38" s="69">
        <v>0.0</v>
      </c>
      <c r="BG38" s="69"/>
      <c r="BH38" s="70"/>
      <c r="BI38" s="78">
        <v>177.0</v>
      </c>
      <c r="BJ38" s="69">
        <v>120.0</v>
      </c>
      <c r="BK38" s="79">
        <f t="shared" si="6"/>
        <v>1.475</v>
      </c>
      <c r="BL38" s="80">
        <f t="shared" si="7"/>
        <v>-4.324324324</v>
      </c>
      <c r="BM38" s="69">
        <v>36.0</v>
      </c>
      <c r="BN38" s="69">
        <v>36.0</v>
      </c>
      <c r="BO38" s="69">
        <v>27.0</v>
      </c>
      <c r="BP38" s="69">
        <v>9.0</v>
      </c>
      <c r="BQ38" s="69">
        <v>51.0</v>
      </c>
      <c r="BR38" s="69">
        <v>51.0</v>
      </c>
      <c r="BS38" s="69">
        <v>45.0</v>
      </c>
      <c r="BT38" s="69">
        <v>6.0</v>
      </c>
      <c r="BU38" s="69">
        <v>48.0</v>
      </c>
      <c r="BV38" s="69">
        <v>5.0</v>
      </c>
      <c r="BW38" s="69">
        <v>4.0</v>
      </c>
      <c r="BX38" s="69">
        <v>44.0</v>
      </c>
      <c r="BY38" s="69">
        <v>44.0</v>
      </c>
      <c r="BZ38" s="69">
        <v>1.0</v>
      </c>
      <c r="CA38" s="69">
        <v>0.0</v>
      </c>
      <c r="CB38" s="69">
        <v>44.0</v>
      </c>
      <c r="CC38" s="69">
        <v>44.0</v>
      </c>
      <c r="CD38" s="69">
        <v>1.0</v>
      </c>
      <c r="CE38" s="69">
        <v>0.0</v>
      </c>
      <c r="CF38" s="69">
        <v>44.0</v>
      </c>
      <c r="CG38" s="69"/>
      <c r="CH38" s="69"/>
      <c r="CI38" s="70">
        <v>0.0</v>
      </c>
      <c r="CJ38" s="78">
        <v>167.0</v>
      </c>
      <c r="CK38" s="69">
        <v>120.0</v>
      </c>
      <c r="CL38" s="79">
        <f t="shared" si="8"/>
        <v>1.391666667</v>
      </c>
      <c r="CM38" s="81">
        <f t="shared" si="9"/>
        <v>-5.649717514</v>
      </c>
      <c r="CN38" s="69">
        <v>36.0</v>
      </c>
      <c r="CO38" s="69">
        <v>36.0</v>
      </c>
      <c r="CP38" s="69">
        <v>34.0</v>
      </c>
      <c r="CQ38" s="69">
        <v>2.0</v>
      </c>
      <c r="CR38" s="71">
        <v>44.0</v>
      </c>
      <c r="CS38" s="69">
        <v>44.0</v>
      </c>
      <c r="CT38" s="69">
        <v>39.0</v>
      </c>
      <c r="CU38" s="69">
        <v>5.0</v>
      </c>
      <c r="CV38" s="71">
        <v>47.0</v>
      </c>
      <c r="CW38" s="69">
        <v>6.0</v>
      </c>
      <c r="CX38" s="69">
        <v>5.0</v>
      </c>
      <c r="CY38" s="69">
        <v>42.0</v>
      </c>
      <c r="CZ38" s="69"/>
      <c r="DA38" s="69">
        <v>1.0</v>
      </c>
      <c r="DB38" s="69">
        <v>0.0</v>
      </c>
      <c r="DC38" s="69"/>
      <c r="DD38" s="69">
        <v>-71.0</v>
      </c>
      <c r="DE38" s="69">
        <v>0.0</v>
      </c>
      <c r="DF38" s="69">
        <v>0.0</v>
      </c>
      <c r="DG38" s="69"/>
      <c r="DH38" s="69">
        <v>0.0</v>
      </c>
      <c r="DI38" s="69">
        <v>0.0</v>
      </c>
      <c r="DJ38" s="70"/>
      <c r="DK38" s="82">
        <v>195.0</v>
      </c>
      <c r="DL38" s="69">
        <v>120.0</v>
      </c>
      <c r="DM38" s="77">
        <f t="shared" si="10"/>
        <v>1.625</v>
      </c>
      <c r="DN38" s="83">
        <f t="shared" si="11"/>
        <v>16.76646707</v>
      </c>
    </row>
    <row r="39" ht="15.75" customHeight="1">
      <c r="A39" s="69">
        <v>33.0</v>
      </c>
      <c r="B39" s="69" t="s">
        <v>395</v>
      </c>
      <c r="C39" s="69" t="s">
        <v>396</v>
      </c>
      <c r="D39" s="70" t="s">
        <v>15</v>
      </c>
      <c r="E39" s="71">
        <v>101.0</v>
      </c>
      <c r="F39" s="69">
        <v>20.0</v>
      </c>
      <c r="G39" s="69">
        <v>22.0</v>
      </c>
      <c r="H39" s="69">
        <v>22.0</v>
      </c>
      <c r="I39" s="69">
        <v>-2.0</v>
      </c>
      <c r="J39" s="72">
        <v>123.0</v>
      </c>
      <c r="K39" s="69">
        <v>36.0</v>
      </c>
      <c r="L39" s="69">
        <v>36.0</v>
      </c>
      <c r="M39" s="69">
        <v>34.0</v>
      </c>
      <c r="N39" s="69">
        <v>2.0</v>
      </c>
      <c r="O39" s="72">
        <v>17.0</v>
      </c>
      <c r="P39" s="69">
        <v>26.0</v>
      </c>
      <c r="Q39" s="69">
        <v>13.0</v>
      </c>
      <c r="R39" s="69">
        <v>7.0</v>
      </c>
      <c r="S39" s="70">
        <v>17.0</v>
      </c>
      <c r="T39" s="69">
        <f t="shared" si="1"/>
        <v>241</v>
      </c>
      <c r="U39" s="69">
        <v>80.0</v>
      </c>
      <c r="V39" s="73">
        <f t="shared" si="2"/>
        <v>3.0125</v>
      </c>
      <c r="W39" s="74">
        <v>88.0</v>
      </c>
      <c r="X39" s="69">
        <v>20.0</v>
      </c>
      <c r="Y39" s="69">
        <v>20.0</v>
      </c>
      <c r="Z39" s="69">
        <v>19.0</v>
      </c>
      <c r="AA39" s="69">
        <v>1.0</v>
      </c>
      <c r="AB39" s="84">
        <v>140.0</v>
      </c>
      <c r="AC39" s="69">
        <v>33.0</v>
      </c>
      <c r="AD39" s="69">
        <v>33.0</v>
      </c>
      <c r="AE39" s="69">
        <v>31.0</v>
      </c>
      <c r="AF39" s="69">
        <v>2.0</v>
      </c>
      <c r="AG39" s="69">
        <v>30.0</v>
      </c>
      <c r="AH39" s="69">
        <v>14.0</v>
      </c>
      <c r="AI39" s="69">
        <v>9.0</v>
      </c>
      <c r="AJ39" s="69">
        <v>21.0</v>
      </c>
      <c r="AK39" s="69">
        <f t="shared" si="3"/>
        <v>228</v>
      </c>
      <c r="AL39" s="76">
        <v>80.0</v>
      </c>
      <c r="AM39" s="77">
        <f t="shared" si="4"/>
        <v>2.85</v>
      </c>
      <c r="AN39" s="73">
        <f t="shared" si="5"/>
        <v>-5.394190871</v>
      </c>
      <c r="AO39" s="69">
        <v>24.0</v>
      </c>
      <c r="AP39" s="69">
        <v>24.0</v>
      </c>
      <c r="AQ39" s="69">
        <v>23.0</v>
      </c>
      <c r="AR39" s="69">
        <v>1.0</v>
      </c>
      <c r="AS39" s="69">
        <v>29.0</v>
      </c>
      <c r="AT39" s="69">
        <v>29.0</v>
      </c>
      <c r="AU39" s="69">
        <v>26.0</v>
      </c>
      <c r="AV39" s="69">
        <v>3.0</v>
      </c>
      <c r="AW39" s="69">
        <v>31.0</v>
      </c>
      <c r="AX39" s="69">
        <v>20.0</v>
      </c>
      <c r="AY39" s="69">
        <v>16.0</v>
      </c>
      <c r="AZ39" s="69">
        <v>13.0</v>
      </c>
      <c r="BA39" s="69">
        <v>13.0</v>
      </c>
      <c r="BB39" s="69">
        <v>3.0</v>
      </c>
      <c r="BC39" s="69">
        <v>3.0</v>
      </c>
      <c r="BD39" s="69">
        <v>10.0</v>
      </c>
      <c r="BE39" s="69">
        <v>0.0</v>
      </c>
      <c r="BF39" s="69">
        <v>0.0</v>
      </c>
      <c r="BG39" s="69"/>
      <c r="BH39" s="70"/>
      <c r="BI39" s="78">
        <v>410.0</v>
      </c>
      <c r="BJ39" s="69">
        <v>80.0</v>
      </c>
      <c r="BK39" s="79">
        <f t="shared" si="6"/>
        <v>5.125</v>
      </c>
      <c r="BL39" s="80">
        <f t="shared" si="7"/>
        <v>79.8245614</v>
      </c>
      <c r="BM39" s="69">
        <v>24.0</v>
      </c>
      <c r="BN39" s="69">
        <v>24.0</v>
      </c>
      <c r="BO39" s="69">
        <v>24.0</v>
      </c>
      <c r="BP39" s="69">
        <v>0.0</v>
      </c>
      <c r="BQ39" s="69">
        <v>28.0</v>
      </c>
      <c r="BR39" s="69">
        <v>28.0</v>
      </c>
      <c r="BS39" s="69">
        <v>28.0</v>
      </c>
      <c r="BT39" s="69">
        <v>0.0</v>
      </c>
      <c r="BU39" s="69">
        <v>28.0</v>
      </c>
      <c r="BV39" s="69">
        <v>27.0</v>
      </c>
      <c r="BW39" s="69">
        <v>21.0</v>
      </c>
      <c r="BX39" s="69">
        <v>6.0</v>
      </c>
      <c r="BY39" s="69">
        <v>6.0</v>
      </c>
      <c r="BZ39" s="69">
        <v>1.0</v>
      </c>
      <c r="CA39" s="69">
        <v>1.0</v>
      </c>
      <c r="CB39" s="69">
        <v>5.0</v>
      </c>
      <c r="CC39" s="69">
        <v>6.0</v>
      </c>
      <c r="CD39" s="69">
        <v>1.0</v>
      </c>
      <c r="CE39" s="69">
        <v>0.0</v>
      </c>
      <c r="CF39" s="69">
        <v>6.0</v>
      </c>
      <c r="CG39" s="69"/>
      <c r="CH39" s="69"/>
      <c r="CI39" s="70">
        <v>0.0</v>
      </c>
      <c r="CJ39" s="78">
        <v>524.0</v>
      </c>
      <c r="CK39" s="69">
        <v>80.0</v>
      </c>
      <c r="CL39" s="79">
        <f t="shared" si="8"/>
        <v>6.55</v>
      </c>
      <c r="CM39" s="81">
        <f t="shared" si="9"/>
        <v>27.80487805</v>
      </c>
      <c r="CN39" s="69">
        <v>24.0</v>
      </c>
      <c r="CO39" s="69">
        <v>24.0</v>
      </c>
      <c r="CP39" s="69">
        <v>24.0</v>
      </c>
      <c r="CQ39" s="69">
        <v>0.0</v>
      </c>
      <c r="CR39" s="71">
        <v>28.0</v>
      </c>
      <c r="CS39" s="69">
        <v>28.0</v>
      </c>
      <c r="CT39" s="69">
        <v>24.0</v>
      </c>
      <c r="CU39" s="69">
        <v>4.0</v>
      </c>
      <c r="CV39" s="71">
        <v>30.0</v>
      </c>
      <c r="CW39" s="69">
        <v>29.0</v>
      </c>
      <c r="CX39" s="69">
        <v>26.0</v>
      </c>
      <c r="CY39" s="69">
        <v>6.0</v>
      </c>
      <c r="CZ39" s="69"/>
      <c r="DA39" s="69">
        <v>7.0</v>
      </c>
      <c r="DB39" s="69">
        <v>2.0</v>
      </c>
      <c r="DC39" s="69"/>
      <c r="DD39" s="69">
        <v>-70.0</v>
      </c>
      <c r="DE39" s="69">
        <v>2.0</v>
      </c>
      <c r="DF39" s="69">
        <v>2.0</v>
      </c>
      <c r="DG39" s="69"/>
      <c r="DH39" s="69">
        <v>0.0</v>
      </c>
      <c r="DI39" s="69">
        <v>0.0</v>
      </c>
      <c r="DJ39" s="70"/>
      <c r="DK39" s="82">
        <v>470.0</v>
      </c>
      <c r="DL39" s="69">
        <v>80.0</v>
      </c>
      <c r="DM39" s="77">
        <f t="shared" si="10"/>
        <v>5.875</v>
      </c>
      <c r="DN39" s="83">
        <f t="shared" si="11"/>
        <v>-10.30534351</v>
      </c>
    </row>
    <row r="40" ht="15.75" customHeight="1">
      <c r="A40" s="69">
        <v>34.0</v>
      </c>
      <c r="B40" s="69" t="s">
        <v>399</v>
      </c>
      <c r="C40" s="69" t="s">
        <v>400</v>
      </c>
      <c r="D40" s="70" t="s">
        <v>15</v>
      </c>
      <c r="E40" s="71">
        <v>5.0</v>
      </c>
      <c r="F40" s="69">
        <v>13.0</v>
      </c>
      <c r="G40" s="69">
        <v>4.0</v>
      </c>
      <c r="H40" s="69">
        <v>4.0</v>
      </c>
      <c r="I40" s="69">
        <v>9.0</v>
      </c>
      <c r="J40" s="72">
        <v>13.0</v>
      </c>
      <c r="K40" s="69">
        <v>31.0</v>
      </c>
      <c r="L40" s="69">
        <v>8.0</v>
      </c>
      <c r="M40" s="69">
        <v>4.0</v>
      </c>
      <c r="N40" s="69">
        <v>26.0</v>
      </c>
      <c r="O40" s="72">
        <v>3.0</v>
      </c>
      <c r="P40" s="69">
        <v>41.0</v>
      </c>
      <c r="Q40" s="69">
        <v>2.0</v>
      </c>
      <c r="R40" s="69">
        <v>1.0</v>
      </c>
      <c r="S40" s="70">
        <v>41.0</v>
      </c>
      <c r="T40" s="69">
        <f t="shared" si="1"/>
        <v>21</v>
      </c>
      <c r="U40" s="69">
        <v>50.0</v>
      </c>
      <c r="V40" s="73">
        <f t="shared" si="2"/>
        <v>0.42</v>
      </c>
      <c r="W40" s="74">
        <v>11.0</v>
      </c>
      <c r="X40" s="69">
        <v>10.0</v>
      </c>
      <c r="Y40" s="69">
        <v>6.0</v>
      </c>
      <c r="Z40" s="69">
        <v>4.0</v>
      </c>
      <c r="AA40" s="69">
        <v>6.0</v>
      </c>
      <c r="AB40" s="84">
        <v>25.0</v>
      </c>
      <c r="AC40" s="69">
        <v>22.0</v>
      </c>
      <c r="AD40" s="69">
        <v>18.0</v>
      </c>
      <c r="AE40" s="69">
        <v>12.0</v>
      </c>
      <c r="AF40" s="69">
        <v>10.0</v>
      </c>
      <c r="AG40" s="69">
        <v>20.0</v>
      </c>
      <c r="AH40" s="69">
        <v>2.0</v>
      </c>
      <c r="AI40" s="69">
        <v>1.0</v>
      </c>
      <c r="AJ40" s="69">
        <v>19.0</v>
      </c>
      <c r="AK40" s="69">
        <f t="shared" si="3"/>
        <v>36</v>
      </c>
      <c r="AL40" s="76">
        <v>40.0</v>
      </c>
      <c r="AM40" s="77">
        <f t="shared" si="4"/>
        <v>0.9</v>
      </c>
      <c r="AN40" s="73">
        <f t="shared" si="5"/>
        <v>71.42857143</v>
      </c>
      <c r="AO40" s="69">
        <v>12.0</v>
      </c>
      <c r="AP40" s="69">
        <v>8.0</v>
      </c>
      <c r="AQ40" s="69">
        <v>5.0</v>
      </c>
      <c r="AR40" s="69">
        <v>7.0</v>
      </c>
      <c r="AS40" s="69">
        <v>21.0</v>
      </c>
      <c r="AT40" s="69">
        <v>12.0</v>
      </c>
      <c r="AU40" s="69">
        <v>8.0</v>
      </c>
      <c r="AV40" s="69">
        <v>13.0</v>
      </c>
      <c r="AW40" s="69">
        <v>27.0</v>
      </c>
      <c r="AX40" s="69">
        <v>0.0</v>
      </c>
      <c r="AY40" s="69">
        <v>0.0</v>
      </c>
      <c r="AZ40" s="69">
        <v>21.0</v>
      </c>
      <c r="BA40" s="69">
        <v>21.0</v>
      </c>
      <c r="BB40" s="69">
        <v>0.0</v>
      </c>
      <c r="BC40" s="69">
        <v>0.0</v>
      </c>
      <c r="BD40" s="69">
        <v>21.0</v>
      </c>
      <c r="BE40" s="69">
        <v>0.0</v>
      </c>
      <c r="BF40" s="69">
        <v>0.0</v>
      </c>
      <c r="BG40" s="69"/>
      <c r="BH40" s="70"/>
      <c r="BI40" s="78">
        <v>41.0</v>
      </c>
      <c r="BJ40" s="69">
        <v>40.0</v>
      </c>
      <c r="BK40" s="79">
        <f t="shared" si="6"/>
        <v>1.025</v>
      </c>
      <c r="BL40" s="80">
        <f t="shared" si="7"/>
        <v>13.88888889</v>
      </c>
      <c r="BM40" s="69">
        <v>12.0</v>
      </c>
      <c r="BN40" s="69">
        <v>9.0</v>
      </c>
      <c r="BO40" s="69">
        <v>4.0</v>
      </c>
      <c r="BP40" s="69">
        <v>8.0</v>
      </c>
      <c r="BQ40" s="69">
        <v>22.0</v>
      </c>
      <c r="BR40" s="69">
        <v>12.0</v>
      </c>
      <c r="BS40" s="69">
        <v>9.0</v>
      </c>
      <c r="BT40" s="69">
        <v>13.0</v>
      </c>
      <c r="BU40" s="69">
        <v>27.0</v>
      </c>
      <c r="BV40" s="69">
        <v>0.0</v>
      </c>
      <c r="BW40" s="69">
        <v>0.0</v>
      </c>
      <c r="BX40" s="69">
        <v>27.0</v>
      </c>
      <c r="BY40" s="69">
        <v>27.0</v>
      </c>
      <c r="BZ40" s="69"/>
      <c r="CA40" s="69">
        <v>0.0</v>
      </c>
      <c r="CB40" s="69">
        <v>27.0</v>
      </c>
      <c r="CC40" s="69">
        <v>27.0</v>
      </c>
      <c r="CD40" s="69">
        <v>0.0</v>
      </c>
      <c r="CE40" s="69">
        <v>0.0</v>
      </c>
      <c r="CF40" s="69">
        <v>27.0</v>
      </c>
      <c r="CG40" s="69"/>
      <c r="CH40" s="69"/>
      <c r="CI40" s="70">
        <v>0.0</v>
      </c>
      <c r="CJ40" s="78">
        <v>30.0</v>
      </c>
      <c r="CK40" s="69">
        <v>40.0</v>
      </c>
      <c r="CL40" s="79">
        <f t="shared" si="8"/>
        <v>0.75</v>
      </c>
      <c r="CM40" s="81">
        <f t="shared" si="9"/>
        <v>-26.82926829</v>
      </c>
      <c r="CN40" s="69">
        <v>12.0</v>
      </c>
      <c r="CO40" s="69">
        <v>5.0</v>
      </c>
      <c r="CP40" s="69">
        <v>3.0</v>
      </c>
      <c r="CQ40" s="69">
        <v>9.0</v>
      </c>
      <c r="CR40" s="71">
        <v>23.0</v>
      </c>
      <c r="CS40" s="69">
        <v>6.0</v>
      </c>
      <c r="CT40" s="69">
        <v>3.0</v>
      </c>
      <c r="CU40" s="69">
        <v>20.0</v>
      </c>
      <c r="CV40" s="71">
        <v>34.0</v>
      </c>
      <c r="CW40" s="69">
        <v>0.0</v>
      </c>
      <c r="CX40" s="69">
        <v>0.0</v>
      </c>
      <c r="CY40" s="69">
        <v>34.0</v>
      </c>
      <c r="CZ40" s="69"/>
      <c r="DA40" s="69">
        <v>0.0</v>
      </c>
      <c r="DB40" s="69">
        <v>0.0</v>
      </c>
      <c r="DC40" s="69"/>
      <c r="DD40" s="69">
        <v>23.0</v>
      </c>
      <c r="DE40" s="69">
        <v>0.0</v>
      </c>
      <c r="DF40" s="69">
        <v>0.0</v>
      </c>
      <c r="DG40" s="69"/>
      <c r="DH40" s="69">
        <v>0.0</v>
      </c>
      <c r="DI40" s="69">
        <v>0.0</v>
      </c>
      <c r="DJ40" s="70"/>
      <c r="DK40" s="82">
        <v>21.0</v>
      </c>
      <c r="DL40" s="69">
        <v>40.0</v>
      </c>
      <c r="DM40" s="77">
        <f t="shared" si="10"/>
        <v>0.525</v>
      </c>
      <c r="DN40" s="83">
        <f t="shared" si="11"/>
        <v>-30</v>
      </c>
    </row>
    <row r="41" ht="15.75" customHeight="1">
      <c r="A41" s="69">
        <v>35.0</v>
      </c>
      <c r="B41" s="69" t="s">
        <v>407</v>
      </c>
      <c r="C41" s="69" t="s">
        <v>408</v>
      </c>
      <c r="D41" s="70" t="s">
        <v>15</v>
      </c>
      <c r="E41" s="71">
        <v>1.0</v>
      </c>
      <c r="F41" s="69">
        <v>10.0</v>
      </c>
      <c r="G41" s="69">
        <v>1.0</v>
      </c>
      <c r="H41" s="69">
        <v>1.0</v>
      </c>
      <c r="I41" s="69">
        <v>9.0</v>
      </c>
      <c r="J41" s="72">
        <v>10.0</v>
      </c>
      <c r="K41" s="69">
        <v>27.0</v>
      </c>
      <c r="L41" s="69">
        <v>4.0</v>
      </c>
      <c r="M41" s="69">
        <v>0.0</v>
      </c>
      <c r="N41" s="69">
        <v>27.0</v>
      </c>
      <c r="O41" s="72">
        <v>2.0</v>
      </c>
      <c r="P41" s="69">
        <v>39.0</v>
      </c>
      <c r="Q41" s="69">
        <v>1.0</v>
      </c>
      <c r="R41" s="69">
        <v>1.0</v>
      </c>
      <c r="S41" s="70">
        <v>38.0</v>
      </c>
      <c r="T41" s="69">
        <f t="shared" si="1"/>
        <v>13</v>
      </c>
      <c r="U41" s="69">
        <v>40.0</v>
      </c>
      <c r="V41" s="73">
        <f t="shared" si="2"/>
        <v>0.325</v>
      </c>
      <c r="W41" s="74">
        <v>16.0</v>
      </c>
      <c r="X41" s="69">
        <v>13.0</v>
      </c>
      <c r="Y41" s="69">
        <v>10.0</v>
      </c>
      <c r="Z41" s="69">
        <v>9.0</v>
      </c>
      <c r="AA41" s="69">
        <v>4.0</v>
      </c>
      <c r="AB41" s="84">
        <v>7.0</v>
      </c>
      <c r="AC41" s="69">
        <v>24.0</v>
      </c>
      <c r="AD41" s="69">
        <v>5.0</v>
      </c>
      <c r="AE41" s="69">
        <v>4.0</v>
      </c>
      <c r="AF41" s="69">
        <v>20.0</v>
      </c>
      <c r="AG41" s="69">
        <v>25.0</v>
      </c>
      <c r="AH41" s="69">
        <v>0.0</v>
      </c>
      <c r="AI41" s="69">
        <v>0.0</v>
      </c>
      <c r="AJ41" s="69">
        <v>25.0</v>
      </c>
      <c r="AK41" s="69">
        <f t="shared" si="3"/>
        <v>23</v>
      </c>
      <c r="AL41" s="76">
        <v>50.0</v>
      </c>
      <c r="AM41" s="77">
        <f t="shared" si="4"/>
        <v>0.46</v>
      </c>
      <c r="AN41" s="73">
        <f t="shared" si="5"/>
        <v>76.92307692</v>
      </c>
      <c r="AO41" s="69">
        <v>12.0</v>
      </c>
      <c r="AP41" s="69">
        <v>7.0</v>
      </c>
      <c r="AQ41" s="69">
        <v>2.0</v>
      </c>
      <c r="AR41" s="69">
        <v>10.0</v>
      </c>
      <c r="AS41" s="69">
        <v>24.0</v>
      </c>
      <c r="AT41" s="69">
        <v>11.0</v>
      </c>
      <c r="AU41" s="69">
        <v>8.0</v>
      </c>
      <c r="AV41" s="69">
        <v>16.0</v>
      </c>
      <c r="AW41" s="69">
        <v>30.0</v>
      </c>
      <c r="AX41" s="69">
        <v>1.0</v>
      </c>
      <c r="AY41" s="69">
        <v>0.0</v>
      </c>
      <c r="AZ41" s="69">
        <v>24.0</v>
      </c>
      <c r="BA41" s="69">
        <v>24.0</v>
      </c>
      <c r="BB41" s="69">
        <v>0.0</v>
      </c>
      <c r="BC41" s="69">
        <v>0.0</v>
      </c>
      <c r="BD41" s="69">
        <v>24.0</v>
      </c>
      <c r="BE41" s="69">
        <v>0.0</v>
      </c>
      <c r="BF41" s="69">
        <v>0.0</v>
      </c>
      <c r="BG41" s="69"/>
      <c r="BH41" s="70"/>
      <c r="BI41" s="78">
        <v>34.0</v>
      </c>
      <c r="BJ41" s="69">
        <v>40.0</v>
      </c>
      <c r="BK41" s="79">
        <f t="shared" si="6"/>
        <v>0.85</v>
      </c>
      <c r="BL41" s="80">
        <f t="shared" si="7"/>
        <v>47.82608696</v>
      </c>
      <c r="BM41" s="69">
        <v>12.0</v>
      </c>
      <c r="BN41" s="69">
        <v>6.0</v>
      </c>
      <c r="BO41" s="69">
        <v>5.0</v>
      </c>
      <c r="BP41" s="69">
        <v>7.0</v>
      </c>
      <c r="BQ41" s="69">
        <v>21.0</v>
      </c>
      <c r="BR41" s="69">
        <v>7.0</v>
      </c>
      <c r="BS41" s="69">
        <v>6.0</v>
      </c>
      <c r="BT41" s="69">
        <v>15.0</v>
      </c>
      <c r="BU41" s="69">
        <v>29.0</v>
      </c>
      <c r="BV41" s="69">
        <v>0.0</v>
      </c>
      <c r="BW41" s="69">
        <v>0.0</v>
      </c>
      <c r="BX41" s="69">
        <v>29.0</v>
      </c>
      <c r="BY41" s="69">
        <v>29.0</v>
      </c>
      <c r="BZ41" s="69"/>
      <c r="CA41" s="69">
        <v>0.0</v>
      </c>
      <c r="CB41" s="69">
        <v>29.0</v>
      </c>
      <c r="CC41" s="69">
        <v>29.0</v>
      </c>
      <c r="CD41" s="69">
        <v>0.0</v>
      </c>
      <c r="CE41" s="69">
        <v>0.0</v>
      </c>
      <c r="CF41" s="69">
        <v>29.0</v>
      </c>
      <c r="CG41" s="69"/>
      <c r="CH41" s="69"/>
      <c r="CI41" s="70">
        <v>0.0</v>
      </c>
      <c r="CJ41" s="78">
        <v>21.0</v>
      </c>
      <c r="CK41" s="69">
        <v>40.0</v>
      </c>
      <c r="CL41" s="79">
        <f t="shared" si="8"/>
        <v>0.525</v>
      </c>
      <c r="CM41" s="81">
        <f t="shared" si="9"/>
        <v>-38.23529412</v>
      </c>
      <c r="CN41" s="69">
        <v>12.0</v>
      </c>
      <c r="CO41" s="69">
        <v>9.0</v>
      </c>
      <c r="CP41" s="69">
        <v>9.0</v>
      </c>
      <c r="CQ41" s="69">
        <v>3.0</v>
      </c>
      <c r="CR41" s="71">
        <v>17.0</v>
      </c>
      <c r="CS41" s="69">
        <v>8.0</v>
      </c>
      <c r="CT41" s="69">
        <v>4.0</v>
      </c>
      <c r="CU41" s="69">
        <v>13.0</v>
      </c>
      <c r="CV41" s="71">
        <v>27.0</v>
      </c>
      <c r="CW41" s="69">
        <v>0.0</v>
      </c>
      <c r="CX41" s="69">
        <v>0.0</v>
      </c>
      <c r="CY41" s="69">
        <v>27.0</v>
      </c>
      <c r="CZ41" s="69"/>
      <c r="DA41" s="69">
        <v>0.0</v>
      </c>
      <c r="DB41" s="69">
        <v>0.0</v>
      </c>
      <c r="DC41" s="69"/>
      <c r="DD41" s="69">
        <v>3.0</v>
      </c>
      <c r="DE41" s="69">
        <v>0.0</v>
      </c>
      <c r="DF41" s="69">
        <v>0.0</v>
      </c>
      <c r="DG41" s="69"/>
      <c r="DH41" s="69">
        <v>0.0</v>
      </c>
      <c r="DI41" s="69">
        <v>0.0</v>
      </c>
      <c r="DJ41" s="70"/>
      <c r="DK41" s="82">
        <v>24.0</v>
      </c>
      <c r="DL41" s="69">
        <v>40.0</v>
      </c>
      <c r="DM41" s="77">
        <f t="shared" si="10"/>
        <v>0.6</v>
      </c>
      <c r="DN41" s="83">
        <f t="shared" si="11"/>
        <v>14.28571429</v>
      </c>
    </row>
    <row r="42" ht="15.75" customHeight="1">
      <c r="A42" s="69">
        <v>36.0</v>
      </c>
      <c r="B42" s="69" t="s">
        <v>409</v>
      </c>
      <c r="C42" s="69" t="s">
        <v>410</v>
      </c>
      <c r="D42" s="70" t="s">
        <v>15</v>
      </c>
      <c r="E42" s="71">
        <v>13.0</v>
      </c>
      <c r="F42" s="69">
        <v>13.0</v>
      </c>
      <c r="G42" s="69">
        <v>9.0</v>
      </c>
      <c r="H42" s="69">
        <v>6.0</v>
      </c>
      <c r="I42" s="69">
        <v>7.0</v>
      </c>
      <c r="J42" s="72">
        <v>23.0</v>
      </c>
      <c r="K42" s="69">
        <v>29.0</v>
      </c>
      <c r="L42" s="69">
        <v>17.0</v>
      </c>
      <c r="M42" s="69">
        <v>9.0</v>
      </c>
      <c r="N42" s="69">
        <v>19.0</v>
      </c>
      <c r="O42" s="72">
        <v>1.0</v>
      </c>
      <c r="P42" s="69">
        <v>34.0</v>
      </c>
      <c r="Q42" s="69">
        <v>1.0</v>
      </c>
      <c r="R42" s="69">
        <v>0.0</v>
      </c>
      <c r="S42" s="70">
        <v>35.0</v>
      </c>
      <c r="T42" s="69">
        <f t="shared" si="1"/>
        <v>37</v>
      </c>
      <c r="U42" s="69">
        <v>50.0</v>
      </c>
      <c r="V42" s="73">
        <f t="shared" si="2"/>
        <v>0.74</v>
      </c>
      <c r="W42" s="74">
        <v>27.0</v>
      </c>
      <c r="X42" s="69">
        <v>13.0</v>
      </c>
      <c r="Y42" s="69">
        <v>20.0</v>
      </c>
      <c r="Z42" s="69">
        <v>7.0</v>
      </c>
      <c r="AA42" s="69">
        <v>6.0</v>
      </c>
      <c r="AB42" s="84">
        <v>28.0</v>
      </c>
      <c r="AC42" s="69">
        <v>26.0</v>
      </c>
      <c r="AD42" s="69">
        <v>19.0</v>
      </c>
      <c r="AE42" s="69">
        <v>11.0</v>
      </c>
      <c r="AF42" s="69">
        <v>15.0</v>
      </c>
      <c r="AG42" s="69">
        <v>25.0</v>
      </c>
      <c r="AH42" s="69">
        <v>0.0</v>
      </c>
      <c r="AI42" s="69">
        <v>0.0</v>
      </c>
      <c r="AJ42" s="69">
        <v>25.0</v>
      </c>
      <c r="AK42" s="69">
        <f t="shared" si="3"/>
        <v>55</v>
      </c>
      <c r="AL42" s="76">
        <v>50.0</v>
      </c>
      <c r="AM42" s="77">
        <f t="shared" si="4"/>
        <v>1.1</v>
      </c>
      <c r="AN42" s="73">
        <f t="shared" si="5"/>
        <v>48.64864865</v>
      </c>
      <c r="AO42" s="69">
        <v>18.0</v>
      </c>
      <c r="AP42" s="69">
        <v>10.0</v>
      </c>
      <c r="AQ42" s="69">
        <v>4.0</v>
      </c>
      <c r="AR42" s="69">
        <v>14.0</v>
      </c>
      <c r="AS42" s="69">
        <v>35.0</v>
      </c>
      <c r="AT42" s="69">
        <v>6.0</v>
      </c>
      <c r="AU42" s="69">
        <v>5.0</v>
      </c>
      <c r="AV42" s="69">
        <v>30.0</v>
      </c>
      <c r="AW42" s="69">
        <v>51.0</v>
      </c>
      <c r="AX42" s="69">
        <v>1.0</v>
      </c>
      <c r="AY42" s="69">
        <v>0.0</v>
      </c>
      <c r="AZ42" s="69">
        <v>35.0</v>
      </c>
      <c r="BA42" s="69">
        <v>35.0</v>
      </c>
      <c r="BB42" s="69">
        <v>0.0</v>
      </c>
      <c r="BC42" s="69">
        <v>0.0</v>
      </c>
      <c r="BD42" s="69">
        <v>35.0</v>
      </c>
      <c r="BE42" s="69">
        <v>0.0</v>
      </c>
      <c r="BF42" s="69">
        <v>0.0</v>
      </c>
      <c r="BG42" s="69"/>
      <c r="BH42" s="70"/>
      <c r="BI42" s="78">
        <v>32.0</v>
      </c>
      <c r="BJ42" s="69">
        <v>60.0</v>
      </c>
      <c r="BK42" s="79">
        <f t="shared" si="6"/>
        <v>0.5333333333</v>
      </c>
      <c r="BL42" s="80">
        <f t="shared" si="7"/>
        <v>-41.81818182</v>
      </c>
      <c r="BM42" s="69">
        <v>18.0</v>
      </c>
      <c r="BN42" s="69">
        <v>8.0</v>
      </c>
      <c r="BO42" s="69">
        <v>3.0</v>
      </c>
      <c r="BP42" s="69">
        <v>15.0</v>
      </c>
      <c r="BQ42" s="69">
        <v>36.0</v>
      </c>
      <c r="BR42" s="69">
        <v>11.0</v>
      </c>
      <c r="BS42" s="69">
        <v>5.0</v>
      </c>
      <c r="BT42" s="69">
        <v>31.0</v>
      </c>
      <c r="BU42" s="69">
        <v>52.0</v>
      </c>
      <c r="BV42" s="69">
        <v>1.0</v>
      </c>
      <c r="BW42" s="69">
        <v>0.0</v>
      </c>
      <c r="BX42" s="69">
        <v>52.0</v>
      </c>
      <c r="BY42" s="69">
        <v>52.0</v>
      </c>
      <c r="BZ42" s="69"/>
      <c r="CA42" s="69">
        <v>0.0</v>
      </c>
      <c r="CB42" s="69">
        <v>52.0</v>
      </c>
      <c r="CC42" s="69">
        <v>52.0</v>
      </c>
      <c r="CD42" s="69">
        <v>0.0</v>
      </c>
      <c r="CE42" s="69">
        <v>0.0</v>
      </c>
      <c r="CF42" s="69">
        <v>52.0</v>
      </c>
      <c r="CG42" s="69"/>
      <c r="CH42" s="69"/>
      <c r="CI42" s="70">
        <v>0.0</v>
      </c>
      <c r="CJ42" s="78">
        <v>39.0</v>
      </c>
      <c r="CK42" s="69">
        <v>60.0</v>
      </c>
      <c r="CL42" s="79">
        <f t="shared" si="8"/>
        <v>0.65</v>
      </c>
      <c r="CM42" s="81">
        <f t="shared" si="9"/>
        <v>21.875</v>
      </c>
      <c r="CN42" s="69">
        <v>18.0</v>
      </c>
      <c r="CO42" s="69">
        <v>6.0</v>
      </c>
      <c r="CP42" s="69">
        <v>3.0</v>
      </c>
      <c r="CQ42" s="69">
        <v>15.0</v>
      </c>
      <c r="CR42" s="71">
        <v>36.0</v>
      </c>
      <c r="CS42" s="69">
        <v>11.0</v>
      </c>
      <c r="CT42" s="69">
        <v>6.0</v>
      </c>
      <c r="CU42" s="69">
        <v>30.0</v>
      </c>
      <c r="CV42" s="71">
        <v>51.0</v>
      </c>
      <c r="CW42" s="69">
        <v>1.0</v>
      </c>
      <c r="CX42" s="69">
        <v>0.0</v>
      </c>
      <c r="CY42" s="69">
        <v>51.0</v>
      </c>
      <c r="CZ42" s="69"/>
      <c r="DA42" s="69">
        <v>0.0</v>
      </c>
      <c r="DB42" s="69">
        <v>0.0</v>
      </c>
      <c r="DC42" s="69"/>
      <c r="DD42" s="69">
        <v>36.0</v>
      </c>
      <c r="DE42" s="69">
        <v>0.0</v>
      </c>
      <c r="DF42" s="69">
        <v>0.0</v>
      </c>
      <c r="DG42" s="69"/>
      <c r="DH42" s="69">
        <v>0.0</v>
      </c>
      <c r="DI42" s="69">
        <v>0.0</v>
      </c>
      <c r="DJ42" s="70"/>
      <c r="DK42" s="82">
        <v>28.0</v>
      </c>
      <c r="DL42" s="69">
        <v>60.0</v>
      </c>
      <c r="DM42" s="77">
        <f t="shared" si="10"/>
        <v>0.4666666667</v>
      </c>
      <c r="DN42" s="83">
        <f t="shared" si="11"/>
        <v>-28.20512821</v>
      </c>
    </row>
    <row r="43" ht="15.75" customHeight="1">
      <c r="A43" s="69">
        <v>37.0</v>
      </c>
      <c r="B43" s="69" t="s">
        <v>412</v>
      </c>
      <c r="C43" s="69" t="s">
        <v>413</v>
      </c>
      <c r="D43" s="70" t="s">
        <v>15</v>
      </c>
      <c r="E43" s="71">
        <v>53.0</v>
      </c>
      <c r="F43" s="69">
        <v>20.0</v>
      </c>
      <c r="G43" s="69">
        <v>22.0</v>
      </c>
      <c r="H43" s="69">
        <v>19.0</v>
      </c>
      <c r="I43" s="69">
        <v>1.0</v>
      </c>
      <c r="J43" s="72">
        <v>54.0</v>
      </c>
      <c r="K43" s="69">
        <v>36.0</v>
      </c>
      <c r="L43" s="69">
        <v>36.0</v>
      </c>
      <c r="M43" s="69">
        <v>33.0</v>
      </c>
      <c r="N43" s="69">
        <v>2.0</v>
      </c>
      <c r="O43" s="72">
        <v>2.0</v>
      </c>
      <c r="P43" s="69">
        <v>26.0</v>
      </c>
      <c r="Q43" s="69">
        <v>2.0</v>
      </c>
      <c r="R43" s="69">
        <v>2.0</v>
      </c>
      <c r="S43" s="70">
        <v>26.0</v>
      </c>
      <c r="T43" s="69">
        <f t="shared" si="1"/>
        <v>109</v>
      </c>
      <c r="U43" s="69">
        <v>80.0</v>
      </c>
      <c r="V43" s="73">
        <f t="shared" si="2"/>
        <v>1.3625</v>
      </c>
      <c r="W43" s="74">
        <v>41.0</v>
      </c>
      <c r="X43" s="69">
        <v>15.0</v>
      </c>
      <c r="Y43" s="69">
        <v>15.0</v>
      </c>
      <c r="Z43" s="69">
        <v>8.0</v>
      </c>
      <c r="AA43" s="69">
        <v>7.0</v>
      </c>
      <c r="AB43" s="84">
        <v>61.0</v>
      </c>
      <c r="AC43" s="69">
        <v>31.0</v>
      </c>
      <c r="AD43" s="69">
        <v>31.0</v>
      </c>
      <c r="AE43" s="69">
        <v>28.0</v>
      </c>
      <c r="AF43" s="69">
        <v>3.0</v>
      </c>
      <c r="AG43" s="69">
        <v>22.0</v>
      </c>
      <c r="AH43" s="69">
        <v>2.0</v>
      </c>
      <c r="AI43" s="69">
        <v>1.0</v>
      </c>
      <c r="AJ43" s="69">
        <v>21.0</v>
      </c>
      <c r="AK43" s="69">
        <f t="shared" si="3"/>
        <v>102</v>
      </c>
      <c r="AL43" s="76">
        <v>60.0</v>
      </c>
      <c r="AM43" s="77">
        <f t="shared" si="4"/>
        <v>1.7</v>
      </c>
      <c r="AN43" s="73">
        <f t="shared" si="5"/>
        <v>-6.422018349</v>
      </c>
      <c r="AO43" s="69">
        <v>24.0</v>
      </c>
      <c r="AP43" s="69">
        <v>24.0</v>
      </c>
      <c r="AQ43" s="69">
        <v>21.0</v>
      </c>
      <c r="AR43" s="69">
        <v>3.0</v>
      </c>
      <c r="AS43" s="69">
        <v>31.0</v>
      </c>
      <c r="AT43" s="69">
        <v>26.0</v>
      </c>
      <c r="AU43" s="69">
        <v>17.0</v>
      </c>
      <c r="AV43" s="69">
        <v>14.0</v>
      </c>
      <c r="AW43" s="69">
        <v>42.0</v>
      </c>
      <c r="AX43" s="69">
        <v>2.0</v>
      </c>
      <c r="AY43" s="69">
        <v>2.0</v>
      </c>
      <c r="AZ43" s="69">
        <v>29.0</v>
      </c>
      <c r="BA43" s="69">
        <v>29.0</v>
      </c>
      <c r="BB43" s="69">
        <v>0.0</v>
      </c>
      <c r="BC43" s="69">
        <v>0.0</v>
      </c>
      <c r="BD43" s="69">
        <v>29.0</v>
      </c>
      <c r="BE43" s="69">
        <v>0.0</v>
      </c>
      <c r="BF43" s="69">
        <v>0.0</v>
      </c>
      <c r="BG43" s="69"/>
      <c r="BH43" s="70"/>
      <c r="BI43" s="78">
        <v>89.0</v>
      </c>
      <c r="BJ43" s="69">
        <v>80.0</v>
      </c>
      <c r="BK43" s="79">
        <f t="shared" si="6"/>
        <v>1.1125</v>
      </c>
      <c r="BL43" s="80">
        <f t="shared" si="7"/>
        <v>-12.74509804</v>
      </c>
      <c r="BM43" s="69">
        <v>24.0</v>
      </c>
      <c r="BN43" s="69">
        <v>24.0</v>
      </c>
      <c r="BO43" s="69">
        <v>19.0</v>
      </c>
      <c r="BP43" s="69">
        <v>5.0</v>
      </c>
      <c r="BQ43" s="69">
        <v>33.0</v>
      </c>
      <c r="BR43" s="69">
        <v>33.0</v>
      </c>
      <c r="BS43" s="69">
        <v>29.0</v>
      </c>
      <c r="BT43" s="69">
        <v>4.0</v>
      </c>
      <c r="BU43" s="69">
        <v>32.0</v>
      </c>
      <c r="BV43" s="69">
        <v>1.0</v>
      </c>
      <c r="BW43" s="69">
        <v>0.0</v>
      </c>
      <c r="BX43" s="69">
        <v>32.0</v>
      </c>
      <c r="BY43" s="69">
        <v>32.0</v>
      </c>
      <c r="BZ43" s="69"/>
      <c r="CA43" s="69">
        <v>0.0</v>
      </c>
      <c r="CB43" s="69">
        <v>32.0</v>
      </c>
      <c r="CC43" s="69">
        <v>32.0</v>
      </c>
      <c r="CD43" s="69">
        <v>0.0</v>
      </c>
      <c r="CE43" s="69">
        <v>0.0</v>
      </c>
      <c r="CF43" s="69">
        <v>32.0</v>
      </c>
      <c r="CG43" s="69"/>
      <c r="CH43" s="69"/>
      <c r="CI43" s="70">
        <v>0.0</v>
      </c>
      <c r="CJ43" s="78">
        <v>123.0</v>
      </c>
      <c r="CK43" s="69">
        <v>80.0</v>
      </c>
      <c r="CL43" s="79">
        <f t="shared" si="8"/>
        <v>1.5375</v>
      </c>
      <c r="CM43" s="81">
        <f t="shared" si="9"/>
        <v>38.20224719</v>
      </c>
      <c r="CN43" s="69">
        <v>24.0</v>
      </c>
      <c r="CO43" s="69">
        <v>22.0</v>
      </c>
      <c r="CP43" s="69">
        <v>22.0</v>
      </c>
      <c r="CQ43" s="69">
        <v>2.0</v>
      </c>
      <c r="CR43" s="71">
        <v>30.0</v>
      </c>
      <c r="CS43" s="69">
        <v>30.0</v>
      </c>
      <c r="CT43" s="69">
        <v>27.0</v>
      </c>
      <c r="CU43" s="69">
        <v>3.0</v>
      </c>
      <c r="CV43" s="71">
        <v>31.0</v>
      </c>
      <c r="CW43" s="69">
        <v>1.0</v>
      </c>
      <c r="CX43" s="69">
        <v>0.0</v>
      </c>
      <c r="CY43" s="69">
        <v>31.0</v>
      </c>
      <c r="CZ43" s="69"/>
      <c r="DA43" s="69">
        <v>0.0</v>
      </c>
      <c r="DB43" s="69">
        <v>0.0</v>
      </c>
      <c r="DC43" s="69"/>
      <c r="DD43" s="69">
        <v>-44.0</v>
      </c>
      <c r="DE43" s="69">
        <v>0.0</v>
      </c>
      <c r="DF43" s="69">
        <v>0.0</v>
      </c>
      <c r="DG43" s="69"/>
      <c r="DH43" s="69">
        <v>0.0</v>
      </c>
      <c r="DI43" s="69">
        <v>0.0</v>
      </c>
      <c r="DJ43" s="70"/>
      <c r="DK43" s="82">
        <v>105.0</v>
      </c>
      <c r="DL43" s="69">
        <v>80.0</v>
      </c>
      <c r="DM43" s="77">
        <f t="shared" si="10"/>
        <v>1.3125</v>
      </c>
      <c r="DN43" s="83">
        <f t="shared" si="11"/>
        <v>-14.63414634</v>
      </c>
    </row>
    <row r="44" ht="15.75" customHeight="1">
      <c r="A44" s="69">
        <v>38.0</v>
      </c>
      <c r="B44" s="69" t="s">
        <v>416</v>
      </c>
      <c r="C44" s="69" t="s">
        <v>417</v>
      </c>
      <c r="D44" s="70" t="s">
        <v>15</v>
      </c>
      <c r="E44" s="71">
        <v>250.0</v>
      </c>
      <c r="F44" s="69">
        <v>15.0</v>
      </c>
      <c r="G44" s="69">
        <v>15.0</v>
      </c>
      <c r="H44" s="69">
        <v>15.0</v>
      </c>
      <c r="I44" s="69">
        <v>0.0</v>
      </c>
      <c r="J44" s="72">
        <v>339.0</v>
      </c>
      <c r="K44" s="69">
        <v>27.0</v>
      </c>
      <c r="L44" s="69">
        <v>27.0</v>
      </c>
      <c r="M44" s="69">
        <v>24.0</v>
      </c>
      <c r="N44" s="69">
        <v>2.0</v>
      </c>
      <c r="O44" s="72">
        <v>48.0</v>
      </c>
      <c r="P44" s="69">
        <v>20.0</v>
      </c>
      <c r="Q44" s="69">
        <v>19.0</v>
      </c>
      <c r="R44" s="69">
        <v>15.0</v>
      </c>
      <c r="S44" s="70">
        <v>6.0</v>
      </c>
      <c r="T44" s="69">
        <f t="shared" si="1"/>
        <v>637</v>
      </c>
      <c r="U44" s="69">
        <v>60.0</v>
      </c>
      <c r="V44" s="73">
        <f t="shared" si="2"/>
        <v>10.61666667</v>
      </c>
      <c r="W44" s="74">
        <v>230.0</v>
      </c>
      <c r="X44" s="69">
        <v>23.0</v>
      </c>
      <c r="Y44" s="69">
        <v>23.0</v>
      </c>
      <c r="Z44" s="69">
        <v>22.0</v>
      </c>
      <c r="AA44" s="69">
        <v>1.0</v>
      </c>
      <c r="AB44" s="84">
        <v>340.0</v>
      </c>
      <c r="AC44" s="69">
        <v>37.0</v>
      </c>
      <c r="AD44" s="69">
        <v>37.0</v>
      </c>
      <c r="AE44" s="69">
        <v>34.0</v>
      </c>
      <c r="AF44" s="69">
        <v>3.0</v>
      </c>
      <c r="AG44" s="69">
        <v>34.0</v>
      </c>
      <c r="AH44" s="69">
        <v>29.0</v>
      </c>
      <c r="AI44" s="69">
        <v>16.0</v>
      </c>
      <c r="AJ44" s="69">
        <v>18.0</v>
      </c>
      <c r="AK44" s="69">
        <f t="shared" si="3"/>
        <v>570</v>
      </c>
      <c r="AL44" s="76">
        <v>90.0</v>
      </c>
      <c r="AM44" s="77">
        <f t="shared" si="4"/>
        <v>6.333333333</v>
      </c>
      <c r="AN44" s="73">
        <f t="shared" si="5"/>
        <v>-10.51805338</v>
      </c>
      <c r="AO44" s="69">
        <v>36.0</v>
      </c>
      <c r="AP44" s="69">
        <v>36.0</v>
      </c>
      <c r="AQ44" s="69">
        <v>35.0</v>
      </c>
      <c r="AR44" s="69">
        <v>1.0</v>
      </c>
      <c r="AS44" s="69">
        <v>43.0</v>
      </c>
      <c r="AT44" s="69">
        <v>43.0</v>
      </c>
      <c r="AU44" s="69">
        <v>40.0</v>
      </c>
      <c r="AV44" s="69">
        <v>3.0</v>
      </c>
      <c r="AW44" s="69">
        <v>45.0</v>
      </c>
      <c r="AX44" s="69">
        <v>33.0</v>
      </c>
      <c r="AY44" s="69">
        <v>18.0</v>
      </c>
      <c r="AZ44" s="69">
        <v>25.0</v>
      </c>
      <c r="BA44" s="69">
        <v>25.0</v>
      </c>
      <c r="BB44" s="69">
        <v>5.0</v>
      </c>
      <c r="BC44" s="69">
        <v>5.0</v>
      </c>
      <c r="BD44" s="69">
        <v>20.0</v>
      </c>
      <c r="BE44" s="69">
        <v>1.0</v>
      </c>
      <c r="BF44" s="69">
        <v>0.0</v>
      </c>
      <c r="BG44" s="69"/>
      <c r="BH44" s="70"/>
      <c r="BI44" s="78">
        <v>626.0</v>
      </c>
      <c r="BJ44" s="69">
        <v>120.0</v>
      </c>
      <c r="BK44" s="79">
        <f t="shared" si="6"/>
        <v>5.216666667</v>
      </c>
      <c r="BL44" s="80">
        <f t="shared" si="7"/>
        <v>9.824561404</v>
      </c>
      <c r="BM44" s="69">
        <v>36.0</v>
      </c>
      <c r="BN44" s="69">
        <v>36.0</v>
      </c>
      <c r="BO44" s="69">
        <v>35.0</v>
      </c>
      <c r="BP44" s="69">
        <v>1.0</v>
      </c>
      <c r="BQ44" s="69">
        <v>43.0</v>
      </c>
      <c r="BR44" s="69">
        <v>43.0</v>
      </c>
      <c r="BS44" s="69">
        <v>39.0</v>
      </c>
      <c r="BT44" s="69">
        <v>4.0</v>
      </c>
      <c r="BU44" s="69">
        <v>46.0</v>
      </c>
      <c r="BV44" s="69">
        <v>25.0</v>
      </c>
      <c r="BW44" s="69">
        <v>15.0</v>
      </c>
      <c r="BX44" s="69">
        <v>27.0</v>
      </c>
      <c r="BY44" s="69">
        <v>27.0</v>
      </c>
      <c r="BZ44" s="69">
        <v>7.0</v>
      </c>
      <c r="CA44" s="69">
        <v>4.0</v>
      </c>
      <c r="CB44" s="69">
        <v>23.0</v>
      </c>
      <c r="CC44" s="69">
        <v>27.0</v>
      </c>
      <c r="CD44" s="69">
        <v>0.0</v>
      </c>
      <c r="CE44" s="69">
        <v>0.0</v>
      </c>
      <c r="CF44" s="69">
        <v>27.0</v>
      </c>
      <c r="CG44" s="69"/>
      <c r="CH44" s="69"/>
      <c r="CI44" s="70">
        <v>0.0</v>
      </c>
      <c r="CJ44" s="78">
        <v>740.0</v>
      </c>
      <c r="CK44" s="69">
        <v>120.0</v>
      </c>
      <c r="CL44" s="79">
        <f t="shared" si="8"/>
        <v>6.166666667</v>
      </c>
      <c r="CM44" s="81">
        <f t="shared" si="9"/>
        <v>18.21086262</v>
      </c>
      <c r="CN44" s="69">
        <v>36.0</v>
      </c>
      <c r="CO44" s="69">
        <v>36.0</v>
      </c>
      <c r="CP44" s="69">
        <v>35.0</v>
      </c>
      <c r="CQ44" s="69">
        <v>1.0</v>
      </c>
      <c r="CR44" s="71">
        <v>43.0</v>
      </c>
      <c r="CS44" s="69">
        <v>43.0</v>
      </c>
      <c r="CT44" s="69">
        <v>40.0</v>
      </c>
      <c r="CU44" s="69">
        <v>3.0</v>
      </c>
      <c r="CV44" s="71">
        <v>40.0</v>
      </c>
      <c r="CW44" s="69">
        <v>16.0</v>
      </c>
      <c r="CX44" s="69">
        <v>10.0</v>
      </c>
      <c r="CY44" s="69">
        <v>35.0</v>
      </c>
      <c r="CZ44" s="69"/>
      <c r="DA44" s="69">
        <v>15.0</v>
      </c>
      <c r="DB44" s="69">
        <v>5.0</v>
      </c>
      <c r="DC44" s="69"/>
      <c r="DD44" s="69">
        <v>-81.0</v>
      </c>
      <c r="DE44" s="69">
        <v>1.0</v>
      </c>
      <c r="DF44" s="69">
        <v>0.0</v>
      </c>
      <c r="DG44" s="69"/>
      <c r="DH44" s="69">
        <v>0.0</v>
      </c>
      <c r="DI44" s="69">
        <v>0.0</v>
      </c>
      <c r="DJ44" s="70"/>
      <c r="DK44" s="82">
        <v>669.0</v>
      </c>
      <c r="DL44" s="69">
        <v>120.0</v>
      </c>
      <c r="DM44" s="77">
        <f t="shared" si="10"/>
        <v>5.575</v>
      </c>
      <c r="DN44" s="83">
        <f t="shared" si="11"/>
        <v>-9.594594595</v>
      </c>
    </row>
    <row r="45" ht="15.75" customHeight="1">
      <c r="A45" s="69">
        <v>39.0</v>
      </c>
      <c r="B45" s="69" t="s">
        <v>418</v>
      </c>
      <c r="C45" s="69" t="s">
        <v>419</v>
      </c>
      <c r="D45" s="70" t="s">
        <v>15</v>
      </c>
      <c r="E45" s="71">
        <v>148.0</v>
      </c>
      <c r="F45" s="69">
        <v>20.0</v>
      </c>
      <c r="G45" s="69">
        <v>20.0</v>
      </c>
      <c r="H45" s="69">
        <v>17.0</v>
      </c>
      <c r="I45" s="69">
        <v>3.0</v>
      </c>
      <c r="J45" s="72">
        <v>174.0</v>
      </c>
      <c r="K45" s="69">
        <v>37.0</v>
      </c>
      <c r="L45" s="69">
        <v>38.0</v>
      </c>
      <c r="M45" s="69">
        <v>31.0</v>
      </c>
      <c r="N45" s="69">
        <v>3.0</v>
      </c>
      <c r="O45" s="72">
        <v>15.0</v>
      </c>
      <c r="P45" s="69">
        <v>27.0</v>
      </c>
      <c r="Q45" s="69">
        <v>12.0</v>
      </c>
      <c r="R45" s="69">
        <v>3.0</v>
      </c>
      <c r="S45" s="70">
        <v>29.0</v>
      </c>
      <c r="T45" s="69">
        <f t="shared" si="1"/>
        <v>337</v>
      </c>
      <c r="U45" s="69">
        <v>80.0</v>
      </c>
      <c r="V45" s="73">
        <f t="shared" si="2"/>
        <v>4.2125</v>
      </c>
      <c r="W45" s="74">
        <v>127.0</v>
      </c>
      <c r="X45" s="69">
        <v>25.0</v>
      </c>
      <c r="Y45" s="69">
        <v>25.0</v>
      </c>
      <c r="Z45" s="69">
        <v>22.0</v>
      </c>
      <c r="AA45" s="69">
        <v>3.0</v>
      </c>
      <c r="AB45" s="84">
        <v>163.0</v>
      </c>
      <c r="AC45" s="69">
        <v>43.0</v>
      </c>
      <c r="AD45" s="69">
        <v>43.0</v>
      </c>
      <c r="AE45" s="69">
        <v>36.0</v>
      </c>
      <c r="AF45" s="69">
        <v>7.0</v>
      </c>
      <c r="AG45" s="69">
        <v>39.0</v>
      </c>
      <c r="AH45" s="69">
        <v>10.0</v>
      </c>
      <c r="AI45" s="69">
        <v>6.0</v>
      </c>
      <c r="AJ45" s="69">
        <v>33.0</v>
      </c>
      <c r="AK45" s="69">
        <f t="shared" si="3"/>
        <v>290</v>
      </c>
      <c r="AL45" s="76">
        <v>100.0</v>
      </c>
      <c r="AM45" s="77">
        <f t="shared" si="4"/>
        <v>2.9</v>
      </c>
      <c r="AN45" s="73">
        <f t="shared" si="5"/>
        <v>-13.94658754</v>
      </c>
      <c r="AO45" s="69">
        <v>36.0</v>
      </c>
      <c r="AP45" s="69">
        <v>36.0</v>
      </c>
      <c r="AQ45" s="69">
        <v>25.0</v>
      </c>
      <c r="AR45" s="69">
        <v>11.0</v>
      </c>
      <c r="AS45" s="69">
        <v>53.0</v>
      </c>
      <c r="AT45" s="69">
        <v>53.0</v>
      </c>
      <c r="AU45" s="69">
        <v>41.0</v>
      </c>
      <c r="AV45" s="69">
        <v>12.0</v>
      </c>
      <c r="AW45" s="69">
        <v>54.0</v>
      </c>
      <c r="AX45" s="69">
        <v>10.0</v>
      </c>
      <c r="AY45" s="69">
        <v>5.0</v>
      </c>
      <c r="AZ45" s="69">
        <v>48.0</v>
      </c>
      <c r="BA45" s="69">
        <v>48.0</v>
      </c>
      <c r="BB45" s="69">
        <v>1.0</v>
      </c>
      <c r="BC45" s="69">
        <v>1.0</v>
      </c>
      <c r="BD45" s="69">
        <v>47.0</v>
      </c>
      <c r="BE45" s="69">
        <v>0.0</v>
      </c>
      <c r="BF45" s="69">
        <v>0.0</v>
      </c>
      <c r="BG45" s="69"/>
      <c r="BH45" s="70"/>
      <c r="BI45" s="78">
        <v>301.0</v>
      </c>
      <c r="BJ45" s="69">
        <v>120.0</v>
      </c>
      <c r="BK45" s="79">
        <f t="shared" si="6"/>
        <v>2.508333333</v>
      </c>
      <c r="BL45" s="80">
        <f t="shared" si="7"/>
        <v>3.793103448</v>
      </c>
      <c r="BM45" s="69">
        <v>36.0</v>
      </c>
      <c r="BN45" s="69">
        <v>36.0</v>
      </c>
      <c r="BO45" s="69">
        <v>33.0</v>
      </c>
      <c r="BP45" s="69">
        <v>3.0</v>
      </c>
      <c r="BQ45" s="69">
        <v>45.0</v>
      </c>
      <c r="BR45" s="69">
        <v>45.0</v>
      </c>
      <c r="BS45" s="69">
        <v>35.0</v>
      </c>
      <c r="BT45" s="69">
        <v>10.0</v>
      </c>
      <c r="BU45" s="69">
        <v>52.0</v>
      </c>
      <c r="BV45" s="69">
        <v>8.0</v>
      </c>
      <c r="BW45" s="69">
        <v>5.0</v>
      </c>
      <c r="BX45" s="69">
        <v>45.0</v>
      </c>
      <c r="BY45" s="69">
        <v>45.0</v>
      </c>
      <c r="BZ45" s="69">
        <v>2.0</v>
      </c>
      <c r="CA45" s="69">
        <v>2.0</v>
      </c>
      <c r="CB45" s="69">
        <v>43.0</v>
      </c>
      <c r="CC45" s="69">
        <v>45.0</v>
      </c>
      <c r="CD45" s="69">
        <v>1.0</v>
      </c>
      <c r="CE45" s="69">
        <v>0.0</v>
      </c>
      <c r="CF45" s="69">
        <v>45.0</v>
      </c>
      <c r="CG45" s="69"/>
      <c r="CH45" s="69"/>
      <c r="CI45" s="70">
        <v>0.0</v>
      </c>
      <c r="CJ45" s="78">
        <v>411.0</v>
      </c>
      <c r="CK45" s="69">
        <v>120.0</v>
      </c>
      <c r="CL45" s="79">
        <f t="shared" si="8"/>
        <v>3.425</v>
      </c>
      <c r="CM45" s="81">
        <f t="shared" si="9"/>
        <v>36.5448505</v>
      </c>
      <c r="CN45" s="69">
        <v>36.0</v>
      </c>
      <c r="CO45" s="69">
        <v>36.0</v>
      </c>
      <c r="CP45" s="69">
        <v>32.0</v>
      </c>
      <c r="CQ45" s="69">
        <v>4.0</v>
      </c>
      <c r="CR45" s="71">
        <v>46.0</v>
      </c>
      <c r="CS45" s="69">
        <v>45.0</v>
      </c>
      <c r="CT45" s="69">
        <v>41.0</v>
      </c>
      <c r="CU45" s="69">
        <v>5.0</v>
      </c>
      <c r="CV45" s="71">
        <v>45.0</v>
      </c>
      <c r="CW45" s="69">
        <v>18.0</v>
      </c>
      <c r="CX45" s="69">
        <v>12.0</v>
      </c>
      <c r="CY45" s="69">
        <v>35.0</v>
      </c>
      <c r="CZ45" s="69"/>
      <c r="DA45" s="69">
        <v>6.0</v>
      </c>
      <c r="DB45" s="69">
        <v>2.0</v>
      </c>
      <c r="DC45" s="69"/>
      <c r="DD45" s="69">
        <v>-76.0</v>
      </c>
      <c r="DE45" s="69">
        <v>2.0</v>
      </c>
      <c r="DF45" s="69">
        <v>1.0</v>
      </c>
      <c r="DG45" s="69"/>
      <c r="DH45" s="69">
        <v>2.0</v>
      </c>
      <c r="DI45" s="69">
        <v>1.0</v>
      </c>
      <c r="DJ45" s="70"/>
      <c r="DK45" s="82">
        <v>416.0</v>
      </c>
      <c r="DL45" s="69">
        <v>120.0</v>
      </c>
      <c r="DM45" s="77">
        <f t="shared" si="10"/>
        <v>3.466666667</v>
      </c>
      <c r="DN45" s="83">
        <f t="shared" si="11"/>
        <v>1.216545012</v>
      </c>
    </row>
    <row r="46" ht="15.75" customHeight="1">
      <c r="A46" s="69">
        <v>40.0</v>
      </c>
      <c r="B46" s="69" t="s">
        <v>420</v>
      </c>
      <c r="C46" s="69" t="s">
        <v>421</v>
      </c>
      <c r="D46" s="70" t="s">
        <v>15</v>
      </c>
      <c r="E46" s="71">
        <v>701.0</v>
      </c>
      <c r="F46" s="69">
        <v>25.0</v>
      </c>
      <c r="G46" s="69">
        <v>26.0</v>
      </c>
      <c r="H46" s="69">
        <v>26.0</v>
      </c>
      <c r="I46" s="69">
        <v>-1.0</v>
      </c>
      <c r="J46" s="72">
        <v>769.0</v>
      </c>
      <c r="K46" s="69">
        <v>45.0</v>
      </c>
      <c r="L46" s="69">
        <v>46.0</v>
      </c>
      <c r="M46" s="69">
        <v>38.0</v>
      </c>
      <c r="N46" s="69">
        <v>5.0</v>
      </c>
      <c r="O46" s="72">
        <v>95.0</v>
      </c>
      <c r="P46" s="69">
        <v>35.0</v>
      </c>
      <c r="Q46" s="69">
        <v>38.0</v>
      </c>
      <c r="R46" s="69">
        <v>21.0</v>
      </c>
      <c r="S46" s="70">
        <v>15.0</v>
      </c>
      <c r="T46" s="69">
        <f t="shared" si="1"/>
        <v>1565</v>
      </c>
      <c r="U46" s="69">
        <v>100.0</v>
      </c>
      <c r="V46" s="73">
        <f t="shared" si="2"/>
        <v>15.65</v>
      </c>
      <c r="W46" s="74">
        <v>666.0</v>
      </c>
      <c r="X46" s="69">
        <v>30.0</v>
      </c>
      <c r="Y46" s="69">
        <v>30.0</v>
      </c>
      <c r="Z46" s="69">
        <v>26.0</v>
      </c>
      <c r="AA46" s="69">
        <v>4.0</v>
      </c>
      <c r="AB46" s="84">
        <v>738.0</v>
      </c>
      <c r="AC46" s="69">
        <v>52.0</v>
      </c>
      <c r="AD46" s="69">
        <v>52.0</v>
      </c>
      <c r="AE46" s="69">
        <v>46.0</v>
      </c>
      <c r="AF46" s="69">
        <v>6.0</v>
      </c>
      <c r="AG46" s="69">
        <v>47.0</v>
      </c>
      <c r="AH46" s="69">
        <v>47.0</v>
      </c>
      <c r="AI46" s="69">
        <v>28.0</v>
      </c>
      <c r="AJ46" s="69">
        <v>19.0</v>
      </c>
      <c r="AK46" s="69">
        <f t="shared" si="3"/>
        <v>1404</v>
      </c>
      <c r="AL46" s="76">
        <v>120.0</v>
      </c>
      <c r="AM46" s="77">
        <f t="shared" si="4"/>
        <v>11.7</v>
      </c>
      <c r="AN46" s="73">
        <f t="shared" si="5"/>
        <v>-10.28753994</v>
      </c>
      <c r="AO46" s="69">
        <v>48.0</v>
      </c>
      <c r="AP46" s="69">
        <v>48.0</v>
      </c>
      <c r="AQ46" s="69">
        <v>45.0</v>
      </c>
      <c r="AR46" s="69">
        <v>3.0</v>
      </c>
      <c r="AS46" s="69">
        <v>59.0</v>
      </c>
      <c r="AT46" s="69">
        <v>59.0</v>
      </c>
      <c r="AU46" s="69">
        <v>51.0</v>
      </c>
      <c r="AV46" s="69">
        <v>8.0</v>
      </c>
      <c r="AW46" s="69">
        <v>64.0</v>
      </c>
      <c r="AX46" s="69">
        <v>65.0</v>
      </c>
      <c r="AY46" s="69">
        <v>43.0</v>
      </c>
      <c r="AZ46" s="69">
        <v>16.0</v>
      </c>
      <c r="BA46" s="69">
        <v>16.0</v>
      </c>
      <c r="BB46" s="69">
        <v>3.0</v>
      </c>
      <c r="BC46" s="69">
        <v>3.0</v>
      </c>
      <c r="BD46" s="69">
        <v>13.0</v>
      </c>
      <c r="BE46" s="69">
        <v>0.0</v>
      </c>
      <c r="BF46" s="69">
        <v>0.0</v>
      </c>
      <c r="BG46" s="69"/>
      <c r="BH46" s="70"/>
      <c r="BI46" s="78">
        <v>1791.0</v>
      </c>
      <c r="BJ46" s="69">
        <v>160.0</v>
      </c>
      <c r="BK46" s="79">
        <f t="shared" si="6"/>
        <v>11.19375</v>
      </c>
      <c r="BL46" s="80">
        <f t="shared" si="7"/>
        <v>27.56410256</v>
      </c>
      <c r="BM46" s="69">
        <v>48.0</v>
      </c>
      <c r="BN46" s="69">
        <v>48.0</v>
      </c>
      <c r="BO46" s="69">
        <v>47.0</v>
      </c>
      <c r="BP46" s="69">
        <v>1.0</v>
      </c>
      <c r="BQ46" s="69">
        <v>57.0</v>
      </c>
      <c r="BR46" s="69">
        <v>57.0</v>
      </c>
      <c r="BS46" s="69">
        <v>47.0</v>
      </c>
      <c r="BT46" s="69">
        <v>10.0</v>
      </c>
      <c r="BU46" s="69">
        <v>66.0</v>
      </c>
      <c r="BV46" s="69">
        <v>60.0</v>
      </c>
      <c r="BW46" s="69">
        <v>36.0</v>
      </c>
      <c r="BX46" s="69">
        <v>24.0</v>
      </c>
      <c r="BY46" s="69">
        <v>24.0</v>
      </c>
      <c r="BZ46" s="69">
        <v>7.0</v>
      </c>
      <c r="CA46" s="69">
        <v>6.0</v>
      </c>
      <c r="CB46" s="69">
        <v>18.0</v>
      </c>
      <c r="CC46" s="69">
        <v>24.0</v>
      </c>
      <c r="CD46" s="69">
        <v>3.0</v>
      </c>
      <c r="CE46" s="69">
        <v>0.0</v>
      </c>
      <c r="CF46" s="69">
        <v>24.0</v>
      </c>
      <c r="CG46" s="69"/>
      <c r="CH46" s="69"/>
      <c r="CI46" s="70">
        <v>0.0</v>
      </c>
      <c r="CJ46" s="78">
        <v>1756.0</v>
      </c>
      <c r="CK46" s="69">
        <v>160.0</v>
      </c>
      <c r="CL46" s="79">
        <f t="shared" si="8"/>
        <v>10.975</v>
      </c>
      <c r="CM46" s="81">
        <f t="shared" si="9"/>
        <v>-1.954215522</v>
      </c>
      <c r="CN46" s="69">
        <v>48.0</v>
      </c>
      <c r="CO46" s="69">
        <v>47.0</v>
      </c>
      <c r="CP46" s="69">
        <v>44.0</v>
      </c>
      <c r="CQ46" s="69">
        <v>4.0</v>
      </c>
      <c r="CR46" s="71">
        <v>60.0</v>
      </c>
      <c r="CS46" s="69">
        <v>60.0</v>
      </c>
      <c r="CT46" s="69">
        <v>55.0</v>
      </c>
      <c r="CU46" s="69">
        <v>5.0</v>
      </c>
      <c r="CV46" s="71">
        <v>53.0</v>
      </c>
      <c r="CW46" s="69">
        <v>52.0</v>
      </c>
      <c r="CX46" s="69">
        <v>29.0</v>
      </c>
      <c r="CY46" s="69">
        <v>32.0</v>
      </c>
      <c r="CZ46" s="69"/>
      <c r="DA46" s="69">
        <v>20.0</v>
      </c>
      <c r="DB46" s="69">
        <v>8.0</v>
      </c>
      <c r="DC46" s="69"/>
      <c r="DD46" s="69">
        <v>-119.0</v>
      </c>
      <c r="DE46" s="69">
        <v>14.0</v>
      </c>
      <c r="DF46" s="69">
        <v>8.0</v>
      </c>
      <c r="DG46" s="69"/>
      <c r="DH46" s="69">
        <v>1.0</v>
      </c>
      <c r="DI46" s="69">
        <v>1.0</v>
      </c>
      <c r="DJ46" s="70"/>
      <c r="DK46" s="92">
        <v>1466.0</v>
      </c>
      <c r="DL46" s="69">
        <v>160.0</v>
      </c>
      <c r="DM46" s="77">
        <f t="shared" si="10"/>
        <v>9.1625</v>
      </c>
      <c r="DN46" s="83">
        <f t="shared" si="11"/>
        <v>-16.51480638</v>
      </c>
    </row>
    <row r="47" ht="15.75" customHeight="1">
      <c r="A47" s="69">
        <v>41.0</v>
      </c>
      <c r="B47" s="69" t="s">
        <v>428</v>
      </c>
      <c r="C47" s="69" t="s">
        <v>429</v>
      </c>
      <c r="D47" s="70" t="s">
        <v>15</v>
      </c>
      <c r="E47" s="71">
        <v>227.0</v>
      </c>
      <c r="F47" s="69">
        <v>54.0</v>
      </c>
      <c r="G47" s="69">
        <v>54.0</v>
      </c>
      <c r="H47" s="69">
        <v>50.0</v>
      </c>
      <c r="I47" s="69">
        <v>4.0</v>
      </c>
      <c r="J47" s="72">
        <v>405.0</v>
      </c>
      <c r="K47" s="69">
        <v>100.0</v>
      </c>
      <c r="L47" s="69">
        <v>100.0</v>
      </c>
      <c r="M47" s="69">
        <v>91.0</v>
      </c>
      <c r="N47" s="69">
        <v>6.0</v>
      </c>
      <c r="O47" s="72">
        <v>86.0</v>
      </c>
      <c r="P47" s="69">
        <v>70.0</v>
      </c>
      <c r="Q47" s="69">
        <v>48.0</v>
      </c>
      <c r="R47" s="69">
        <v>28.0</v>
      </c>
      <c r="S47" s="70">
        <v>46.0</v>
      </c>
      <c r="T47" s="69">
        <f t="shared" si="1"/>
        <v>718</v>
      </c>
      <c r="U47" s="69">
        <v>215.0</v>
      </c>
      <c r="V47" s="73">
        <f t="shared" si="2"/>
        <v>3.339534884</v>
      </c>
      <c r="W47" s="74">
        <v>231.0</v>
      </c>
      <c r="X47" s="69">
        <v>40.0</v>
      </c>
      <c r="Y47" s="69">
        <v>40.0</v>
      </c>
      <c r="Z47" s="69">
        <v>40.0</v>
      </c>
      <c r="AA47" s="69">
        <v>0.0</v>
      </c>
      <c r="AB47" s="84">
        <v>378.0</v>
      </c>
      <c r="AC47" s="69">
        <v>64.0</v>
      </c>
      <c r="AD47" s="69">
        <v>64.0</v>
      </c>
      <c r="AE47" s="69">
        <v>60.0</v>
      </c>
      <c r="AF47" s="69">
        <v>4.0</v>
      </c>
      <c r="AG47" s="69">
        <v>56.0</v>
      </c>
      <c r="AH47" s="69">
        <v>56.0</v>
      </c>
      <c r="AI47" s="69">
        <v>41.0</v>
      </c>
      <c r="AJ47" s="69">
        <v>15.0</v>
      </c>
      <c r="AK47" s="69">
        <f t="shared" si="3"/>
        <v>609</v>
      </c>
      <c r="AL47" s="76">
        <v>160.0</v>
      </c>
      <c r="AM47" s="77">
        <f t="shared" si="4"/>
        <v>3.80625</v>
      </c>
      <c r="AN47" s="73">
        <f t="shared" si="5"/>
        <v>-15.1810585</v>
      </c>
      <c r="AO47" s="69">
        <v>48.0</v>
      </c>
      <c r="AP47" s="69">
        <v>48.0</v>
      </c>
      <c r="AQ47" s="69">
        <v>45.0</v>
      </c>
      <c r="AR47" s="69">
        <v>3.0</v>
      </c>
      <c r="AS47" s="69">
        <v>59.0</v>
      </c>
      <c r="AT47" s="69">
        <v>59.0</v>
      </c>
      <c r="AU47" s="69">
        <v>52.0</v>
      </c>
      <c r="AV47" s="69">
        <v>7.0</v>
      </c>
      <c r="AW47" s="69">
        <v>63.0</v>
      </c>
      <c r="AX47" s="69">
        <v>63.0</v>
      </c>
      <c r="AY47" s="69">
        <v>49.0</v>
      </c>
      <c r="AZ47" s="69">
        <v>10.0</v>
      </c>
      <c r="BA47" s="69">
        <v>10.0</v>
      </c>
      <c r="BB47" s="69">
        <v>5.0</v>
      </c>
      <c r="BC47" s="69">
        <v>5.0</v>
      </c>
      <c r="BD47" s="69">
        <v>5.0</v>
      </c>
      <c r="BE47" s="69">
        <v>1.0</v>
      </c>
      <c r="BF47" s="69">
        <v>1.0</v>
      </c>
      <c r="BG47" s="69"/>
      <c r="BH47" s="70"/>
      <c r="BI47" s="78">
        <v>770.0</v>
      </c>
      <c r="BJ47" s="69">
        <v>160.0</v>
      </c>
      <c r="BK47" s="79">
        <f t="shared" si="6"/>
        <v>4.8125</v>
      </c>
      <c r="BL47" s="80">
        <f t="shared" si="7"/>
        <v>26.43678161</v>
      </c>
      <c r="BM47" s="69">
        <v>48.0</v>
      </c>
      <c r="BN47" s="69">
        <v>48.0</v>
      </c>
      <c r="BO47" s="69">
        <v>47.0</v>
      </c>
      <c r="BP47" s="69">
        <v>1.0</v>
      </c>
      <c r="BQ47" s="69">
        <v>57.0</v>
      </c>
      <c r="BR47" s="69">
        <v>57.0</v>
      </c>
      <c r="BS47" s="69">
        <v>54.0</v>
      </c>
      <c r="BT47" s="69">
        <v>3.0</v>
      </c>
      <c r="BU47" s="69">
        <v>59.0</v>
      </c>
      <c r="BV47" s="69">
        <v>58.0</v>
      </c>
      <c r="BW47" s="69">
        <v>41.0</v>
      </c>
      <c r="BX47" s="69">
        <v>16.0</v>
      </c>
      <c r="BY47" s="69">
        <v>16.0</v>
      </c>
      <c r="BZ47" s="69">
        <v>2.0</v>
      </c>
      <c r="CA47" s="69">
        <v>2.0</v>
      </c>
      <c r="CB47" s="69">
        <v>14.0</v>
      </c>
      <c r="CC47" s="69">
        <v>16.0</v>
      </c>
      <c r="CD47" s="69">
        <v>2.0</v>
      </c>
      <c r="CE47" s="69">
        <v>1.0</v>
      </c>
      <c r="CF47" s="69">
        <v>15.0</v>
      </c>
      <c r="CG47" s="69"/>
      <c r="CH47" s="69"/>
      <c r="CI47" s="70">
        <v>0.0</v>
      </c>
      <c r="CJ47" s="78">
        <v>809.0</v>
      </c>
      <c r="CK47" s="69">
        <v>160.0</v>
      </c>
      <c r="CL47" s="79">
        <f t="shared" si="8"/>
        <v>5.05625</v>
      </c>
      <c r="CM47" s="81">
        <f t="shared" si="9"/>
        <v>5.064935065</v>
      </c>
      <c r="CN47" s="69">
        <v>48.0</v>
      </c>
      <c r="CO47" s="69">
        <v>48.0</v>
      </c>
      <c r="CP47" s="69">
        <v>48.0</v>
      </c>
      <c r="CQ47" s="69">
        <v>0.0</v>
      </c>
      <c r="CR47" s="71">
        <v>56.0</v>
      </c>
      <c r="CS47" s="69">
        <v>56.0</v>
      </c>
      <c r="CT47" s="69">
        <v>52.0</v>
      </c>
      <c r="CU47" s="69">
        <v>4.0</v>
      </c>
      <c r="CV47" s="71">
        <v>58.0</v>
      </c>
      <c r="CW47" s="69">
        <v>40.0</v>
      </c>
      <c r="CX47" s="69">
        <v>32.0</v>
      </c>
      <c r="CY47" s="69">
        <v>28.0</v>
      </c>
      <c r="CZ47" s="69"/>
      <c r="DA47" s="69">
        <v>4.0</v>
      </c>
      <c r="DB47" s="69">
        <v>2.0</v>
      </c>
      <c r="DC47" s="69"/>
      <c r="DD47" s="69">
        <v>-128.0</v>
      </c>
      <c r="DE47" s="69">
        <v>3.0</v>
      </c>
      <c r="DF47" s="69">
        <v>1.0</v>
      </c>
      <c r="DG47" s="69"/>
      <c r="DH47" s="69">
        <v>0.0</v>
      </c>
      <c r="DI47" s="69">
        <v>0.0</v>
      </c>
      <c r="DJ47" s="70"/>
      <c r="DK47" s="93">
        <v>694.0</v>
      </c>
      <c r="DL47" s="69">
        <v>160.0</v>
      </c>
      <c r="DM47" s="77">
        <f t="shared" si="10"/>
        <v>4.3375</v>
      </c>
      <c r="DN47" s="83">
        <f t="shared" si="11"/>
        <v>-14.21508035</v>
      </c>
    </row>
    <row r="48" ht="15.75" customHeight="1">
      <c r="A48" s="69">
        <v>42.0</v>
      </c>
      <c r="B48" s="69" t="s">
        <v>430</v>
      </c>
      <c r="C48" s="69" t="s">
        <v>431</v>
      </c>
      <c r="D48" s="70" t="s">
        <v>15</v>
      </c>
      <c r="E48" s="71">
        <v>847.0</v>
      </c>
      <c r="F48" s="69">
        <v>73.0</v>
      </c>
      <c r="G48" s="69">
        <v>73.0</v>
      </c>
      <c r="H48" s="69">
        <v>69.0</v>
      </c>
      <c r="I48" s="69">
        <v>4.0</v>
      </c>
      <c r="J48" s="72">
        <v>1294.0</v>
      </c>
      <c r="K48" s="69">
        <v>133.0</v>
      </c>
      <c r="L48" s="69">
        <v>133.0</v>
      </c>
      <c r="M48" s="69">
        <v>125.0</v>
      </c>
      <c r="N48" s="69">
        <v>6.0</v>
      </c>
      <c r="O48" s="72">
        <v>325.0</v>
      </c>
      <c r="P48" s="69">
        <v>93.0</v>
      </c>
      <c r="Q48" s="69">
        <v>92.0</v>
      </c>
      <c r="R48" s="69">
        <v>72.0</v>
      </c>
      <c r="S48" s="70">
        <v>24.0</v>
      </c>
      <c r="T48" s="69">
        <f t="shared" si="1"/>
        <v>2466</v>
      </c>
      <c r="U48" s="69">
        <v>290.0</v>
      </c>
      <c r="V48" s="73">
        <f t="shared" si="2"/>
        <v>8.503448276</v>
      </c>
      <c r="W48" s="74">
        <v>996.0</v>
      </c>
      <c r="X48" s="69">
        <v>65.0</v>
      </c>
      <c r="Y48" s="69">
        <v>65.0</v>
      </c>
      <c r="Z48" s="69">
        <v>58.0</v>
      </c>
      <c r="AA48" s="69">
        <v>7.0</v>
      </c>
      <c r="AB48" s="84">
        <v>1232.0</v>
      </c>
      <c r="AC48" s="69">
        <v>111.0</v>
      </c>
      <c r="AD48" s="69">
        <v>111.0</v>
      </c>
      <c r="AE48" s="69">
        <v>101.0</v>
      </c>
      <c r="AF48" s="69">
        <v>10.0</v>
      </c>
      <c r="AG48" s="69">
        <v>99.0</v>
      </c>
      <c r="AH48" s="69">
        <v>99.0</v>
      </c>
      <c r="AI48" s="69">
        <v>68.0</v>
      </c>
      <c r="AJ48" s="69">
        <v>31.0</v>
      </c>
      <c r="AK48" s="69">
        <f t="shared" si="3"/>
        <v>2228</v>
      </c>
      <c r="AL48" s="76">
        <v>260.0</v>
      </c>
      <c r="AM48" s="77">
        <f t="shared" si="4"/>
        <v>8.569230769</v>
      </c>
      <c r="AN48" s="73">
        <f t="shared" si="5"/>
        <v>-9.651257097</v>
      </c>
      <c r="AO48" s="69">
        <v>60.0</v>
      </c>
      <c r="AP48" s="69">
        <v>60.0</v>
      </c>
      <c r="AQ48" s="69">
        <v>58.0</v>
      </c>
      <c r="AR48" s="69">
        <v>2.0</v>
      </c>
      <c r="AS48" s="69">
        <v>72.0</v>
      </c>
      <c r="AT48" s="69">
        <v>72.0</v>
      </c>
      <c r="AU48" s="69">
        <v>62.0</v>
      </c>
      <c r="AV48" s="69">
        <v>10.0</v>
      </c>
      <c r="AW48" s="69">
        <v>80.0</v>
      </c>
      <c r="AX48" s="69">
        <v>82.0</v>
      </c>
      <c r="AY48" s="69">
        <v>69.0</v>
      </c>
      <c r="AZ48" s="69">
        <v>3.0</v>
      </c>
      <c r="BA48" s="69">
        <v>3.0</v>
      </c>
      <c r="BB48" s="69">
        <v>9.0</v>
      </c>
      <c r="BC48" s="69">
        <v>7.0</v>
      </c>
      <c r="BD48" s="69">
        <v>-4.0</v>
      </c>
      <c r="BE48" s="69">
        <v>10.0</v>
      </c>
      <c r="BF48" s="69">
        <v>8.0</v>
      </c>
      <c r="BG48" s="69">
        <v>3.0</v>
      </c>
      <c r="BH48" s="70">
        <v>2.0</v>
      </c>
      <c r="BI48" s="78">
        <v>2936.0</v>
      </c>
      <c r="BJ48" s="69">
        <v>200.0</v>
      </c>
      <c r="BK48" s="79">
        <f t="shared" si="6"/>
        <v>14.68</v>
      </c>
      <c r="BL48" s="80">
        <f t="shared" si="7"/>
        <v>31.77737882</v>
      </c>
      <c r="BM48" s="69">
        <v>60.0</v>
      </c>
      <c r="BN48" s="69">
        <v>60.0</v>
      </c>
      <c r="BO48" s="69">
        <v>57.0</v>
      </c>
      <c r="BP48" s="69">
        <v>3.0</v>
      </c>
      <c r="BQ48" s="69">
        <v>73.0</v>
      </c>
      <c r="BR48" s="69">
        <v>73.0</v>
      </c>
      <c r="BS48" s="69">
        <v>68.0</v>
      </c>
      <c r="BT48" s="69">
        <v>5.0</v>
      </c>
      <c r="BU48" s="69">
        <v>75.0</v>
      </c>
      <c r="BV48" s="69">
        <v>64.0</v>
      </c>
      <c r="BW48" s="69">
        <v>60.0</v>
      </c>
      <c r="BX48" s="69">
        <v>4.0</v>
      </c>
      <c r="BY48" s="69">
        <v>4.0</v>
      </c>
      <c r="BZ48" s="69">
        <v>13.0</v>
      </c>
      <c r="CA48" s="69">
        <v>11.0</v>
      </c>
      <c r="CB48" s="69">
        <v>-7.0</v>
      </c>
      <c r="CC48" s="69">
        <v>3.0</v>
      </c>
      <c r="CD48" s="69">
        <v>3.0</v>
      </c>
      <c r="CE48" s="69">
        <v>3.0</v>
      </c>
      <c r="CF48" s="69">
        <v>0.0</v>
      </c>
      <c r="CG48" s="69">
        <v>1.0</v>
      </c>
      <c r="CH48" s="69"/>
      <c r="CI48" s="70">
        <v>1.0</v>
      </c>
      <c r="CJ48" s="78">
        <v>2638.0</v>
      </c>
      <c r="CK48" s="69">
        <v>200.0</v>
      </c>
      <c r="CL48" s="79">
        <f t="shared" si="8"/>
        <v>13.19</v>
      </c>
      <c r="CM48" s="81">
        <f t="shared" si="9"/>
        <v>-10.14986376</v>
      </c>
      <c r="CN48" s="69">
        <v>60.0</v>
      </c>
      <c r="CO48" s="69">
        <v>60.0</v>
      </c>
      <c r="CP48" s="69">
        <v>60.0</v>
      </c>
      <c r="CQ48" s="69">
        <v>0.0</v>
      </c>
      <c r="CR48" s="71">
        <v>70.0</v>
      </c>
      <c r="CS48" s="69">
        <v>70.0</v>
      </c>
      <c r="CT48" s="69">
        <v>63.0</v>
      </c>
      <c r="CU48" s="69">
        <v>7.0</v>
      </c>
      <c r="CV48" s="71">
        <v>66.0</v>
      </c>
      <c r="CW48" s="69">
        <v>66.0</v>
      </c>
      <c r="CX48" s="69">
        <v>54.0</v>
      </c>
      <c r="CY48" s="69">
        <v>23.0</v>
      </c>
      <c r="CZ48" s="69"/>
      <c r="DA48" s="69">
        <v>32.0</v>
      </c>
      <c r="DB48" s="69">
        <v>11.0</v>
      </c>
      <c r="DC48" s="69"/>
      <c r="DD48" s="69">
        <v>-170.0</v>
      </c>
      <c r="DE48" s="69">
        <v>12.0</v>
      </c>
      <c r="DF48" s="69">
        <v>11.0</v>
      </c>
      <c r="DG48" s="69"/>
      <c r="DH48" s="69">
        <v>0.0</v>
      </c>
      <c r="DI48" s="69">
        <v>0.0</v>
      </c>
      <c r="DJ48" s="70"/>
      <c r="DK48" s="93">
        <v>2823.0</v>
      </c>
      <c r="DL48" s="69">
        <v>200.0</v>
      </c>
      <c r="DM48" s="77">
        <f t="shared" si="10"/>
        <v>14.115</v>
      </c>
      <c r="DN48" s="83">
        <f t="shared" si="11"/>
        <v>7.012888552</v>
      </c>
    </row>
    <row r="49" ht="15.75" customHeight="1">
      <c r="A49" s="69">
        <v>43.0</v>
      </c>
      <c r="B49" s="69" t="s">
        <v>432</v>
      </c>
      <c r="C49" s="69" t="s">
        <v>433</v>
      </c>
      <c r="D49" s="70" t="s">
        <v>15</v>
      </c>
      <c r="E49" s="71">
        <v>527.0</v>
      </c>
      <c r="F49" s="69">
        <v>54.0</v>
      </c>
      <c r="G49" s="69">
        <v>54.0</v>
      </c>
      <c r="H49" s="69">
        <v>54.0</v>
      </c>
      <c r="I49" s="69">
        <v>0.0</v>
      </c>
      <c r="J49" s="72">
        <v>624.0</v>
      </c>
      <c r="K49" s="69">
        <v>97.0</v>
      </c>
      <c r="L49" s="69">
        <v>97.0</v>
      </c>
      <c r="M49" s="69">
        <v>89.0</v>
      </c>
      <c r="N49" s="69">
        <v>3.0</v>
      </c>
      <c r="O49" s="72">
        <v>176.0</v>
      </c>
      <c r="P49" s="69">
        <v>67.0</v>
      </c>
      <c r="Q49" s="69">
        <v>70.0</v>
      </c>
      <c r="R49" s="69">
        <v>59.0</v>
      </c>
      <c r="S49" s="70">
        <v>13.0</v>
      </c>
      <c r="T49" s="69">
        <f t="shared" si="1"/>
        <v>1327</v>
      </c>
      <c r="U49" s="69">
        <v>215.0</v>
      </c>
      <c r="V49" s="73">
        <f t="shared" si="2"/>
        <v>6.172093023</v>
      </c>
      <c r="W49" s="74">
        <v>710.0</v>
      </c>
      <c r="X49" s="69">
        <v>50.0</v>
      </c>
      <c r="Y49" s="69">
        <v>50.0</v>
      </c>
      <c r="Z49" s="69">
        <v>49.0</v>
      </c>
      <c r="AA49" s="69">
        <v>1.0</v>
      </c>
      <c r="AB49" s="84">
        <v>772.0</v>
      </c>
      <c r="AC49" s="69">
        <v>81.0</v>
      </c>
      <c r="AD49" s="69">
        <v>81.0</v>
      </c>
      <c r="AE49" s="69">
        <v>80.0</v>
      </c>
      <c r="AF49" s="69">
        <v>1.0</v>
      </c>
      <c r="AG49" s="69">
        <v>70.0</v>
      </c>
      <c r="AH49" s="69">
        <v>69.0</v>
      </c>
      <c r="AI49" s="69">
        <v>56.0</v>
      </c>
      <c r="AJ49" s="69">
        <v>14.0</v>
      </c>
      <c r="AK49" s="69">
        <f t="shared" si="3"/>
        <v>1482</v>
      </c>
      <c r="AL49" s="76">
        <v>200.0</v>
      </c>
      <c r="AM49" s="77">
        <f t="shared" si="4"/>
        <v>7.41</v>
      </c>
      <c r="AN49" s="73">
        <f t="shared" si="5"/>
        <v>11.68048229</v>
      </c>
      <c r="AO49" s="69">
        <v>60.0</v>
      </c>
      <c r="AP49" s="69">
        <v>60.0</v>
      </c>
      <c r="AQ49" s="69">
        <v>59.0</v>
      </c>
      <c r="AR49" s="69">
        <v>1.0</v>
      </c>
      <c r="AS49" s="69">
        <v>71.0</v>
      </c>
      <c r="AT49" s="69">
        <v>71.0</v>
      </c>
      <c r="AU49" s="69">
        <v>66.0</v>
      </c>
      <c r="AV49" s="69">
        <v>5.0</v>
      </c>
      <c r="AW49" s="69">
        <v>75.0</v>
      </c>
      <c r="AX49" s="69">
        <v>75.0</v>
      </c>
      <c r="AY49" s="69">
        <v>60.0</v>
      </c>
      <c r="AZ49" s="69">
        <v>11.0</v>
      </c>
      <c r="BA49" s="69">
        <v>11.0</v>
      </c>
      <c r="BB49" s="69">
        <v>6.0</v>
      </c>
      <c r="BC49" s="69">
        <v>5.0</v>
      </c>
      <c r="BD49" s="69">
        <v>6.0</v>
      </c>
      <c r="BE49" s="69">
        <v>5.0</v>
      </c>
      <c r="BF49" s="69">
        <v>4.0</v>
      </c>
      <c r="BG49" s="69">
        <v>1.0</v>
      </c>
      <c r="BH49" s="70">
        <v>1.0</v>
      </c>
      <c r="BI49" s="78">
        <v>1855.0</v>
      </c>
      <c r="BJ49" s="69">
        <v>200.0</v>
      </c>
      <c r="BK49" s="79">
        <f t="shared" si="6"/>
        <v>9.275</v>
      </c>
      <c r="BL49" s="80">
        <f t="shared" si="7"/>
        <v>25.16869096</v>
      </c>
      <c r="BM49" s="69">
        <v>60.0</v>
      </c>
      <c r="BN49" s="69">
        <v>60.0</v>
      </c>
      <c r="BO49" s="69">
        <v>60.0</v>
      </c>
      <c r="BP49" s="69">
        <v>0.0</v>
      </c>
      <c r="BQ49" s="69">
        <v>70.0</v>
      </c>
      <c r="BR49" s="69">
        <v>70.0</v>
      </c>
      <c r="BS49" s="69">
        <v>67.0</v>
      </c>
      <c r="BT49" s="69">
        <v>3.0</v>
      </c>
      <c r="BU49" s="69">
        <v>73.0</v>
      </c>
      <c r="BV49" s="69">
        <v>70.0</v>
      </c>
      <c r="BW49" s="69">
        <v>54.0</v>
      </c>
      <c r="BX49" s="69">
        <v>16.0</v>
      </c>
      <c r="BY49" s="69">
        <v>16.0</v>
      </c>
      <c r="BZ49" s="69">
        <v>5.0</v>
      </c>
      <c r="CA49" s="69">
        <v>3.0</v>
      </c>
      <c r="CB49" s="69">
        <v>13.0</v>
      </c>
      <c r="CC49" s="69">
        <v>16.0</v>
      </c>
      <c r="CD49" s="69">
        <v>12.0</v>
      </c>
      <c r="CE49" s="69">
        <v>10.0</v>
      </c>
      <c r="CF49" s="69">
        <v>6.0</v>
      </c>
      <c r="CG49" s="69"/>
      <c r="CH49" s="69"/>
      <c r="CI49" s="70">
        <v>0.0</v>
      </c>
      <c r="CJ49" s="78">
        <v>1859.0</v>
      </c>
      <c r="CK49" s="69">
        <v>200.0</v>
      </c>
      <c r="CL49" s="79">
        <f t="shared" si="8"/>
        <v>9.295</v>
      </c>
      <c r="CM49" s="81">
        <f t="shared" si="9"/>
        <v>0.2156334232</v>
      </c>
      <c r="CN49" s="69">
        <v>60.0</v>
      </c>
      <c r="CO49" s="69">
        <v>60.0</v>
      </c>
      <c r="CP49" s="69">
        <v>59.0</v>
      </c>
      <c r="CQ49" s="69">
        <v>1.0</v>
      </c>
      <c r="CR49" s="71">
        <v>71.0</v>
      </c>
      <c r="CS49" s="69">
        <v>71.0</v>
      </c>
      <c r="CT49" s="69">
        <v>65.0</v>
      </c>
      <c r="CU49" s="69">
        <v>6.0</v>
      </c>
      <c r="CV49" s="71">
        <v>67.0</v>
      </c>
      <c r="CW49" s="69">
        <v>67.0</v>
      </c>
      <c r="CX49" s="69">
        <v>59.0</v>
      </c>
      <c r="CY49" s="69">
        <v>17.0</v>
      </c>
      <c r="CZ49" s="69"/>
      <c r="DA49" s="69">
        <v>49.0</v>
      </c>
      <c r="DB49" s="69">
        <v>9.0</v>
      </c>
      <c r="DC49" s="69"/>
      <c r="DD49" s="69">
        <v>-176.0</v>
      </c>
      <c r="DE49" s="69">
        <v>8.0</v>
      </c>
      <c r="DF49" s="69">
        <v>7.0</v>
      </c>
      <c r="DG49" s="69"/>
      <c r="DH49" s="69">
        <v>0.0</v>
      </c>
      <c r="DI49" s="69">
        <v>0.0</v>
      </c>
      <c r="DJ49" s="70"/>
      <c r="DK49" s="93">
        <v>2008.0</v>
      </c>
      <c r="DL49" s="69">
        <v>200.0</v>
      </c>
      <c r="DM49" s="77">
        <f t="shared" si="10"/>
        <v>10.04</v>
      </c>
      <c r="DN49" s="83">
        <f t="shared" si="11"/>
        <v>8.015061861</v>
      </c>
    </row>
    <row r="50" ht="15.75" customHeight="1">
      <c r="A50" s="69">
        <v>44.0</v>
      </c>
      <c r="B50" s="69" t="s">
        <v>434</v>
      </c>
      <c r="C50" s="69" t="s">
        <v>435</v>
      </c>
      <c r="D50" s="70" t="s">
        <v>15</v>
      </c>
      <c r="E50" s="71">
        <v>639.0</v>
      </c>
      <c r="F50" s="69">
        <v>110.0</v>
      </c>
      <c r="G50" s="69">
        <v>110.0</v>
      </c>
      <c r="H50" s="69">
        <v>108.0</v>
      </c>
      <c r="I50" s="69">
        <v>2.0</v>
      </c>
      <c r="J50" s="72">
        <v>1298.0</v>
      </c>
      <c r="K50" s="69">
        <v>200.0</v>
      </c>
      <c r="L50" s="69">
        <v>202.0</v>
      </c>
      <c r="M50" s="69">
        <v>193.0</v>
      </c>
      <c r="N50" s="69">
        <v>2.0</v>
      </c>
      <c r="O50" s="72">
        <v>595.0</v>
      </c>
      <c r="P50" s="69">
        <v>134.0</v>
      </c>
      <c r="Q50" s="69">
        <v>140.0</v>
      </c>
      <c r="R50" s="69">
        <v>122.0</v>
      </c>
      <c r="S50" s="70">
        <v>17.0</v>
      </c>
      <c r="T50" s="69">
        <f t="shared" si="1"/>
        <v>2532</v>
      </c>
      <c r="U50" s="69">
        <v>440.0</v>
      </c>
      <c r="V50" s="73">
        <f t="shared" si="2"/>
        <v>5.754545455</v>
      </c>
      <c r="W50" s="74">
        <v>871.0</v>
      </c>
      <c r="X50" s="69">
        <v>124.0</v>
      </c>
      <c r="Y50" s="69">
        <v>124.0</v>
      </c>
      <c r="Z50" s="69">
        <v>112.0</v>
      </c>
      <c r="AA50" s="69">
        <v>12.0</v>
      </c>
      <c r="AB50" s="84">
        <v>1345.0</v>
      </c>
      <c r="AC50" s="69">
        <v>210.0</v>
      </c>
      <c r="AD50" s="69">
        <v>210.0</v>
      </c>
      <c r="AE50" s="69">
        <v>197.0</v>
      </c>
      <c r="AF50" s="69">
        <v>13.0</v>
      </c>
      <c r="AG50" s="69">
        <v>180.0</v>
      </c>
      <c r="AH50" s="69">
        <v>179.0</v>
      </c>
      <c r="AI50" s="69">
        <v>150.0</v>
      </c>
      <c r="AJ50" s="69">
        <v>30.0</v>
      </c>
      <c r="AK50" s="69">
        <f t="shared" si="3"/>
        <v>2216</v>
      </c>
      <c r="AL50" s="76">
        <v>495.0</v>
      </c>
      <c r="AM50" s="77">
        <f t="shared" si="4"/>
        <v>4.476767677</v>
      </c>
      <c r="AN50" s="73">
        <f t="shared" si="5"/>
        <v>-12.48025276</v>
      </c>
      <c r="AO50" s="69">
        <v>168.0</v>
      </c>
      <c r="AP50" s="69">
        <v>168.0</v>
      </c>
      <c r="AQ50" s="69">
        <v>161.0</v>
      </c>
      <c r="AR50" s="69">
        <v>7.0</v>
      </c>
      <c r="AS50" s="69">
        <v>203.0</v>
      </c>
      <c r="AT50" s="69">
        <v>203.0</v>
      </c>
      <c r="AU50" s="69">
        <v>187.0</v>
      </c>
      <c r="AV50" s="69">
        <v>16.0</v>
      </c>
      <c r="AW50" s="69">
        <v>212.0</v>
      </c>
      <c r="AX50" s="69">
        <v>212.0</v>
      </c>
      <c r="AY50" s="69">
        <v>182.0</v>
      </c>
      <c r="AZ50" s="69">
        <v>21.0</v>
      </c>
      <c r="BA50" s="69">
        <v>21.0</v>
      </c>
      <c r="BB50" s="69">
        <v>9.0</v>
      </c>
      <c r="BC50" s="69">
        <v>9.0</v>
      </c>
      <c r="BD50" s="69">
        <v>12.0</v>
      </c>
      <c r="BE50" s="69">
        <v>31.0</v>
      </c>
      <c r="BF50" s="69">
        <v>27.0</v>
      </c>
      <c r="BG50" s="69"/>
      <c r="BH50" s="70"/>
      <c r="BI50" s="78">
        <v>3356.0</v>
      </c>
      <c r="BJ50" s="69">
        <v>560.0</v>
      </c>
      <c r="BK50" s="79">
        <f t="shared" si="6"/>
        <v>5.992857143</v>
      </c>
      <c r="BL50" s="80">
        <f t="shared" si="7"/>
        <v>51.44404332</v>
      </c>
      <c r="BM50" s="69">
        <v>168.0</v>
      </c>
      <c r="BN50" s="69">
        <v>168.0</v>
      </c>
      <c r="BO50" s="69">
        <v>164.0</v>
      </c>
      <c r="BP50" s="69">
        <v>4.0</v>
      </c>
      <c r="BQ50" s="69">
        <v>200.0</v>
      </c>
      <c r="BR50" s="69">
        <v>200.0</v>
      </c>
      <c r="BS50" s="69">
        <v>190.0</v>
      </c>
      <c r="BT50" s="69">
        <v>10.0</v>
      </c>
      <c r="BU50" s="69">
        <v>206.0</v>
      </c>
      <c r="BV50" s="69">
        <v>190.0</v>
      </c>
      <c r="BW50" s="69">
        <v>163.0</v>
      </c>
      <c r="BX50" s="69">
        <v>30.0</v>
      </c>
      <c r="BY50" s="69">
        <v>30.0</v>
      </c>
      <c r="BZ50" s="69">
        <v>18.0</v>
      </c>
      <c r="CA50" s="69">
        <v>13.0</v>
      </c>
      <c r="CB50" s="69">
        <v>17.0</v>
      </c>
      <c r="CC50" s="69">
        <v>29.0</v>
      </c>
      <c r="CD50" s="69">
        <v>30.0</v>
      </c>
      <c r="CE50" s="69">
        <v>21.0</v>
      </c>
      <c r="CF50" s="69">
        <v>8.0</v>
      </c>
      <c r="CG50" s="69">
        <v>2.0</v>
      </c>
      <c r="CH50" s="69">
        <v>1.0</v>
      </c>
      <c r="CI50" s="70">
        <v>1.0</v>
      </c>
      <c r="CJ50" s="78">
        <v>3880.0</v>
      </c>
      <c r="CK50" s="69">
        <v>560.0</v>
      </c>
      <c r="CL50" s="79">
        <f t="shared" si="8"/>
        <v>6.928571429</v>
      </c>
      <c r="CM50" s="81">
        <f t="shared" si="9"/>
        <v>15.61382598</v>
      </c>
      <c r="CN50" s="69">
        <v>168.0</v>
      </c>
      <c r="CO50" s="69">
        <v>165.0</v>
      </c>
      <c r="CP50" s="69">
        <v>161.0</v>
      </c>
      <c r="CQ50" s="69">
        <v>7.0</v>
      </c>
      <c r="CR50" s="71">
        <v>203.0</v>
      </c>
      <c r="CS50" s="69">
        <v>204.0</v>
      </c>
      <c r="CT50" s="69">
        <v>190.0</v>
      </c>
      <c r="CU50" s="69">
        <v>13.0</v>
      </c>
      <c r="CV50" s="71">
        <v>193.0</v>
      </c>
      <c r="CW50" s="69">
        <v>193.0</v>
      </c>
      <c r="CX50" s="69">
        <v>165.0</v>
      </c>
      <c r="CY50" s="69">
        <v>44.0</v>
      </c>
      <c r="CZ50" s="69"/>
      <c r="DA50" s="69">
        <v>95.0</v>
      </c>
      <c r="DB50" s="69">
        <v>16.0</v>
      </c>
      <c r="DC50" s="69"/>
      <c r="DD50" s="69">
        <v>-496.0</v>
      </c>
      <c r="DE50" s="69">
        <v>30.0</v>
      </c>
      <c r="DF50" s="69">
        <v>26.0</v>
      </c>
      <c r="DG50" s="69"/>
      <c r="DH50" s="69">
        <v>0.0</v>
      </c>
      <c r="DI50" s="69">
        <v>0.0</v>
      </c>
      <c r="DJ50" s="70"/>
      <c r="DK50" s="93">
        <v>3720.0</v>
      </c>
      <c r="DL50" s="69">
        <v>560.0</v>
      </c>
      <c r="DM50" s="77">
        <f t="shared" si="10"/>
        <v>6.642857143</v>
      </c>
      <c r="DN50" s="83">
        <f t="shared" si="11"/>
        <v>-4.12371134</v>
      </c>
    </row>
    <row r="51" ht="15.75" customHeight="1">
      <c r="A51" s="69">
        <v>45.0</v>
      </c>
      <c r="B51" s="69" t="s">
        <v>436</v>
      </c>
      <c r="C51" s="69" t="s">
        <v>437</v>
      </c>
      <c r="D51" s="70" t="s">
        <v>15</v>
      </c>
      <c r="E51" s="71">
        <v>191.0</v>
      </c>
      <c r="F51" s="69">
        <v>25.0</v>
      </c>
      <c r="G51" s="69">
        <v>25.0</v>
      </c>
      <c r="H51" s="69">
        <v>22.0</v>
      </c>
      <c r="I51" s="69">
        <v>3.0</v>
      </c>
      <c r="J51" s="72">
        <v>208.0</v>
      </c>
      <c r="K51" s="69">
        <v>49.0</v>
      </c>
      <c r="L51" s="69">
        <v>49.0</v>
      </c>
      <c r="M51" s="69">
        <v>46.0</v>
      </c>
      <c r="N51" s="69">
        <v>3.0</v>
      </c>
      <c r="O51" s="72">
        <v>35.0</v>
      </c>
      <c r="P51" s="69">
        <v>33.0</v>
      </c>
      <c r="Q51" s="69">
        <v>18.0</v>
      </c>
      <c r="R51" s="69">
        <v>9.0</v>
      </c>
      <c r="S51" s="70">
        <v>23.0</v>
      </c>
      <c r="T51" s="69">
        <f t="shared" si="1"/>
        <v>434</v>
      </c>
      <c r="U51" s="69">
        <v>100.0</v>
      </c>
      <c r="V51" s="73">
        <f t="shared" si="2"/>
        <v>4.34</v>
      </c>
      <c r="W51" s="74">
        <v>309.0</v>
      </c>
      <c r="X51" s="69">
        <v>28.0</v>
      </c>
      <c r="Y51" s="69">
        <v>28.0</v>
      </c>
      <c r="Z51" s="69">
        <v>23.0</v>
      </c>
      <c r="AA51" s="69">
        <v>5.0</v>
      </c>
      <c r="AB51" s="84">
        <v>237.0</v>
      </c>
      <c r="AC51" s="69">
        <v>49.0</v>
      </c>
      <c r="AD51" s="69">
        <v>49.0</v>
      </c>
      <c r="AE51" s="69">
        <v>47.0</v>
      </c>
      <c r="AF51" s="69">
        <v>2.0</v>
      </c>
      <c r="AG51" s="69">
        <v>40.0</v>
      </c>
      <c r="AH51" s="69">
        <v>17.0</v>
      </c>
      <c r="AI51" s="69">
        <v>16.0</v>
      </c>
      <c r="AJ51" s="69">
        <v>24.0</v>
      </c>
      <c r="AK51" s="69">
        <f t="shared" si="3"/>
        <v>546</v>
      </c>
      <c r="AL51" s="76">
        <v>110.0</v>
      </c>
      <c r="AM51" s="77">
        <f t="shared" si="4"/>
        <v>4.963636364</v>
      </c>
      <c r="AN51" s="73">
        <f t="shared" si="5"/>
        <v>25.80645161</v>
      </c>
      <c r="AO51" s="69">
        <v>42.0</v>
      </c>
      <c r="AP51" s="69">
        <v>42.0</v>
      </c>
      <c r="AQ51" s="69">
        <v>40.0</v>
      </c>
      <c r="AR51" s="69">
        <v>2.0</v>
      </c>
      <c r="AS51" s="69">
        <v>51.0</v>
      </c>
      <c r="AT51" s="69">
        <v>51.0</v>
      </c>
      <c r="AU51" s="69">
        <v>44.0</v>
      </c>
      <c r="AV51" s="69">
        <v>7.0</v>
      </c>
      <c r="AW51" s="69">
        <v>56.0</v>
      </c>
      <c r="AX51" s="69">
        <v>24.0</v>
      </c>
      <c r="AY51" s="69">
        <v>19.0</v>
      </c>
      <c r="AZ51" s="69">
        <v>32.0</v>
      </c>
      <c r="BA51" s="69">
        <v>32.0</v>
      </c>
      <c r="BB51" s="69">
        <v>4.0</v>
      </c>
      <c r="BC51" s="69">
        <v>3.0</v>
      </c>
      <c r="BD51" s="69">
        <v>29.0</v>
      </c>
      <c r="BE51" s="69">
        <v>0.0</v>
      </c>
      <c r="BF51" s="69">
        <v>0.0</v>
      </c>
      <c r="BG51" s="69"/>
      <c r="BH51" s="70"/>
      <c r="BI51" s="78">
        <v>750.0</v>
      </c>
      <c r="BJ51" s="69">
        <v>140.0</v>
      </c>
      <c r="BK51" s="79">
        <f t="shared" si="6"/>
        <v>5.357142857</v>
      </c>
      <c r="BL51" s="80">
        <f t="shared" si="7"/>
        <v>37.36263736</v>
      </c>
      <c r="BM51" s="69">
        <v>42.0</v>
      </c>
      <c r="BN51" s="69">
        <v>42.0</v>
      </c>
      <c r="BO51" s="69">
        <v>40.0</v>
      </c>
      <c r="BP51" s="69">
        <v>2.0</v>
      </c>
      <c r="BQ51" s="69">
        <v>51.0</v>
      </c>
      <c r="BR51" s="69">
        <v>51.0</v>
      </c>
      <c r="BS51" s="69">
        <v>46.0</v>
      </c>
      <c r="BT51" s="69">
        <v>5.0</v>
      </c>
      <c r="BU51" s="69">
        <v>54.0</v>
      </c>
      <c r="BV51" s="69">
        <v>28.0</v>
      </c>
      <c r="BW51" s="69">
        <v>21.0</v>
      </c>
      <c r="BX51" s="69">
        <v>30.0</v>
      </c>
      <c r="BY51" s="69">
        <v>30.0</v>
      </c>
      <c r="BZ51" s="69">
        <v>4.0</v>
      </c>
      <c r="CA51" s="69">
        <v>3.0</v>
      </c>
      <c r="CB51" s="69">
        <v>27.0</v>
      </c>
      <c r="CC51" s="69">
        <v>30.0</v>
      </c>
      <c r="CD51" s="69">
        <v>1.0</v>
      </c>
      <c r="CE51" s="69">
        <v>0.0</v>
      </c>
      <c r="CF51" s="69">
        <v>30.0</v>
      </c>
      <c r="CG51" s="69"/>
      <c r="CH51" s="69"/>
      <c r="CI51" s="70">
        <v>0.0</v>
      </c>
      <c r="CJ51" s="78">
        <v>983.0</v>
      </c>
      <c r="CK51" s="69">
        <v>140.0</v>
      </c>
      <c r="CL51" s="79">
        <f t="shared" si="8"/>
        <v>7.021428571</v>
      </c>
      <c r="CM51" s="81">
        <f t="shared" si="9"/>
        <v>31.06666667</v>
      </c>
      <c r="CN51" s="69">
        <v>42.0</v>
      </c>
      <c r="CO51" s="69">
        <v>43.0</v>
      </c>
      <c r="CP51" s="69">
        <v>41.0</v>
      </c>
      <c r="CQ51" s="69">
        <v>1.0</v>
      </c>
      <c r="CR51" s="71">
        <v>50.0</v>
      </c>
      <c r="CS51" s="69">
        <v>51.0</v>
      </c>
      <c r="CT51" s="69">
        <v>45.0</v>
      </c>
      <c r="CU51" s="69">
        <v>5.0</v>
      </c>
      <c r="CV51" s="71">
        <v>49.0</v>
      </c>
      <c r="CW51" s="69">
        <v>38.0</v>
      </c>
      <c r="CX51" s="69">
        <v>36.0</v>
      </c>
      <c r="CY51" s="69">
        <v>18.0</v>
      </c>
      <c r="CZ51" s="69"/>
      <c r="DA51" s="69">
        <v>3.0</v>
      </c>
      <c r="DB51" s="69">
        <v>5.0</v>
      </c>
      <c r="DC51" s="69"/>
      <c r="DD51" s="69">
        <v>-116.0</v>
      </c>
      <c r="DE51" s="69">
        <v>2.0</v>
      </c>
      <c r="DF51" s="69">
        <v>1.0</v>
      </c>
      <c r="DG51" s="69"/>
      <c r="DH51" s="69">
        <v>2.0</v>
      </c>
      <c r="DI51" s="69">
        <v>1.0</v>
      </c>
      <c r="DJ51" s="70"/>
      <c r="DK51" s="93">
        <v>1025.0</v>
      </c>
      <c r="DL51" s="69">
        <v>140.0</v>
      </c>
      <c r="DM51" s="77">
        <f t="shared" si="10"/>
        <v>7.321428571</v>
      </c>
      <c r="DN51" s="83">
        <f t="shared" si="11"/>
        <v>4.272634791</v>
      </c>
    </row>
    <row r="52" ht="15.75" customHeight="1">
      <c r="A52" s="69">
        <v>46.0</v>
      </c>
      <c r="B52" s="69" t="s">
        <v>438</v>
      </c>
      <c r="C52" s="69" t="s">
        <v>439</v>
      </c>
      <c r="D52" s="70" t="s">
        <v>15</v>
      </c>
      <c r="E52" s="71">
        <v>183.0</v>
      </c>
      <c r="F52" s="69">
        <v>25.0</v>
      </c>
      <c r="G52" s="69">
        <v>25.0</v>
      </c>
      <c r="H52" s="69">
        <v>22.0</v>
      </c>
      <c r="I52" s="69">
        <v>3.0</v>
      </c>
      <c r="J52" s="72">
        <v>195.0</v>
      </c>
      <c r="K52" s="69">
        <v>47.0</v>
      </c>
      <c r="L52" s="69">
        <v>47.0</v>
      </c>
      <c r="M52" s="69">
        <v>38.0</v>
      </c>
      <c r="N52" s="69">
        <v>7.0</v>
      </c>
      <c r="O52" s="72">
        <v>28.0</v>
      </c>
      <c r="P52" s="69">
        <v>37.0</v>
      </c>
      <c r="Q52" s="69">
        <v>18.0</v>
      </c>
      <c r="R52" s="69">
        <v>14.0</v>
      </c>
      <c r="S52" s="70">
        <v>26.0</v>
      </c>
      <c r="T52" s="69">
        <f t="shared" si="1"/>
        <v>406</v>
      </c>
      <c r="U52" s="69">
        <v>100.0</v>
      </c>
      <c r="V52" s="73">
        <f t="shared" si="2"/>
        <v>4.06</v>
      </c>
      <c r="W52" s="74">
        <v>212.0</v>
      </c>
      <c r="X52" s="69">
        <v>28.0</v>
      </c>
      <c r="Y52" s="69">
        <v>28.0</v>
      </c>
      <c r="Z52" s="69">
        <v>22.0</v>
      </c>
      <c r="AA52" s="69">
        <v>6.0</v>
      </c>
      <c r="AB52" s="84">
        <v>162.0</v>
      </c>
      <c r="AC52" s="69">
        <v>50.0</v>
      </c>
      <c r="AD52" s="69">
        <v>50.0</v>
      </c>
      <c r="AE52" s="69">
        <v>43.0</v>
      </c>
      <c r="AF52" s="69">
        <v>7.0</v>
      </c>
      <c r="AG52" s="69">
        <v>44.0</v>
      </c>
      <c r="AH52" s="69">
        <v>6.0</v>
      </c>
      <c r="AI52" s="69">
        <v>4.0</v>
      </c>
      <c r="AJ52" s="69">
        <v>40.0</v>
      </c>
      <c r="AK52" s="69">
        <f t="shared" si="3"/>
        <v>374</v>
      </c>
      <c r="AL52" s="76">
        <v>110.0</v>
      </c>
      <c r="AM52" s="77">
        <f t="shared" si="4"/>
        <v>3.4</v>
      </c>
      <c r="AN52" s="73">
        <f t="shared" si="5"/>
        <v>-7.881773399</v>
      </c>
      <c r="AO52" s="69">
        <v>36.0</v>
      </c>
      <c r="AP52" s="69">
        <v>36.0</v>
      </c>
      <c r="AQ52" s="69">
        <v>30.0</v>
      </c>
      <c r="AR52" s="69">
        <v>6.0</v>
      </c>
      <c r="AS52" s="69">
        <v>48.0</v>
      </c>
      <c r="AT52" s="69">
        <v>48.0</v>
      </c>
      <c r="AU52" s="69">
        <v>44.0</v>
      </c>
      <c r="AV52" s="69">
        <v>4.0</v>
      </c>
      <c r="AW52" s="69">
        <v>46.0</v>
      </c>
      <c r="AX52" s="69">
        <v>22.0</v>
      </c>
      <c r="AY52" s="69">
        <v>18.0</v>
      </c>
      <c r="AZ52" s="69">
        <v>30.0</v>
      </c>
      <c r="BA52" s="69">
        <v>30.0</v>
      </c>
      <c r="BB52" s="69">
        <v>0.0</v>
      </c>
      <c r="BC52" s="69">
        <v>0.0</v>
      </c>
      <c r="BD52" s="69">
        <v>30.0</v>
      </c>
      <c r="BE52" s="69">
        <v>0.0</v>
      </c>
      <c r="BF52" s="69">
        <v>0.0</v>
      </c>
      <c r="BG52" s="69"/>
      <c r="BH52" s="70"/>
      <c r="BI52" s="78">
        <v>583.0</v>
      </c>
      <c r="BJ52" s="69">
        <v>120.0</v>
      </c>
      <c r="BK52" s="79">
        <f t="shared" si="6"/>
        <v>4.858333333</v>
      </c>
      <c r="BL52" s="80">
        <f t="shared" si="7"/>
        <v>55.88235294</v>
      </c>
      <c r="BM52" s="69">
        <v>36.0</v>
      </c>
      <c r="BN52" s="69">
        <v>36.0</v>
      </c>
      <c r="BO52" s="69">
        <v>30.0</v>
      </c>
      <c r="BP52" s="69">
        <v>6.0</v>
      </c>
      <c r="BQ52" s="69">
        <v>48.0</v>
      </c>
      <c r="BR52" s="69">
        <v>48.0</v>
      </c>
      <c r="BS52" s="69">
        <v>46.0</v>
      </c>
      <c r="BT52" s="69">
        <v>2.0</v>
      </c>
      <c r="BU52" s="69">
        <v>44.0</v>
      </c>
      <c r="BV52" s="69">
        <v>18.0</v>
      </c>
      <c r="BW52" s="69">
        <v>13.0</v>
      </c>
      <c r="BX52" s="69">
        <v>28.0</v>
      </c>
      <c r="BY52" s="69">
        <v>28.0</v>
      </c>
      <c r="BZ52" s="69">
        <v>5.0</v>
      </c>
      <c r="CA52" s="69">
        <v>3.0</v>
      </c>
      <c r="CB52" s="69">
        <v>25.0</v>
      </c>
      <c r="CC52" s="69">
        <v>28.0</v>
      </c>
      <c r="CD52" s="69">
        <v>1.0</v>
      </c>
      <c r="CE52" s="69">
        <v>1.0</v>
      </c>
      <c r="CF52" s="69">
        <v>27.0</v>
      </c>
      <c r="CG52" s="69"/>
      <c r="CH52" s="69"/>
      <c r="CI52" s="70">
        <v>0.0</v>
      </c>
      <c r="CJ52" s="78">
        <v>717.0</v>
      </c>
      <c r="CK52" s="69">
        <v>120.0</v>
      </c>
      <c r="CL52" s="79">
        <f t="shared" si="8"/>
        <v>5.975</v>
      </c>
      <c r="CM52" s="81">
        <f t="shared" si="9"/>
        <v>22.98456261</v>
      </c>
      <c r="CN52" s="69">
        <v>36.0</v>
      </c>
      <c r="CO52" s="69">
        <v>34.0</v>
      </c>
      <c r="CP52" s="69">
        <v>32.0</v>
      </c>
      <c r="CQ52" s="69">
        <v>4.0</v>
      </c>
      <c r="CR52" s="71">
        <v>46.0</v>
      </c>
      <c r="CS52" s="69">
        <v>46.0</v>
      </c>
      <c r="CT52" s="69">
        <v>39.0</v>
      </c>
      <c r="CU52" s="69">
        <v>7.0</v>
      </c>
      <c r="CV52" s="71">
        <v>48.0</v>
      </c>
      <c r="CW52" s="69">
        <v>12.0</v>
      </c>
      <c r="CX52" s="69">
        <v>11.0</v>
      </c>
      <c r="CY52" s="69">
        <v>38.0</v>
      </c>
      <c r="CZ52" s="69"/>
      <c r="DA52" s="69">
        <v>2.0</v>
      </c>
      <c r="DB52" s="69">
        <v>1.0</v>
      </c>
      <c r="DC52" s="69"/>
      <c r="DD52" s="69">
        <v>-71.0</v>
      </c>
      <c r="DE52" s="69">
        <v>1.0</v>
      </c>
      <c r="DF52" s="69">
        <v>1.0</v>
      </c>
      <c r="DG52" s="69"/>
      <c r="DH52" s="69">
        <v>0.0</v>
      </c>
      <c r="DI52" s="69">
        <v>0.0</v>
      </c>
      <c r="DJ52" s="70"/>
      <c r="DK52" s="93">
        <v>643.0</v>
      </c>
      <c r="DL52" s="69">
        <v>120.0</v>
      </c>
      <c r="DM52" s="77">
        <f t="shared" si="10"/>
        <v>5.358333333</v>
      </c>
      <c r="DN52" s="83">
        <f t="shared" si="11"/>
        <v>-10.32078103</v>
      </c>
    </row>
    <row r="53" ht="15.75" customHeight="1">
      <c r="A53" s="69">
        <v>47.0</v>
      </c>
      <c r="B53" s="69" t="s">
        <v>441</v>
      </c>
      <c r="C53" s="69" t="s">
        <v>442</v>
      </c>
      <c r="D53" s="70" t="s">
        <v>15</v>
      </c>
      <c r="E53" s="71">
        <v>127.0</v>
      </c>
      <c r="F53" s="69">
        <v>25.0</v>
      </c>
      <c r="G53" s="69">
        <v>25.0</v>
      </c>
      <c r="H53" s="69">
        <v>22.0</v>
      </c>
      <c r="I53" s="69">
        <v>3.0</v>
      </c>
      <c r="J53" s="72">
        <v>117.0</v>
      </c>
      <c r="K53" s="69">
        <v>48.0</v>
      </c>
      <c r="L53" s="69">
        <v>48.0</v>
      </c>
      <c r="M53" s="69">
        <v>42.0</v>
      </c>
      <c r="N53" s="69">
        <v>5.0</v>
      </c>
      <c r="O53" s="72">
        <v>32.0</v>
      </c>
      <c r="P53" s="69">
        <v>35.0</v>
      </c>
      <c r="Q53" s="69">
        <v>22.0</v>
      </c>
      <c r="R53" s="69">
        <v>15.0</v>
      </c>
      <c r="S53" s="70">
        <v>21.0</v>
      </c>
      <c r="T53" s="69">
        <f t="shared" si="1"/>
        <v>276</v>
      </c>
      <c r="U53" s="69">
        <v>100.0</v>
      </c>
      <c r="V53" s="73">
        <f t="shared" si="2"/>
        <v>2.76</v>
      </c>
      <c r="W53" s="74">
        <v>149.0</v>
      </c>
      <c r="X53" s="69">
        <v>28.0</v>
      </c>
      <c r="Y53" s="69">
        <v>28.0</v>
      </c>
      <c r="Z53" s="69">
        <v>23.0</v>
      </c>
      <c r="AA53" s="69">
        <v>5.0</v>
      </c>
      <c r="AB53" s="84">
        <v>137.0</v>
      </c>
      <c r="AC53" s="69">
        <v>49.0</v>
      </c>
      <c r="AD53" s="69">
        <v>49.0</v>
      </c>
      <c r="AE53" s="69">
        <v>41.0</v>
      </c>
      <c r="AF53" s="69">
        <v>8.0</v>
      </c>
      <c r="AG53" s="69">
        <v>44.0</v>
      </c>
      <c r="AH53" s="69">
        <v>16.0</v>
      </c>
      <c r="AI53" s="69">
        <v>12.0</v>
      </c>
      <c r="AJ53" s="69">
        <v>32.0</v>
      </c>
      <c r="AK53" s="69">
        <f t="shared" si="3"/>
        <v>286</v>
      </c>
      <c r="AL53" s="76">
        <v>110.0</v>
      </c>
      <c r="AM53" s="77">
        <f t="shared" si="4"/>
        <v>2.6</v>
      </c>
      <c r="AN53" s="73">
        <f t="shared" si="5"/>
        <v>3.623188406</v>
      </c>
      <c r="AO53" s="69">
        <v>48.0</v>
      </c>
      <c r="AP53" s="69">
        <v>48.0</v>
      </c>
      <c r="AQ53" s="69">
        <v>46.0</v>
      </c>
      <c r="AR53" s="69">
        <v>2.0</v>
      </c>
      <c r="AS53" s="69">
        <v>58.0</v>
      </c>
      <c r="AT53" s="69">
        <v>58.0</v>
      </c>
      <c r="AU53" s="69">
        <v>51.0</v>
      </c>
      <c r="AV53" s="69">
        <v>7.0</v>
      </c>
      <c r="AW53" s="69">
        <v>63.0</v>
      </c>
      <c r="AX53" s="69">
        <v>21.0</v>
      </c>
      <c r="AY53" s="69">
        <v>10.0</v>
      </c>
      <c r="AZ53" s="69">
        <v>48.0</v>
      </c>
      <c r="BA53" s="69">
        <v>48.0</v>
      </c>
      <c r="BB53" s="69">
        <v>1.0</v>
      </c>
      <c r="BC53" s="69">
        <v>0.0</v>
      </c>
      <c r="BD53" s="69">
        <v>48.0</v>
      </c>
      <c r="BE53" s="69">
        <v>0.0</v>
      </c>
      <c r="BF53" s="69">
        <v>0.0</v>
      </c>
      <c r="BG53" s="69"/>
      <c r="BH53" s="70"/>
      <c r="BI53" s="78">
        <v>347.0</v>
      </c>
      <c r="BJ53" s="69">
        <v>160.0</v>
      </c>
      <c r="BK53" s="79">
        <f t="shared" si="6"/>
        <v>2.16875</v>
      </c>
      <c r="BL53" s="80">
        <f t="shared" si="7"/>
        <v>21.32867133</v>
      </c>
      <c r="BM53" s="69">
        <v>48.0</v>
      </c>
      <c r="BN53" s="69">
        <v>48.0</v>
      </c>
      <c r="BO53" s="69">
        <v>47.0</v>
      </c>
      <c r="BP53" s="69">
        <v>1.0</v>
      </c>
      <c r="BQ53" s="69">
        <v>57.0</v>
      </c>
      <c r="BR53" s="69">
        <v>57.0</v>
      </c>
      <c r="BS53" s="69">
        <v>43.0</v>
      </c>
      <c r="BT53" s="69">
        <v>14.0</v>
      </c>
      <c r="BU53" s="69">
        <v>70.0</v>
      </c>
      <c r="BV53" s="69">
        <v>16.0</v>
      </c>
      <c r="BW53" s="69">
        <v>10.0</v>
      </c>
      <c r="BX53" s="69">
        <v>57.0</v>
      </c>
      <c r="BY53" s="69">
        <v>57.0</v>
      </c>
      <c r="BZ53" s="69">
        <v>4.0</v>
      </c>
      <c r="CA53" s="69">
        <v>3.0</v>
      </c>
      <c r="CB53" s="69">
        <v>54.0</v>
      </c>
      <c r="CC53" s="69">
        <v>56.0</v>
      </c>
      <c r="CD53" s="69">
        <v>2.0</v>
      </c>
      <c r="CE53" s="69">
        <v>1.0</v>
      </c>
      <c r="CF53" s="69">
        <v>55.0</v>
      </c>
      <c r="CG53" s="69">
        <v>1.0</v>
      </c>
      <c r="CH53" s="69"/>
      <c r="CI53" s="70">
        <v>1.0</v>
      </c>
      <c r="CJ53" s="78">
        <v>460.0</v>
      </c>
      <c r="CK53" s="69">
        <v>160.0</v>
      </c>
      <c r="CL53" s="79">
        <f t="shared" si="8"/>
        <v>2.875</v>
      </c>
      <c r="CM53" s="81">
        <f t="shared" si="9"/>
        <v>32.5648415</v>
      </c>
      <c r="CN53" s="69">
        <v>48.0</v>
      </c>
      <c r="CO53" s="69">
        <v>50.0</v>
      </c>
      <c r="CP53" s="69">
        <v>48.0</v>
      </c>
      <c r="CQ53" s="69">
        <v>0.0</v>
      </c>
      <c r="CR53" s="71">
        <v>56.0</v>
      </c>
      <c r="CS53" s="69">
        <v>56.0</v>
      </c>
      <c r="CT53" s="69">
        <v>42.0</v>
      </c>
      <c r="CU53" s="69">
        <v>14.0</v>
      </c>
      <c r="CV53" s="71">
        <v>69.0</v>
      </c>
      <c r="CW53" s="69">
        <v>21.0</v>
      </c>
      <c r="CX53" s="69">
        <v>12.0</v>
      </c>
      <c r="CY53" s="69">
        <v>58.0</v>
      </c>
      <c r="CZ53" s="69"/>
      <c r="DA53" s="69">
        <v>0.0</v>
      </c>
      <c r="DB53" s="69">
        <v>1.0</v>
      </c>
      <c r="DC53" s="69"/>
      <c r="DD53" s="69">
        <v>-88.0</v>
      </c>
      <c r="DE53" s="69">
        <v>1.0</v>
      </c>
      <c r="DF53" s="69">
        <v>0.0</v>
      </c>
      <c r="DG53" s="69"/>
      <c r="DH53" s="69">
        <v>0.0</v>
      </c>
      <c r="DI53" s="69">
        <v>0.0</v>
      </c>
      <c r="DJ53" s="70"/>
      <c r="DK53" s="93">
        <v>404.0</v>
      </c>
      <c r="DL53" s="69">
        <v>160.0</v>
      </c>
      <c r="DM53" s="77">
        <f t="shared" si="10"/>
        <v>2.525</v>
      </c>
      <c r="DN53" s="83">
        <f t="shared" si="11"/>
        <v>-12.17391304</v>
      </c>
    </row>
    <row r="54" ht="15.75" customHeight="1">
      <c r="A54" s="69">
        <v>48.0</v>
      </c>
      <c r="B54" s="69" t="s">
        <v>443</v>
      </c>
      <c r="C54" s="69" t="s">
        <v>444</v>
      </c>
      <c r="D54" s="70" t="s">
        <v>15</v>
      </c>
      <c r="E54" s="71">
        <v>148.0</v>
      </c>
      <c r="F54" s="69">
        <v>25.0</v>
      </c>
      <c r="G54" s="69">
        <v>25.0</v>
      </c>
      <c r="H54" s="69">
        <v>23.0</v>
      </c>
      <c r="I54" s="69">
        <v>2.0</v>
      </c>
      <c r="J54" s="72">
        <v>120.0</v>
      </c>
      <c r="K54" s="69">
        <v>46.0</v>
      </c>
      <c r="L54" s="69">
        <v>46.0</v>
      </c>
      <c r="M54" s="69">
        <v>41.0</v>
      </c>
      <c r="N54" s="69">
        <v>4.0</v>
      </c>
      <c r="O54" s="72">
        <v>26.0</v>
      </c>
      <c r="P54" s="69">
        <v>34.0</v>
      </c>
      <c r="Q54" s="69">
        <v>11.0</v>
      </c>
      <c r="R54" s="69">
        <v>7.0</v>
      </c>
      <c r="S54" s="70">
        <v>29.0</v>
      </c>
      <c r="T54" s="69">
        <f t="shared" si="1"/>
        <v>294</v>
      </c>
      <c r="U54" s="69">
        <v>100.0</v>
      </c>
      <c r="V54" s="73">
        <f t="shared" si="2"/>
        <v>2.94</v>
      </c>
      <c r="W54" s="74">
        <v>190.0</v>
      </c>
      <c r="X54" s="69">
        <v>28.0</v>
      </c>
      <c r="Y54" s="69">
        <v>29.0</v>
      </c>
      <c r="Z54" s="69">
        <v>23.0</v>
      </c>
      <c r="AA54" s="69">
        <v>5.0</v>
      </c>
      <c r="AB54" s="84">
        <v>106.0</v>
      </c>
      <c r="AC54" s="69">
        <v>49.0</v>
      </c>
      <c r="AD54" s="69">
        <v>49.0</v>
      </c>
      <c r="AE54" s="69">
        <v>47.0</v>
      </c>
      <c r="AF54" s="69">
        <v>2.0</v>
      </c>
      <c r="AG54" s="69">
        <v>40.0</v>
      </c>
      <c r="AH54" s="69">
        <v>14.0</v>
      </c>
      <c r="AI54" s="69">
        <v>12.0</v>
      </c>
      <c r="AJ54" s="69">
        <v>28.0</v>
      </c>
      <c r="AK54" s="69">
        <f t="shared" si="3"/>
        <v>296</v>
      </c>
      <c r="AL54" s="76">
        <v>110.0</v>
      </c>
      <c r="AM54" s="77">
        <f t="shared" si="4"/>
        <v>2.690909091</v>
      </c>
      <c r="AN54" s="73">
        <f t="shared" si="5"/>
        <v>0.6802721088</v>
      </c>
      <c r="AO54" s="69">
        <v>48.0</v>
      </c>
      <c r="AP54" s="69">
        <v>48.0</v>
      </c>
      <c r="AQ54" s="69">
        <v>42.0</v>
      </c>
      <c r="AR54" s="69">
        <v>6.0</v>
      </c>
      <c r="AS54" s="69">
        <v>62.0</v>
      </c>
      <c r="AT54" s="69">
        <v>62.0</v>
      </c>
      <c r="AU54" s="69">
        <v>54.0</v>
      </c>
      <c r="AV54" s="69">
        <v>8.0</v>
      </c>
      <c r="AW54" s="69">
        <v>64.0</v>
      </c>
      <c r="AX54" s="69">
        <v>9.0</v>
      </c>
      <c r="AY54" s="69">
        <v>6.0</v>
      </c>
      <c r="AZ54" s="69">
        <v>56.0</v>
      </c>
      <c r="BA54" s="69">
        <v>56.0</v>
      </c>
      <c r="BB54" s="69">
        <v>0.0</v>
      </c>
      <c r="BC54" s="69">
        <v>0.0</v>
      </c>
      <c r="BD54" s="69">
        <v>56.0</v>
      </c>
      <c r="BE54" s="69">
        <v>1.0</v>
      </c>
      <c r="BF54" s="69">
        <v>0.0</v>
      </c>
      <c r="BG54" s="69"/>
      <c r="BH54" s="70"/>
      <c r="BI54" s="78">
        <v>355.0</v>
      </c>
      <c r="BJ54" s="69">
        <v>160.0</v>
      </c>
      <c r="BK54" s="79">
        <f t="shared" si="6"/>
        <v>2.21875</v>
      </c>
      <c r="BL54" s="80">
        <f t="shared" si="7"/>
        <v>19.93243243</v>
      </c>
      <c r="BM54" s="69">
        <v>48.0</v>
      </c>
      <c r="BN54" s="69">
        <v>48.0</v>
      </c>
      <c r="BO54" s="69">
        <v>41.0</v>
      </c>
      <c r="BP54" s="69">
        <v>7.0</v>
      </c>
      <c r="BQ54" s="69">
        <v>63.0</v>
      </c>
      <c r="BR54" s="69">
        <v>63.0</v>
      </c>
      <c r="BS54" s="69">
        <v>58.0</v>
      </c>
      <c r="BT54" s="69">
        <v>5.0</v>
      </c>
      <c r="BU54" s="69">
        <v>61.0</v>
      </c>
      <c r="BV54" s="69">
        <v>12.0</v>
      </c>
      <c r="BW54" s="69">
        <v>11.0</v>
      </c>
      <c r="BX54" s="69">
        <v>49.0</v>
      </c>
      <c r="BY54" s="69">
        <v>49.0</v>
      </c>
      <c r="BZ54" s="69">
        <v>1.0</v>
      </c>
      <c r="CA54" s="69">
        <v>1.0</v>
      </c>
      <c r="CB54" s="69">
        <v>48.0</v>
      </c>
      <c r="CC54" s="69">
        <v>49.0</v>
      </c>
      <c r="CD54" s="69">
        <v>0.0</v>
      </c>
      <c r="CE54" s="69">
        <v>0.0</v>
      </c>
      <c r="CF54" s="69">
        <v>49.0</v>
      </c>
      <c r="CG54" s="69"/>
      <c r="CH54" s="69"/>
      <c r="CI54" s="70">
        <v>0.0</v>
      </c>
      <c r="CJ54" s="78">
        <v>499.0</v>
      </c>
      <c r="CK54" s="69">
        <v>160.0</v>
      </c>
      <c r="CL54" s="79">
        <f t="shared" si="8"/>
        <v>3.11875</v>
      </c>
      <c r="CM54" s="81">
        <f t="shared" si="9"/>
        <v>40.56338028</v>
      </c>
      <c r="CN54" s="69">
        <v>48.0</v>
      </c>
      <c r="CO54" s="69">
        <v>47.0</v>
      </c>
      <c r="CP54" s="69">
        <v>47.0</v>
      </c>
      <c r="CQ54" s="69">
        <v>1.0</v>
      </c>
      <c r="CR54" s="71">
        <v>57.0</v>
      </c>
      <c r="CS54" s="69">
        <v>57.0</v>
      </c>
      <c r="CT54" s="69">
        <v>54.0</v>
      </c>
      <c r="CU54" s="69">
        <v>3.0</v>
      </c>
      <c r="CV54" s="71">
        <v>57.0</v>
      </c>
      <c r="CW54" s="69">
        <v>23.0</v>
      </c>
      <c r="CX54" s="69">
        <v>16.0</v>
      </c>
      <c r="CY54" s="69">
        <v>43.0</v>
      </c>
      <c r="CZ54" s="69"/>
      <c r="DA54" s="69">
        <v>2.0</v>
      </c>
      <c r="DB54" s="69">
        <v>2.0</v>
      </c>
      <c r="DC54" s="69"/>
      <c r="DD54" s="69">
        <v>-113.0</v>
      </c>
      <c r="DE54" s="69">
        <v>0.0</v>
      </c>
      <c r="DF54" s="69">
        <v>0.0</v>
      </c>
      <c r="DG54" s="69"/>
      <c r="DH54" s="69">
        <v>0.0</v>
      </c>
      <c r="DI54" s="69">
        <v>0.0</v>
      </c>
      <c r="DJ54" s="70"/>
      <c r="DK54" s="93">
        <v>494.0</v>
      </c>
      <c r="DL54" s="69">
        <v>160.0</v>
      </c>
      <c r="DM54" s="77">
        <f t="shared" si="10"/>
        <v>3.0875</v>
      </c>
      <c r="DN54" s="83">
        <f t="shared" si="11"/>
        <v>-1.002004008</v>
      </c>
    </row>
    <row r="55" ht="15.75" customHeight="1">
      <c r="A55" s="69">
        <v>49.0</v>
      </c>
      <c r="B55" s="69" t="s">
        <v>445</v>
      </c>
      <c r="C55" s="69" t="s">
        <v>446</v>
      </c>
      <c r="D55" s="70" t="s">
        <v>15</v>
      </c>
      <c r="E55" s="71">
        <v>208.0</v>
      </c>
      <c r="F55" s="69">
        <v>23.0</v>
      </c>
      <c r="G55" s="69">
        <v>23.0</v>
      </c>
      <c r="H55" s="69">
        <v>22.0</v>
      </c>
      <c r="I55" s="69">
        <v>1.0</v>
      </c>
      <c r="J55" s="72">
        <v>257.0</v>
      </c>
      <c r="K55" s="69">
        <v>40.0</v>
      </c>
      <c r="L55" s="69">
        <v>41.0</v>
      </c>
      <c r="M55" s="69">
        <v>28.0</v>
      </c>
      <c r="N55" s="69">
        <v>7.0</v>
      </c>
      <c r="O55" s="72">
        <v>36.0</v>
      </c>
      <c r="P55" s="69">
        <v>34.0</v>
      </c>
      <c r="Q55" s="69">
        <v>21.0</v>
      </c>
      <c r="R55" s="69">
        <v>14.0</v>
      </c>
      <c r="S55" s="70">
        <v>26.0</v>
      </c>
      <c r="T55" s="69">
        <f t="shared" si="1"/>
        <v>501</v>
      </c>
      <c r="U55" s="69">
        <v>90.0</v>
      </c>
      <c r="V55" s="73">
        <f t="shared" si="2"/>
        <v>5.566666667</v>
      </c>
      <c r="W55" s="74">
        <v>328.0</v>
      </c>
      <c r="X55" s="69">
        <v>25.0</v>
      </c>
      <c r="Y55" s="69">
        <v>25.0</v>
      </c>
      <c r="Z55" s="69">
        <v>20.0</v>
      </c>
      <c r="AA55" s="69">
        <v>5.0</v>
      </c>
      <c r="AB55" s="84">
        <v>320.0</v>
      </c>
      <c r="AC55" s="69">
        <v>45.0</v>
      </c>
      <c r="AD55" s="69">
        <v>45.0</v>
      </c>
      <c r="AE55" s="69">
        <v>42.0</v>
      </c>
      <c r="AF55" s="69">
        <v>3.0</v>
      </c>
      <c r="AG55" s="69">
        <v>38.0</v>
      </c>
      <c r="AH55" s="69">
        <v>24.0</v>
      </c>
      <c r="AI55" s="69">
        <v>20.0</v>
      </c>
      <c r="AJ55" s="69">
        <v>18.0</v>
      </c>
      <c r="AK55" s="69">
        <f t="shared" si="3"/>
        <v>648</v>
      </c>
      <c r="AL55" s="76">
        <v>100.0</v>
      </c>
      <c r="AM55" s="77">
        <f t="shared" si="4"/>
        <v>6.48</v>
      </c>
      <c r="AN55" s="73">
        <f t="shared" si="5"/>
        <v>29.34131737</v>
      </c>
      <c r="AO55" s="69">
        <v>48.0</v>
      </c>
      <c r="AP55" s="69">
        <v>48.0</v>
      </c>
      <c r="AQ55" s="69">
        <v>41.0</v>
      </c>
      <c r="AR55" s="69">
        <v>7.0</v>
      </c>
      <c r="AS55" s="69">
        <v>63.0</v>
      </c>
      <c r="AT55" s="69">
        <v>63.0</v>
      </c>
      <c r="AU55" s="69">
        <v>54.0</v>
      </c>
      <c r="AV55" s="69">
        <v>9.0</v>
      </c>
      <c r="AW55" s="69">
        <v>65.0</v>
      </c>
      <c r="AX55" s="69">
        <v>43.0</v>
      </c>
      <c r="AY55" s="69">
        <v>34.0</v>
      </c>
      <c r="AZ55" s="69">
        <v>29.0</v>
      </c>
      <c r="BA55" s="69">
        <v>29.0</v>
      </c>
      <c r="BB55" s="69">
        <v>3.0</v>
      </c>
      <c r="BC55" s="69">
        <v>3.0</v>
      </c>
      <c r="BD55" s="69">
        <v>26.0</v>
      </c>
      <c r="BE55" s="69">
        <v>1.0</v>
      </c>
      <c r="BF55" s="69">
        <v>1.0</v>
      </c>
      <c r="BG55" s="69"/>
      <c r="BH55" s="70"/>
      <c r="BI55" s="78">
        <v>920.0</v>
      </c>
      <c r="BJ55" s="69">
        <v>160.0</v>
      </c>
      <c r="BK55" s="79">
        <f t="shared" si="6"/>
        <v>5.75</v>
      </c>
      <c r="BL55" s="80">
        <f t="shared" si="7"/>
        <v>41.97530864</v>
      </c>
      <c r="BM55" s="69">
        <v>48.0</v>
      </c>
      <c r="BN55" s="69">
        <v>48.0</v>
      </c>
      <c r="BO55" s="69">
        <v>45.0</v>
      </c>
      <c r="BP55" s="69">
        <v>3.0</v>
      </c>
      <c r="BQ55" s="69">
        <v>59.0</v>
      </c>
      <c r="BR55" s="69">
        <v>59.0</v>
      </c>
      <c r="BS55" s="69">
        <v>53.0</v>
      </c>
      <c r="BT55" s="69">
        <v>6.0</v>
      </c>
      <c r="BU55" s="69">
        <v>62.0</v>
      </c>
      <c r="BV55" s="69">
        <v>24.0</v>
      </c>
      <c r="BW55" s="69">
        <v>21.0</v>
      </c>
      <c r="BX55" s="69">
        <v>36.0</v>
      </c>
      <c r="BY55" s="69">
        <v>36.0</v>
      </c>
      <c r="BZ55" s="69">
        <v>6.0</v>
      </c>
      <c r="CA55" s="69">
        <v>5.0</v>
      </c>
      <c r="CB55" s="69">
        <v>31.0</v>
      </c>
      <c r="CC55" s="69">
        <v>36.0</v>
      </c>
      <c r="CD55" s="69">
        <v>0.0</v>
      </c>
      <c r="CE55" s="69">
        <v>0.0</v>
      </c>
      <c r="CF55" s="69">
        <v>36.0</v>
      </c>
      <c r="CG55" s="69"/>
      <c r="CH55" s="69"/>
      <c r="CI55" s="70">
        <v>0.0</v>
      </c>
      <c r="CJ55" s="78">
        <v>1049.0</v>
      </c>
      <c r="CK55" s="69">
        <v>160.0</v>
      </c>
      <c r="CL55" s="79">
        <f t="shared" si="8"/>
        <v>6.55625</v>
      </c>
      <c r="CM55" s="81">
        <f t="shared" si="9"/>
        <v>14.02173913</v>
      </c>
      <c r="CN55" s="69">
        <v>48.0</v>
      </c>
      <c r="CO55" s="69">
        <v>45.0</v>
      </c>
      <c r="CP55" s="69">
        <v>45.0</v>
      </c>
      <c r="CQ55" s="69">
        <v>3.0</v>
      </c>
      <c r="CR55" s="71">
        <v>59.0</v>
      </c>
      <c r="CS55" s="69">
        <v>58.0</v>
      </c>
      <c r="CT55" s="69">
        <v>50.0</v>
      </c>
      <c r="CU55" s="69">
        <v>9.0</v>
      </c>
      <c r="CV55" s="71">
        <v>56.0</v>
      </c>
      <c r="CW55" s="69">
        <v>38.0</v>
      </c>
      <c r="CX55" s="69">
        <v>27.0</v>
      </c>
      <c r="CY55" s="69">
        <v>38.0</v>
      </c>
      <c r="CZ55" s="69"/>
      <c r="DA55" s="69">
        <v>15.0</v>
      </c>
      <c r="DB55" s="69">
        <v>9.0</v>
      </c>
      <c r="DC55" s="69"/>
      <c r="DD55" s="69">
        <v>-110.0</v>
      </c>
      <c r="DE55" s="69">
        <v>2.0</v>
      </c>
      <c r="DF55" s="69">
        <v>2.0</v>
      </c>
      <c r="DG55" s="69"/>
      <c r="DH55" s="69">
        <v>1.0</v>
      </c>
      <c r="DI55" s="69">
        <v>1.0</v>
      </c>
      <c r="DJ55" s="70"/>
      <c r="DK55" s="93">
        <v>1294.0</v>
      </c>
      <c r="DL55" s="69">
        <v>160.0</v>
      </c>
      <c r="DM55" s="77">
        <f t="shared" si="10"/>
        <v>8.0875</v>
      </c>
      <c r="DN55" s="83">
        <f t="shared" si="11"/>
        <v>23.35557674</v>
      </c>
    </row>
    <row r="56" ht="15.75" customHeight="1">
      <c r="A56" s="69">
        <v>50.0</v>
      </c>
      <c r="B56" s="69" t="s">
        <v>447</v>
      </c>
      <c r="C56" s="69" t="s">
        <v>448</v>
      </c>
      <c r="D56" s="70" t="s">
        <v>15</v>
      </c>
      <c r="E56" s="71">
        <v>248.0</v>
      </c>
      <c r="F56" s="69">
        <v>30.0</v>
      </c>
      <c r="G56" s="69">
        <v>30.0</v>
      </c>
      <c r="H56" s="69">
        <v>29.0</v>
      </c>
      <c r="I56" s="69">
        <v>1.0</v>
      </c>
      <c r="J56" s="72">
        <v>332.0</v>
      </c>
      <c r="K56" s="69">
        <v>55.0</v>
      </c>
      <c r="L56" s="69">
        <v>55.0</v>
      </c>
      <c r="M56" s="69">
        <v>53.0</v>
      </c>
      <c r="N56" s="69">
        <v>1.0</v>
      </c>
      <c r="O56" s="72">
        <v>71.0</v>
      </c>
      <c r="P56" s="69">
        <v>37.0</v>
      </c>
      <c r="Q56" s="69">
        <v>38.0</v>
      </c>
      <c r="R56" s="69">
        <v>31.0</v>
      </c>
      <c r="S56" s="70">
        <v>7.0</v>
      </c>
      <c r="T56" s="69">
        <f t="shared" si="1"/>
        <v>651</v>
      </c>
      <c r="U56" s="69">
        <v>120.0</v>
      </c>
      <c r="V56" s="73">
        <f t="shared" si="2"/>
        <v>5.425</v>
      </c>
      <c r="W56" s="74">
        <v>351.0</v>
      </c>
      <c r="X56" s="69">
        <v>30.0</v>
      </c>
      <c r="Y56" s="69">
        <v>30.0</v>
      </c>
      <c r="Z56" s="69">
        <v>28.0</v>
      </c>
      <c r="AA56" s="69">
        <v>2.0</v>
      </c>
      <c r="AB56" s="84">
        <v>361.0</v>
      </c>
      <c r="AC56" s="69">
        <v>50.0</v>
      </c>
      <c r="AD56" s="69">
        <v>50.0</v>
      </c>
      <c r="AE56" s="69">
        <v>42.0</v>
      </c>
      <c r="AF56" s="69">
        <v>8.0</v>
      </c>
      <c r="AG56" s="69">
        <v>47.0</v>
      </c>
      <c r="AH56" s="69">
        <v>46.0</v>
      </c>
      <c r="AI56" s="69">
        <v>34.0</v>
      </c>
      <c r="AJ56" s="69">
        <v>13.0</v>
      </c>
      <c r="AK56" s="69">
        <f t="shared" si="3"/>
        <v>712</v>
      </c>
      <c r="AL56" s="76">
        <v>120.0</v>
      </c>
      <c r="AM56" s="77">
        <f t="shared" si="4"/>
        <v>5.933333333</v>
      </c>
      <c r="AN56" s="73">
        <f t="shared" si="5"/>
        <v>9.370199693</v>
      </c>
      <c r="AO56" s="69">
        <v>48.0</v>
      </c>
      <c r="AP56" s="69">
        <v>48.0</v>
      </c>
      <c r="AQ56" s="69">
        <v>45.0</v>
      </c>
      <c r="AR56" s="69">
        <v>3.0</v>
      </c>
      <c r="AS56" s="69">
        <v>59.0</v>
      </c>
      <c r="AT56" s="69">
        <v>59.0</v>
      </c>
      <c r="AU56" s="69">
        <v>54.0</v>
      </c>
      <c r="AV56" s="69">
        <v>5.0</v>
      </c>
      <c r="AW56" s="69">
        <v>61.0</v>
      </c>
      <c r="AX56" s="69">
        <v>50.0</v>
      </c>
      <c r="AY56" s="69">
        <v>30.0</v>
      </c>
      <c r="AZ56" s="69">
        <v>29.0</v>
      </c>
      <c r="BA56" s="69">
        <v>29.0</v>
      </c>
      <c r="BB56" s="69">
        <v>6.0</v>
      </c>
      <c r="BC56" s="69">
        <v>6.0</v>
      </c>
      <c r="BD56" s="69">
        <v>23.0</v>
      </c>
      <c r="BE56" s="69">
        <v>1.0</v>
      </c>
      <c r="BF56" s="69">
        <v>1.0</v>
      </c>
      <c r="BG56" s="69"/>
      <c r="BH56" s="70"/>
      <c r="BI56" s="78">
        <v>874.0</v>
      </c>
      <c r="BJ56" s="69">
        <v>160.0</v>
      </c>
      <c r="BK56" s="79">
        <f t="shared" si="6"/>
        <v>5.4625</v>
      </c>
      <c r="BL56" s="80">
        <f t="shared" si="7"/>
        <v>22.75280899</v>
      </c>
      <c r="BM56" s="69">
        <v>48.0</v>
      </c>
      <c r="BN56" s="69">
        <v>48.0</v>
      </c>
      <c r="BO56" s="69">
        <v>43.0</v>
      </c>
      <c r="BP56" s="69">
        <v>5.0</v>
      </c>
      <c r="BQ56" s="69">
        <v>61.0</v>
      </c>
      <c r="BR56" s="69">
        <v>61.0</v>
      </c>
      <c r="BS56" s="69">
        <v>56.0</v>
      </c>
      <c r="BT56" s="69">
        <v>5.0</v>
      </c>
      <c r="BU56" s="69">
        <v>61.0</v>
      </c>
      <c r="BV56" s="69">
        <v>56.0</v>
      </c>
      <c r="BW56" s="69">
        <v>48.0</v>
      </c>
      <c r="BX56" s="69">
        <v>8.0</v>
      </c>
      <c r="BY56" s="69">
        <v>8.0</v>
      </c>
      <c r="BZ56" s="69">
        <v>7.0</v>
      </c>
      <c r="CA56" s="69">
        <v>5.0</v>
      </c>
      <c r="CB56" s="69">
        <v>3.0</v>
      </c>
      <c r="CC56" s="69">
        <v>8.0</v>
      </c>
      <c r="CD56" s="69">
        <v>5.0</v>
      </c>
      <c r="CE56" s="69">
        <v>2.0</v>
      </c>
      <c r="CF56" s="69">
        <v>6.0</v>
      </c>
      <c r="CG56" s="69"/>
      <c r="CH56" s="69"/>
      <c r="CI56" s="70">
        <v>0.0</v>
      </c>
      <c r="CJ56" s="78">
        <v>1029.0</v>
      </c>
      <c r="CK56" s="69">
        <v>160.0</v>
      </c>
      <c r="CL56" s="79">
        <f t="shared" si="8"/>
        <v>6.43125</v>
      </c>
      <c r="CM56" s="81">
        <f t="shared" si="9"/>
        <v>17.73455378</v>
      </c>
      <c r="CN56" s="69">
        <v>48.0</v>
      </c>
      <c r="CO56" s="69">
        <v>47.0</v>
      </c>
      <c r="CP56" s="69">
        <v>46.0</v>
      </c>
      <c r="CQ56" s="69">
        <v>2.0</v>
      </c>
      <c r="CR56" s="71">
        <v>58.0</v>
      </c>
      <c r="CS56" s="69">
        <v>58.0</v>
      </c>
      <c r="CT56" s="69">
        <v>52.0</v>
      </c>
      <c r="CU56" s="69">
        <v>6.0</v>
      </c>
      <c r="CV56" s="71">
        <v>58.0</v>
      </c>
      <c r="CW56" s="69">
        <v>58.0</v>
      </c>
      <c r="CX56" s="69">
        <v>45.0</v>
      </c>
      <c r="CY56" s="69">
        <v>17.0</v>
      </c>
      <c r="CZ56" s="69"/>
      <c r="DA56" s="69">
        <v>24.0</v>
      </c>
      <c r="DB56" s="69">
        <v>4.0</v>
      </c>
      <c r="DC56" s="69"/>
      <c r="DD56" s="69">
        <v>-135.0</v>
      </c>
      <c r="DE56" s="69">
        <v>3.0</v>
      </c>
      <c r="DF56" s="69">
        <v>1.0</v>
      </c>
      <c r="DG56" s="69"/>
      <c r="DH56" s="69">
        <v>2.0</v>
      </c>
      <c r="DI56" s="69">
        <v>1.0</v>
      </c>
      <c r="DJ56" s="70"/>
      <c r="DK56" s="93">
        <v>1111.0</v>
      </c>
      <c r="DL56" s="69">
        <v>160.0</v>
      </c>
      <c r="DM56" s="77">
        <f t="shared" si="10"/>
        <v>6.94375</v>
      </c>
      <c r="DN56" s="83">
        <f t="shared" si="11"/>
        <v>7.968901846</v>
      </c>
    </row>
    <row r="57" ht="15.75" customHeight="1">
      <c r="A57" s="69">
        <v>51.0</v>
      </c>
      <c r="B57" s="69" t="s">
        <v>449</v>
      </c>
      <c r="C57" s="69" t="s">
        <v>450</v>
      </c>
      <c r="D57" s="70" t="s">
        <v>15</v>
      </c>
      <c r="E57" s="71">
        <v>239.0</v>
      </c>
      <c r="F57" s="69">
        <v>30.0</v>
      </c>
      <c r="G57" s="69">
        <v>30.0</v>
      </c>
      <c r="H57" s="69">
        <v>26.0</v>
      </c>
      <c r="I57" s="69">
        <v>4.0</v>
      </c>
      <c r="J57" s="72">
        <v>309.0</v>
      </c>
      <c r="K57" s="69">
        <v>57.0</v>
      </c>
      <c r="L57" s="69">
        <v>57.0</v>
      </c>
      <c r="M57" s="69">
        <v>52.0</v>
      </c>
      <c r="N57" s="69">
        <v>3.0</v>
      </c>
      <c r="O57" s="72">
        <v>64.0</v>
      </c>
      <c r="P57" s="69">
        <v>39.0</v>
      </c>
      <c r="Q57" s="69">
        <v>40.0</v>
      </c>
      <c r="R57" s="69">
        <v>24.0</v>
      </c>
      <c r="S57" s="70">
        <v>18.0</v>
      </c>
      <c r="T57" s="69">
        <f t="shared" si="1"/>
        <v>612</v>
      </c>
      <c r="U57" s="69">
        <v>120.0</v>
      </c>
      <c r="V57" s="73">
        <f t="shared" si="2"/>
        <v>5.1</v>
      </c>
      <c r="W57" s="74">
        <v>117.0</v>
      </c>
      <c r="X57" s="69">
        <v>31.0</v>
      </c>
      <c r="Y57" s="69">
        <v>31.0</v>
      </c>
      <c r="Z57" s="69">
        <v>29.0</v>
      </c>
      <c r="AA57" s="69">
        <v>2.0</v>
      </c>
      <c r="AB57" s="84">
        <v>64.0</v>
      </c>
      <c r="AC57" s="69">
        <v>52.0</v>
      </c>
      <c r="AD57" s="69">
        <v>52.0</v>
      </c>
      <c r="AE57" s="69">
        <v>46.0</v>
      </c>
      <c r="AF57" s="69">
        <v>6.0</v>
      </c>
      <c r="AG57" s="69">
        <v>49.0</v>
      </c>
      <c r="AH57" s="69">
        <v>24.0</v>
      </c>
      <c r="AI57" s="69">
        <v>19.0</v>
      </c>
      <c r="AJ57" s="69">
        <v>30.0</v>
      </c>
      <c r="AK57" s="69">
        <f t="shared" si="3"/>
        <v>181</v>
      </c>
      <c r="AL57" s="76">
        <v>125.0</v>
      </c>
      <c r="AM57" s="77">
        <f t="shared" si="4"/>
        <v>1.448</v>
      </c>
      <c r="AN57" s="73">
        <f t="shared" si="5"/>
        <v>-70.4248366</v>
      </c>
      <c r="AO57" s="69">
        <v>48.0</v>
      </c>
      <c r="AP57" s="69">
        <v>48.0</v>
      </c>
      <c r="AQ57" s="69">
        <v>46.0</v>
      </c>
      <c r="AR57" s="69">
        <v>2.0</v>
      </c>
      <c r="AS57" s="69">
        <v>58.0</v>
      </c>
      <c r="AT57" s="69">
        <v>58.0</v>
      </c>
      <c r="AU57" s="69">
        <v>55.0</v>
      </c>
      <c r="AV57" s="69">
        <v>3.0</v>
      </c>
      <c r="AW57" s="69">
        <v>59.0</v>
      </c>
      <c r="AX57" s="69">
        <v>16.0</v>
      </c>
      <c r="AY57" s="69">
        <v>15.0</v>
      </c>
      <c r="AZ57" s="69">
        <v>43.0</v>
      </c>
      <c r="BA57" s="69">
        <v>43.0</v>
      </c>
      <c r="BB57" s="69">
        <v>9.0</v>
      </c>
      <c r="BC57" s="69">
        <v>9.0</v>
      </c>
      <c r="BD57" s="69">
        <v>34.0</v>
      </c>
      <c r="BE57" s="69">
        <v>0.0</v>
      </c>
      <c r="BF57" s="69">
        <v>0.0</v>
      </c>
      <c r="BG57" s="69"/>
      <c r="BH57" s="70"/>
      <c r="BI57" s="78">
        <v>227.0</v>
      </c>
      <c r="BJ57" s="69">
        <v>160.0</v>
      </c>
      <c r="BK57" s="79">
        <f t="shared" si="6"/>
        <v>1.41875</v>
      </c>
      <c r="BL57" s="80">
        <f t="shared" si="7"/>
        <v>25.41436464</v>
      </c>
      <c r="BM57" s="69">
        <v>36.0</v>
      </c>
      <c r="BN57" s="69">
        <v>36.0</v>
      </c>
      <c r="BO57" s="69">
        <v>35.0</v>
      </c>
      <c r="BP57" s="69">
        <v>1.0</v>
      </c>
      <c r="BQ57" s="69">
        <v>43.0</v>
      </c>
      <c r="BR57" s="69">
        <v>43.0</v>
      </c>
      <c r="BS57" s="69">
        <v>42.0</v>
      </c>
      <c r="BT57" s="69">
        <v>1.0</v>
      </c>
      <c r="BU57" s="69">
        <v>43.0</v>
      </c>
      <c r="BV57" s="69">
        <v>20.0</v>
      </c>
      <c r="BW57" s="69">
        <v>15.0</v>
      </c>
      <c r="BX57" s="69">
        <v>19.0</v>
      </c>
      <c r="BY57" s="69">
        <v>19.0</v>
      </c>
      <c r="BZ57" s="69">
        <v>18.0</v>
      </c>
      <c r="CA57" s="69">
        <v>9.0</v>
      </c>
      <c r="CB57" s="69">
        <v>10.0</v>
      </c>
      <c r="CC57" s="69">
        <v>19.0</v>
      </c>
      <c r="CD57" s="69">
        <v>1.0</v>
      </c>
      <c r="CE57" s="69">
        <v>1.0</v>
      </c>
      <c r="CF57" s="69">
        <v>18.0</v>
      </c>
      <c r="CG57" s="69">
        <v>1.0</v>
      </c>
      <c r="CH57" s="69">
        <v>1.0</v>
      </c>
      <c r="CI57" s="70">
        <v>0.0</v>
      </c>
      <c r="CJ57" s="78">
        <v>426.0</v>
      </c>
      <c r="CK57" s="69">
        <v>120.0</v>
      </c>
      <c r="CL57" s="79">
        <f t="shared" si="8"/>
        <v>3.55</v>
      </c>
      <c r="CM57" s="81">
        <f t="shared" si="9"/>
        <v>87.66519824</v>
      </c>
      <c r="CN57" s="69">
        <v>36.0</v>
      </c>
      <c r="CO57" s="69">
        <v>36.0</v>
      </c>
      <c r="CP57" s="69">
        <v>35.0</v>
      </c>
      <c r="CQ57" s="69">
        <v>1.0</v>
      </c>
      <c r="CR57" s="71">
        <v>43.0</v>
      </c>
      <c r="CS57" s="69">
        <v>43.0</v>
      </c>
      <c r="CT57" s="69">
        <v>42.0</v>
      </c>
      <c r="CU57" s="69">
        <v>1.0</v>
      </c>
      <c r="CV57" s="71">
        <v>32.0</v>
      </c>
      <c r="CW57" s="69">
        <v>26.0</v>
      </c>
      <c r="CX57" s="69">
        <v>22.0</v>
      </c>
      <c r="CY57" s="69">
        <v>21.0</v>
      </c>
      <c r="CZ57" s="69"/>
      <c r="DA57" s="69">
        <v>53.0</v>
      </c>
      <c r="DB57" s="69">
        <v>11.0</v>
      </c>
      <c r="DC57" s="69"/>
      <c r="DD57" s="69">
        <v>-97.0</v>
      </c>
      <c r="DE57" s="69">
        <v>1.0</v>
      </c>
      <c r="DF57" s="69">
        <v>0.0</v>
      </c>
      <c r="DG57" s="69"/>
      <c r="DH57" s="69">
        <v>1.0</v>
      </c>
      <c r="DI57" s="69">
        <v>1.0</v>
      </c>
      <c r="DJ57" s="70"/>
      <c r="DK57" s="93">
        <v>386.0</v>
      </c>
      <c r="DL57" s="69">
        <v>120.0</v>
      </c>
      <c r="DM57" s="77">
        <f t="shared" si="10"/>
        <v>3.216666667</v>
      </c>
      <c r="DN57" s="83">
        <f t="shared" si="11"/>
        <v>-9.389671362</v>
      </c>
    </row>
    <row r="58" ht="15.75" customHeight="1">
      <c r="A58" s="69">
        <v>52.0</v>
      </c>
      <c r="B58" s="69" t="s">
        <v>451</v>
      </c>
      <c r="C58" s="69" t="s">
        <v>452</v>
      </c>
      <c r="D58" s="70" t="s">
        <v>15</v>
      </c>
      <c r="E58" s="71">
        <v>372.0</v>
      </c>
      <c r="F58" s="69">
        <v>25.0</v>
      </c>
      <c r="G58" s="69">
        <v>25.0</v>
      </c>
      <c r="H58" s="69">
        <v>24.0</v>
      </c>
      <c r="I58" s="69">
        <v>1.0</v>
      </c>
      <c r="J58" s="72">
        <v>440.0</v>
      </c>
      <c r="K58" s="69">
        <v>46.0</v>
      </c>
      <c r="L58" s="69">
        <v>46.0</v>
      </c>
      <c r="M58" s="69">
        <v>41.0</v>
      </c>
      <c r="N58" s="69">
        <v>4.0</v>
      </c>
      <c r="O58" s="72">
        <v>85.0</v>
      </c>
      <c r="P58" s="69">
        <v>34.0</v>
      </c>
      <c r="Q58" s="69">
        <v>35.0</v>
      </c>
      <c r="R58" s="69">
        <v>26.0</v>
      </c>
      <c r="S58" s="70">
        <v>9.0</v>
      </c>
      <c r="T58" s="69">
        <f t="shared" si="1"/>
        <v>897</v>
      </c>
      <c r="U58" s="69">
        <v>100.0</v>
      </c>
      <c r="V58" s="73">
        <f t="shared" si="2"/>
        <v>8.97</v>
      </c>
      <c r="W58" s="74">
        <v>444.0</v>
      </c>
      <c r="X58" s="69">
        <v>28.0</v>
      </c>
      <c r="Y58" s="69">
        <v>28.0</v>
      </c>
      <c r="Z58" s="69">
        <v>27.0</v>
      </c>
      <c r="AA58" s="69">
        <v>1.0</v>
      </c>
      <c r="AB58" s="84">
        <v>446.0</v>
      </c>
      <c r="AC58" s="69">
        <v>45.0</v>
      </c>
      <c r="AD58" s="69">
        <v>45.0</v>
      </c>
      <c r="AE58" s="69">
        <v>44.0</v>
      </c>
      <c r="AF58" s="69">
        <v>1.0</v>
      </c>
      <c r="AG58" s="69">
        <v>39.0</v>
      </c>
      <c r="AH58" s="69">
        <v>39.0</v>
      </c>
      <c r="AI58" s="69">
        <v>29.0</v>
      </c>
      <c r="AJ58" s="69">
        <v>10.0</v>
      </c>
      <c r="AK58" s="69">
        <f t="shared" si="3"/>
        <v>890</v>
      </c>
      <c r="AL58" s="76">
        <v>110.0</v>
      </c>
      <c r="AM58" s="77">
        <f t="shared" si="4"/>
        <v>8.090909091</v>
      </c>
      <c r="AN58" s="73">
        <f t="shared" si="5"/>
        <v>-0.7803790412</v>
      </c>
      <c r="AO58" s="69">
        <v>48.0</v>
      </c>
      <c r="AP58" s="69">
        <v>48.0</v>
      </c>
      <c r="AQ58" s="69">
        <v>46.0</v>
      </c>
      <c r="AR58" s="69">
        <v>2.0</v>
      </c>
      <c r="AS58" s="69">
        <v>58.0</v>
      </c>
      <c r="AT58" s="69">
        <v>58.0</v>
      </c>
      <c r="AU58" s="69">
        <v>53.0</v>
      </c>
      <c r="AV58" s="69">
        <v>5.0</v>
      </c>
      <c r="AW58" s="69">
        <v>61.0</v>
      </c>
      <c r="AX58" s="69">
        <v>59.0</v>
      </c>
      <c r="AY58" s="69">
        <v>36.0</v>
      </c>
      <c r="AZ58" s="69">
        <v>22.0</v>
      </c>
      <c r="BA58" s="69">
        <v>22.0</v>
      </c>
      <c r="BB58" s="69">
        <v>3.0</v>
      </c>
      <c r="BC58" s="69">
        <v>2.0</v>
      </c>
      <c r="BD58" s="69">
        <v>20.0</v>
      </c>
      <c r="BE58" s="69">
        <v>2.0</v>
      </c>
      <c r="BF58" s="69">
        <v>2.0</v>
      </c>
      <c r="BG58" s="69"/>
      <c r="BH58" s="70"/>
      <c r="BI58" s="78">
        <v>884.0</v>
      </c>
      <c r="BJ58" s="69">
        <v>160.0</v>
      </c>
      <c r="BK58" s="79">
        <f t="shared" si="6"/>
        <v>5.525</v>
      </c>
      <c r="BL58" s="80">
        <f t="shared" si="7"/>
        <v>-0.6741573034</v>
      </c>
      <c r="BM58" s="69">
        <v>48.0</v>
      </c>
      <c r="BN58" s="69">
        <v>48.0</v>
      </c>
      <c r="BO58" s="69">
        <v>45.0</v>
      </c>
      <c r="BP58" s="69">
        <v>3.0</v>
      </c>
      <c r="BQ58" s="69">
        <v>59.0</v>
      </c>
      <c r="BR58" s="69">
        <v>59.0</v>
      </c>
      <c r="BS58" s="69">
        <v>54.0</v>
      </c>
      <c r="BT58" s="69">
        <v>5.0</v>
      </c>
      <c r="BU58" s="69">
        <v>61.0</v>
      </c>
      <c r="BV58" s="69">
        <v>51.0</v>
      </c>
      <c r="BW58" s="69">
        <v>40.0</v>
      </c>
      <c r="BX58" s="69">
        <v>19.0</v>
      </c>
      <c r="BY58" s="69">
        <v>19.0</v>
      </c>
      <c r="BZ58" s="69">
        <v>3.0</v>
      </c>
      <c r="CA58" s="69">
        <v>2.0</v>
      </c>
      <c r="CB58" s="69">
        <v>17.0</v>
      </c>
      <c r="CC58" s="69">
        <v>19.0</v>
      </c>
      <c r="CD58" s="69">
        <v>3.0</v>
      </c>
      <c r="CE58" s="69">
        <v>0.0</v>
      </c>
      <c r="CF58" s="69">
        <v>19.0</v>
      </c>
      <c r="CG58" s="69"/>
      <c r="CH58" s="69"/>
      <c r="CI58" s="70">
        <v>0.0</v>
      </c>
      <c r="CJ58" s="78">
        <v>840.0</v>
      </c>
      <c r="CK58" s="69">
        <v>160.0</v>
      </c>
      <c r="CL58" s="79">
        <f t="shared" si="8"/>
        <v>5.25</v>
      </c>
      <c r="CM58" s="81">
        <f t="shared" si="9"/>
        <v>-4.977375566</v>
      </c>
      <c r="CN58" s="69">
        <v>48.0</v>
      </c>
      <c r="CO58" s="69">
        <v>47.0</v>
      </c>
      <c r="CP58" s="69">
        <v>43.0</v>
      </c>
      <c r="CQ58" s="69">
        <v>5.0</v>
      </c>
      <c r="CR58" s="71">
        <v>61.0</v>
      </c>
      <c r="CS58" s="69">
        <v>61.0</v>
      </c>
      <c r="CT58" s="69">
        <v>54.0</v>
      </c>
      <c r="CU58" s="69">
        <v>7.0</v>
      </c>
      <c r="CV58" s="71">
        <v>60.0</v>
      </c>
      <c r="CW58" s="69">
        <v>56.0</v>
      </c>
      <c r="CX58" s="69">
        <v>47.0</v>
      </c>
      <c r="CY58" s="69">
        <v>16.0</v>
      </c>
      <c r="CZ58" s="69"/>
      <c r="DA58" s="69">
        <v>10.0</v>
      </c>
      <c r="DB58" s="69">
        <v>3.0</v>
      </c>
      <c r="DC58" s="69"/>
      <c r="DD58" s="69">
        <v>-132.0</v>
      </c>
      <c r="DE58" s="69">
        <v>3.0</v>
      </c>
      <c r="DF58" s="69">
        <v>2.0</v>
      </c>
      <c r="DG58" s="69"/>
      <c r="DH58" s="69">
        <v>0.0</v>
      </c>
      <c r="DI58" s="69">
        <v>0.0</v>
      </c>
      <c r="DJ58" s="70"/>
      <c r="DK58" s="93">
        <v>943.0</v>
      </c>
      <c r="DL58" s="69">
        <v>160.0</v>
      </c>
      <c r="DM58" s="77">
        <f t="shared" si="10"/>
        <v>5.89375</v>
      </c>
      <c r="DN58" s="83">
        <f t="shared" si="11"/>
        <v>12.26190476</v>
      </c>
    </row>
    <row r="59" ht="15.75" customHeight="1">
      <c r="A59" s="69">
        <v>53.0</v>
      </c>
      <c r="B59" s="69" t="s">
        <v>453</v>
      </c>
      <c r="C59" s="69" t="s">
        <v>454</v>
      </c>
      <c r="D59" s="70" t="s">
        <v>15</v>
      </c>
      <c r="E59" s="71">
        <v>66.0</v>
      </c>
      <c r="F59" s="69">
        <v>30.0</v>
      </c>
      <c r="G59" s="69">
        <v>30.0</v>
      </c>
      <c r="H59" s="69">
        <v>29.0</v>
      </c>
      <c r="I59" s="69">
        <v>1.0</v>
      </c>
      <c r="J59" s="72">
        <v>172.0</v>
      </c>
      <c r="K59" s="69">
        <v>55.0</v>
      </c>
      <c r="L59" s="69">
        <v>55.0</v>
      </c>
      <c r="M59" s="69">
        <v>52.0</v>
      </c>
      <c r="N59" s="69">
        <v>3.0</v>
      </c>
      <c r="O59" s="72">
        <v>62.0</v>
      </c>
      <c r="P59" s="69">
        <v>39.0</v>
      </c>
      <c r="Q59" s="69">
        <v>43.0</v>
      </c>
      <c r="R59" s="69">
        <v>22.0</v>
      </c>
      <c r="S59" s="70">
        <v>17.0</v>
      </c>
      <c r="T59" s="69">
        <f t="shared" si="1"/>
        <v>300</v>
      </c>
      <c r="U59" s="69">
        <v>120.0</v>
      </c>
      <c r="V59" s="73">
        <f t="shared" si="2"/>
        <v>2.5</v>
      </c>
      <c r="W59" s="74">
        <v>203.0</v>
      </c>
      <c r="X59" s="69">
        <v>31.0</v>
      </c>
      <c r="Y59" s="69">
        <v>31.0</v>
      </c>
      <c r="Z59" s="69">
        <v>28.0</v>
      </c>
      <c r="AA59" s="69">
        <v>3.0</v>
      </c>
      <c r="AB59" s="84">
        <v>177.0</v>
      </c>
      <c r="AC59" s="69">
        <v>53.0</v>
      </c>
      <c r="AD59" s="69">
        <v>53.0</v>
      </c>
      <c r="AE59" s="69">
        <v>50.0</v>
      </c>
      <c r="AF59" s="69">
        <v>3.0</v>
      </c>
      <c r="AG59" s="69">
        <v>47.0</v>
      </c>
      <c r="AH59" s="69">
        <v>34.0</v>
      </c>
      <c r="AI59" s="69">
        <v>23.0</v>
      </c>
      <c r="AJ59" s="69">
        <v>24.0</v>
      </c>
      <c r="AK59" s="69">
        <f t="shared" si="3"/>
        <v>380</v>
      </c>
      <c r="AL59" s="76">
        <v>125.0</v>
      </c>
      <c r="AM59" s="77">
        <f t="shared" si="4"/>
        <v>3.04</v>
      </c>
      <c r="AN59" s="73">
        <f t="shared" si="5"/>
        <v>26.66666667</v>
      </c>
      <c r="AO59" s="69">
        <v>48.0</v>
      </c>
      <c r="AP59" s="69">
        <v>48.0</v>
      </c>
      <c r="AQ59" s="69">
        <v>43.0</v>
      </c>
      <c r="AR59" s="69">
        <v>5.0</v>
      </c>
      <c r="AS59" s="69">
        <v>61.0</v>
      </c>
      <c r="AT59" s="69">
        <v>61.0</v>
      </c>
      <c r="AU59" s="69">
        <v>54.0</v>
      </c>
      <c r="AV59" s="69">
        <v>7.0</v>
      </c>
      <c r="AW59" s="69">
        <v>63.0</v>
      </c>
      <c r="AX59" s="69">
        <v>60.0</v>
      </c>
      <c r="AY59" s="69">
        <v>38.0</v>
      </c>
      <c r="AZ59" s="69">
        <v>23.0</v>
      </c>
      <c r="BA59" s="69">
        <v>23.0</v>
      </c>
      <c r="BB59" s="69">
        <v>28.0</v>
      </c>
      <c r="BC59" s="69">
        <v>24.0</v>
      </c>
      <c r="BD59" s="69">
        <v>-1.0</v>
      </c>
      <c r="BE59" s="69">
        <v>2.0</v>
      </c>
      <c r="BF59" s="69">
        <v>0.0</v>
      </c>
      <c r="BG59" s="69"/>
      <c r="BH59" s="70"/>
      <c r="BI59" s="78">
        <v>524.0</v>
      </c>
      <c r="BJ59" s="69">
        <v>160.0</v>
      </c>
      <c r="BK59" s="79">
        <f t="shared" si="6"/>
        <v>3.275</v>
      </c>
      <c r="BL59" s="80">
        <f t="shared" si="7"/>
        <v>37.89473684</v>
      </c>
      <c r="BM59" s="69">
        <v>60.0</v>
      </c>
      <c r="BN59" s="69">
        <v>60.0</v>
      </c>
      <c r="BO59" s="69">
        <v>53.0</v>
      </c>
      <c r="BP59" s="69">
        <v>7.0</v>
      </c>
      <c r="BQ59" s="69">
        <v>77.0</v>
      </c>
      <c r="BR59" s="69">
        <v>77.0</v>
      </c>
      <c r="BS59" s="69">
        <v>69.0</v>
      </c>
      <c r="BT59" s="69">
        <v>8.0</v>
      </c>
      <c r="BU59" s="69">
        <v>78.0</v>
      </c>
      <c r="BV59" s="69">
        <v>57.0</v>
      </c>
      <c r="BW59" s="69">
        <v>37.0</v>
      </c>
      <c r="BX59" s="69">
        <v>20.0</v>
      </c>
      <c r="BY59" s="69">
        <v>20.0</v>
      </c>
      <c r="BZ59" s="69">
        <v>27.0</v>
      </c>
      <c r="CA59" s="69">
        <v>21.0</v>
      </c>
      <c r="CB59" s="69">
        <v>-1.0</v>
      </c>
      <c r="CC59" s="69">
        <v>19.0</v>
      </c>
      <c r="CD59" s="69">
        <v>7.0</v>
      </c>
      <c r="CE59" s="69">
        <v>5.0</v>
      </c>
      <c r="CF59" s="69">
        <v>14.0</v>
      </c>
      <c r="CG59" s="69">
        <v>2.0</v>
      </c>
      <c r="CH59" s="69">
        <v>1.0</v>
      </c>
      <c r="CI59" s="70">
        <v>1.0</v>
      </c>
      <c r="CJ59" s="78">
        <v>923.0</v>
      </c>
      <c r="CK59" s="69">
        <v>200.0</v>
      </c>
      <c r="CL59" s="79">
        <f t="shared" si="8"/>
        <v>4.615</v>
      </c>
      <c r="CM59" s="81">
        <f t="shared" si="9"/>
        <v>76.14503817</v>
      </c>
      <c r="CN59" s="69">
        <v>60.0</v>
      </c>
      <c r="CO59" s="69">
        <v>59.0</v>
      </c>
      <c r="CP59" s="69">
        <v>54.0</v>
      </c>
      <c r="CQ59" s="69">
        <v>6.0</v>
      </c>
      <c r="CR59" s="71">
        <v>76.0</v>
      </c>
      <c r="CS59" s="69">
        <v>76.0</v>
      </c>
      <c r="CT59" s="69">
        <v>67.0</v>
      </c>
      <c r="CU59" s="69">
        <v>9.0</v>
      </c>
      <c r="CV59" s="71">
        <v>52.0</v>
      </c>
      <c r="CW59" s="69">
        <v>52.0</v>
      </c>
      <c r="CX59" s="69">
        <v>45.0</v>
      </c>
      <c r="CY59" s="69">
        <v>34.0</v>
      </c>
      <c r="CZ59" s="69"/>
      <c r="DA59" s="69">
        <v>109.0</v>
      </c>
      <c r="DB59" s="69">
        <v>27.0</v>
      </c>
      <c r="DC59" s="69"/>
      <c r="DD59" s="69">
        <v>-151.0</v>
      </c>
      <c r="DE59" s="69">
        <v>5.0</v>
      </c>
      <c r="DF59" s="69">
        <v>4.0</v>
      </c>
      <c r="DG59" s="69"/>
      <c r="DH59" s="69">
        <v>1.0</v>
      </c>
      <c r="DI59" s="69">
        <v>1.0</v>
      </c>
      <c r="DJ59" s="70"/>
      <c r="DK59" s="93">
        <v>812.0</v>
      </c>
      <c r="DL59" s="69">
        <v>200.0</v>
      </c>
      <c r="DM59" s="77">
        <f t="shared" si="10"/>
        <v>4.06</v>
      </c>
      <c r="DN59" s="83">
        <f t="shared" si="11"/>
        <v>-12.02600217</v>
      </c>
    </row>
    <row r="60" ht="15.75" customHeight="1">
      <c r="A60" s="69">
        <v>54.0</v>
      </c>
      <c r="B60" s="69" t="s">
        <v>455</v>
      </c>
      <c r="C60" s="69" t="s">
        <v>456</v>
      </c>
      <c r="D60" s="70" t="s">
        <v>15</v>
      </c>
      <c r="E60" s="71">
        <v>463.0</v>
      </c>
      <c r="F60" s="69">
        <v>25.0</v>
      </c>
      <c r="G60" s="69">
        <v>25.0</v>
      </c>
      <c r="H60" s="69">
        <v>23.0</v>
      </c>
      <c r="I60" s="69">
        <v>2.0</v>
      </c>
      <c r="J60" s="72">
        <v>582.0</v>
      </c>
      <c r="K60" s="69">
        <v>46.0</v>
      </c>
      <c r="L60" s="69">
        <v>46.0</v>
      </c>
      <c r="M60" s="69">
        <v>44.0</v>
      </c>
      <c r="N60" s="69">
        <v>2.0</v>
      </c>
      <c r="O60" s="72">
        <v>115.0</v>
      </c>
      <c r="P60" s="69">
        <v>32.0</v>
      </c>
      <c r="Q60" s="69">
        <v>35.0</v>
      </c>
      <c r="R60" s="69">
        <v>27.0</v>
      </c>
      <c r="S60" s="70">
        <v>6.0</v>
      </c>
      <c r="T60" s="69">
        <f t="shared" si="1"/>
        <v>1160</v>
      </c>
      <c r="U60" s="69">
        <v>100.0</v>
      </c>
      <c r="V60" s="73">
        <f t="shared" si="2"/>
        <v>11.6</v>
      </c>
      <c r="W60" s="74">
        <v>644.0</v>
      </c>
      <c r="X60" s="69">
        <v>28.0</v>
      </c>
      <c r="Y60" s="69">
        <v>28.0</v>
      </c>
      <c r="Z60" s="69">
        <v>24.0</v>
      </c>
      <c r="AA60" s="69">
        <v>4.0</v>
      </c>
      <c r="AB60" s="84">
        <v>592.0</v>
      </c>
      <c r="AC60" s="69">
        <v>48.0</v>
      </c>
      <c r="AD60" s="69">
        <v>48.0</v>
      </c>
      <c r="AE60" s="69">
        <v>43.0</v>
      </c>
      <c r="AF60" s="69">
        <v>5.0</v>
      </c>
      <c r="AG60" s="69">
        <v>42.0</v>
      </c>
      <c r="AH60" s="69">
        <v>42.0</v>
      </c>
      <c r="AI60" s="69">
        <v>34.0</v>
      </c>
      <c r="AJ60" s="69">
        <v>8.0</v>
      </c>
      <c r="AK60" s="69">
        <f t="shared" si="3"/>
        <v>1236</v>
      </c>
      <c r="AL60" s="76">
        <v>110.0</v>
      </c>
      <c r="AM60" s="77">
        <f t="shared" si="4"/>
        <v>11.23636364</v>
      </c>
      <c r="AN60" s="73">
        <f t="shared" si="5"/>
        <v>6.551724138</v>
      </c>
      <c r="AO60" s="69">
        <v>36.0</v>
      </c>
      <c r="AP60" s="69">
        <v>36.0</v>
      </c>
      <c r="AQ60" s="69">
        <v>34.0</v>
      </c>
      <c r="AR60" s="69">
        <v>2.0</v>
      </c>
      <c r="AS60" s="69">
        <v>44.0</v>
      </c>
      <c r="AT60" s="69">
        <v>44.0</v>
      </c>
      <c r="AU60" s="69">
        <v>41.0</v>
      </c>
      <c r="AV60" s="69">
        <v>3.0</v>
      </c>
      <c r="AW60" s="69">
        <v>45.0</v>
      </c>
      <c r="AX60" s="69">
        <v>45.0</v>
      </c>
      <c r="AY60" s="69">
        <v>38.0</v>
      </c>
      <c r="AZ60" s="69">
        <v>6.0</v>
      </c>
      <c r="BA60" s="69">
        <v>6.0</v>
      </c>
      <c r="BB60" s="69">
        <v>1.0</v>
      </c>
      <c r="BC60" s="69">
        <v>1.0</v>
      </c>
      <c r="BD60" s="69">
        <v>5.0</v>
      </c>
      <c r="BE60" s="69">
        <v>1.0</v>
      </c>
      <c r="BF60" s="69">
        <v>1.0</v>
      </c>
      <c r="BG60" s="69"/>
      <c r="BH60" s="70"/>
      <c r="BI60" s="78">
        <v>1720.0</v>
      </c>
      <c r="BJ60" s="69">
        <v>120.0</v>
      </c>
      <c r="BK60" s="79">
        <f t="shared" si="6"/>
        <v>14.33333333</v>
      </c>
      <c r="BL60" s="80">
        <f t="shared" si="7"/>
        <v>39.15857605</v>
      </c>
      <c r="BM60" s="69">
        <v>45.0</v>
      </c>
      <c r="BN60" s="69">
        <v>45.0</v>
      </c>
      <c r="BO60" s="69">
        <v>45.0</v>
      </c>
      <c r="BP60" s="69">
        <v>0.0</v>
      </c>
      <c r="BQ60" s="69">
        <v>53.0</v>
      </c>
      <c r="BR60" s="69">
        <v>53.0</v>
      </c>
      <c r="BS60" s="69">
        <v>47.0</v>
      </c>
      <c r="BT60" s="69">
        <v>6.0</v>
      </c>
      <c r="BU60" s="69">
        <v>58.0</v>
      </c>
      <c r="BV60" s="69">
        <v>52.0</v>
      </c>
      <c r="BW60" s="69">
        <v>42.0</v>
      </c>
      <c r="BX60" s="69">
        <v>7.0</v>
      </c>
      <c r="BY60" s="69">
        <v>7.0</v>
      </c>
      <c r="BZ60" s="69">
        <v>13.0</v>
      </c>
      <c r="CA60" s="69">
        <v>9.0</v>
      </c>
      <c r="CB60" s="69">
        <v>-2.0</v>
      </c>
      <c r="CC60" s="69">
        <v>5.0</v>
      </c>
      <c r="CD60" s="69">
        <v>3.0</v>
      </c>
      <c r="CE60" s="69">
        <v>2.0</v>
      </c>
      <c r="CF60" s="69">
        <v>3.0</v>
      </c>
      <c r="CG60" s="69">
        <v>2.0</v>
      </c>
      <c r="CH60" s="69"/>
      <c r="CI60" s="70">
        <v>2.0</v>
      </c>
      <c r="CJ60" s="78">
        <v>2382.0</v>
      </c>
      <c r="CK60" s="69">
        <v>150.0</v>
      </c>
      <c r="CL60" s="79">
        <f t="shared" si="8"/>
        <v>15.88</v>
      </c>
      <c r="CM60" s="81">
        <f t="shared" si="9"/>
        <v>38.48837209</v>
      </c>
      <c r="CN60" s="69">
        <v>45.0</v>
      </c>
      <c r="CO60" s="69">
        <v>45.0</v>
      </c>
      <c r="CP60" s="69">
        <v>42.0</v>
      </c>
      <c r="CQ60" s="69">
        <v>3.0</v>
      </c>
      <c r="CR60" s="71">
        <v>56.0</v>
      </c>
      <c r="CS60" s="69">
        <v>56.0</v>
      </c>
      <c r="CT60" s="69">
        <v>47.0</v>
      </c>
      <c r="CU60" s="69">
        <v>9.0</v>
      </c>
      <c r="CV60" s="71">
        <v>54.0</v>
      </c>
      <c r="CW60" s="69">
        <v>54.0</v>
      </c>
      <c r="CX60" s="69">
        <v>44.0</v>
      </c>
      <c r="CY60" s="69">
        <v>17.0</v>
      </c>
      <c r="CZ60" s="69"/>
      <c r="DA60" s="69">
        <v>31.0</v>
      </c>
      <c r="DB60" s="69">
        <v>7.0</v>
      </c>
      <c r="DC60" s="69"/>
      <c r="DD60" s="69">
        <v>-121.0</v>
      </c>
      <c r="DE60" s="69">
        <v>5.0</v>
      </c>
      <c r="DF60" s="69">
        <v>5.0</v>
      </c>
      <c r="DG60" s="69"/>
      <c r="DH60" s="69">
        <v>0.0</v>
      </c>
      <c r="DI60" s="69">
        <v>0.0</v>
      </c>
      <c r="DJ60" s="70"/>
      <c r="DK60" s="93">
        <v>1754.0</v>
      </c>
      <c r="DL60" s="69">
        <v>150.0</v>
      </c>
      <c r="DM60" s="77">
        <f t="shared" si="10"/>
        <v>11.69333333</v>
      </c>
      <c r="DN60" s="83">
        <f t="shared" si="11"/>
        <v>-26.36439966</v>
      </c>
    </row>
    <row r="61" ht="15.75" customHeight="1">
      <c r="A61" s="69">
        <v>55.0</v>
      </c>
      <c r="B61" s="69" t="s">
        <v>457</v>
      </c>
      <c r="C61" s="69" t="s">
        <v>458</v>
      </c>
      <c r="D61" s="70" t="s">
        <v>15</v>
      </c>
      <c r="E61" s="71">
        <v>657.0</v>
      </c>
      <c r="F61" s="69">
        <v>30.0</v>
      </c>
      <c r="G61" s="69">
        <v>30.0</v>
      </c>
      <c r="H61" s="69">
        <v>30.0</v>
      </c>
      <c r="I61" s="69">
        <v>0.0</v>
      </c>
      <c r="J61" s="72">
        <v>825.0</v>
      </c>
      <c r="K61" s="69">
        <v>55.0</v>
      </c>
      <c r="L61" s="69">
        <v>55.0</v>
      </c>
      <c r="M61" s="69">
        <v>50.0</v>
      </c>
      <c r="N61" s="69">
        <v>5.0</v>
      </c>
      <c r="O61" s="72">
        <v>139.0</v>
      </c>
      <c r="P61" s="69">
        <v>41.0</v>
      </c>
      <c r="Q61" s="69">
        <v>45.0</v>
      </c>
      <c r="R61" s="69">
        <v>25.0</v>
      </c>
      <c r="S61" s="70">
        <v>15.0</v>
      </c>
      <c r="T61" s="69">
        <f t="shared" si="1"/>
        <v>1621</v>
      </c>
      <c r="U61" s="69">
        <v>120.0</v>
      </c>
      <c r="V61" s="73">
        <f t="shared" si="2"/>
        <v>13.50833333</v>
      </c>
      <c r="W61" s="74">
        <v>903.0</v>
      </c>
      <c r="X61" s="69">
        <v>33.0</v>
      </c>
      <c r="Y61" s="69">
        <v>33.0</v>
      </c>
      <c r="Z61" s="69">
        <v>27.0</v>
      </c>
      <c r="AA61" s="69">
        <v>6.0</v>
      </c>
      <c r="AB61" s="84">
        <v>827.0</v>
      </c>
      <c r="AC61" s="69">
        <v>58.0</v>
      </c>
      <c r="AD61" s="69">
        <v>58.0</v>
      </c>
      <c r="AE61" s="69">
        <v>43.0</v>
      </c>
      <c r="AF61" s="69">
        <v>15.0</v>
      </c>
      <c r="AG61" s="69">
        <v>57.0</v>
      </c>
      <c r="AH61" s="69">
        <v>57.0</v>
      </c>
      <c r="AI61" s="69">
        <v>38.0</v>
      </c>
      <c r="AJ61" s="69">
        <v>19.0</v>
      </c>
      <c r="AK61" s="69">
        <f t="shared" si="3"/>
        <v>1730</v>
      </c>
      <c r="AL61" s="76">
        <v>130.0</v>
      </c>
      <c r="AM61" s="77">
        <f t="shared" si="4"/>
        <v>13.30769231</v>
      </c>
      <c r="AN61" s="73">
        <f t="shared" si="5"/>
        <v>6.724244294</v>
      </c>
      <c r="AO61" s="69">
        <v>60.0</v>
      </c>
      <c r="AP61" s="69">
        <v>60.0</v>
      </c>
      <c r="AQ61" s="69">
        <v>54.0</v>
      </c>
      <c r="AR61" s="69">
        <v>6.0</v>
      </c>
      <c r="AS61" s="69">
        <v>76.0</v>
      </c>
      <c r="AT61" s="69">
        <v>76.0</v>
      </c>
      <c r="AU61" s="69">
        <v>67.0</v>
      </c>
      <c r="AV61" s="69">
        <v>9.0</v>
      </c>
      <c r="AW61" s="69">
        <v>79.0</v>
      </c>
      <c r="AX61" s="69">
        <v>79.0</v>
      </c>
      <c r="AY61" s="69">
        <v>58.0</v>
      </c>
      <c r="AZ61" s="69">
        <v>18.0</v>
      </c>
      <c r="BA61" s="69">
        <v>18.0</v>
      </c>
      <c r="BB61" s="69">
        <v>6.0</v>
      </c>
      <c r="BC61" s="69">
        <v>5.0</v>
      </c>
      <c r="BD61" s="69">
        <v>13.0</v>
      </c>
      <c r="BE61" s="69">
        <v>1.0</v>
      </c>
      <c r="BF61" s="69">
        <v>1.0</v>
      </c>
      <c r="BG61" s="69">
        <v>3.0</v>
      </c>
      <c r="BH61" s="70">
        <v>3.0</v>
      </c>
      <c r="BI61" s="78">
        <v>2269.0</v>
      </c>
      <c r="BJ61" s="69">
        <v>200.0</v>
      </c>
      <c r="BK61" s="79">
        <f t="shared" si="6"/>
        <v>11.345</v>
      </c>
      <c r="BL61" s="80">
        <f t="shared" si="7"/>
        <v>31.15606936</v>
      </c>
      <c r="BM61" s="69">
        <v>69.0</v>
      </c>
      <c r="BN61" s="69">
        <v>69.0</v>
      </c>
      <c r="BO61" s="69">
        <v>64.0</v>
      </c>
      <c r="BP61" s="69">
        <v>5.0</v>
      </c>
      <c r="BQ61" s="69">
        <v>86.0</v>
      </c>
      <c r="BR61" s="69">
        <v>86.0</v>
      </c>
      <c r="BS61" s="69">
        <v>78.0</v>
      </c>
      <c r="BT61" s="69">
        <v>8.0</v>
      </c>
      <c r="BU61" s="69">
        <v>88.0</v>
      </c>
      <c r="BV61" s="69">
        <v>84.0</v>
      </c>
      <c r="BW61" s="69">
        <v>54.0</v>
      </c>
      <c r="BX61" s="69">
        <v>30.0</v>
      </c>
      <c r="BY61" s="69">
        <v>30.0</v>
      </c>
      <c r="BZ61" s="69">
        <v>9.0</v>
      </c>
      <c r="CA61" s="69">
        <v>4.0</v>
      </c>
      <c r="CB61" s="69">
        <v>26.0</v>
      </c>
      <c r="CC61" s="69">
        <v>29.0</v>
      </c>
      <c r="CD61" s="69">
        <v>6.0</v>
      </c>
      <c r="CE61" s="69">
        <v>3.0</v>
      </c>
      <c r="CF61" s="69">
        <v>26.0</v>
      </c>
      <c r="CG61" s="69">
        <v>2.0</v>
      </c>
      <c r="CH61" s="69">
        <v>1.0</v>
      </c>
      <c r="CI61" s="70">
        <v>1.0</v>
      </c>
      <c r="CJ61" s="78">
        <v>2324.0</v>
      </c>
      <c r="CK61" s="69">
        <v>230.0</v>
      </c>
      <c r="CL61" s="79">
        <f t="shared" si="8"/>
        <v>10.10434783</v>
      </c>
      <c r="CM61" s="81">
        <f t="shared" si="9"/>
        <v>2.42397532</v>
      </c>
      <c r="CN61" s="69">
        <v>69.0</v>
      </c>
      <c r="CO61" s="69">
        <v>68.0</v>
      </c>
      <c r="CP61" s="69">
        <v>61.0</v>
      </c>
      <c r="CQ61" s="69">
        <v>8.0</v>
      </c>
      <c r="CR61" s="71">
        <v>89.0</v>
      </c>
      <c r="CS61" s="69">
        <v>89.0</v>
      </c>
      <c r="CT61" s="69">
        <v>80.0</v>
      </c>
      <c r="CU61" s="69">
        <v>9.0</v>
      </c>
      <c r="CV61" s="71">
        <v>81.0</v>
      </c>
      <c r="CW61" s="69">
        <v>78.0</v>
      </c>
      <c r="CX61" s="69">
        <v>67.0</v>
      </c>
      <c r="CY61" s="69">
        <v>22.0</v>
      </c>
      <c r="CZ61" s="69"/>
      <c r="DA61" s="69">
        <v>24.0</v>
      </c>
      <c r="DB61" s="69">
        <v>8.0</v>
      </c>
      <c r="DC61" s="69"/>
      <c r="DD61" s="69">
        <v>-191.0</v>
      </c>
      <c r="DE61" s="69">
        <v>1.0</v>
      </c>
      <c r="DF61" s="69">
        <v>0.0</v>
      </c>
      <c r="DG61" s="69"/>
      <c r="DH61" s="69">
        <v>1.0</v>
      </c>
      <c r="DI61" s="69">
        <v>1.0</v>
      </c>
      <c r="DJ61" s="70"/>
      <c r="DK61" s="93">
        <v>2175.0</v>
      </c>
      <c r="DL61" s="69">
        <v>230.0</v>
      </c>
      <c r="DM61" s="77">
        <f t="shared" si="10"/>
        <v>9.456521739</v>
      </c>
      <c r="DN61" s="83">
        <f t="shared" si="11"/>
        <v>-6.411359725</v>
      </c>
    </row>
    <row r="62" ht="15.75" customHeight="1">
      <c r="A62" s="69">
        <v>56.0</v>
      </c>
      <c r="B62" s="69" t="s">
        <v>459</v>
      </c>
      <c r="C62" s="69" t="s">
        <v>460</v>
      </c>
      <c r="D62" s="70" t="s">
        <v>15</v>
      </c>
      <c r="E62" s="71">
        <v>398.0</v>
      </c>
      <c r="F62" s="69">
        <v>20.0</v>
      </c>
      <c r="G62" s="69">
        <v>21.0</v>
      </c>
      <c r="H62" s="69">
        <v>18.0</v>
      </c>
      <c r="I62" s="69">
        <v>2.0</v>
      </c>
      <c r="J62" s="72">
        <v>678.0</v>
      </c>
      <c r="K62" s="69">
        <v>37.0</v>
      </c>
      <c r="L62" s="69">
        <v>37.0</v>
      </c>
      <c r="M62" s="69">
        <v>32.0</v>
      </c>
      <c r="N62" s="69">
        <v>4.0</v>
      </c>
      <c r="O62" s="72">
        <v>71.0</v>
      </c>
      <c r="P62" s="69">
        <v>28.0</v>
      </c>
      <c r="Q62" s="69">
        <v>30.0</v>
      </c>
      <c r="R62" s="69">
        <v>26.0</v>
      </c>
      <c r="S62" s="70">
        <v>4.0</v>
      </c>
      <c r="T62" s="69">
        <f t="shared" si="1"/>
        <v>1147</v>
      </c>
      <c r="U62" s="69">
        <v>80.0</v>
      </c>
      <c r="V62" s="73">
        <f t="shared" si="2"/>
        <v>14.3375</v>
      </c>
      <c r="W62" s="74">
        <v>637.0</v>
      </c>
      <c r="X62" s="69">
        <v>20.0</v>
      </c>
      <c r="Y62" s="69">
        <v>20.0</v>
      </c>
      <c r="Z62" s="69">
        <v>20.0</v>
      </c>
      <c r="AA62" s="69">
        <v>0.0</v>
      </c>
      <c r="AB62" s="84">
        <v>800.0</v>
      </c>
      <c r="AC62" s="69">
        <v>32.0</v>
      </c>
      <c r="AD62" s="69">
        <v>32.0</v>
      </c>
      <c r="AE62" s="69">
        <v>27.0</v>
      </c>
      <c r="AF62" s="69">
        <v>5.0</v>
      </c>
      <c r="AG62" s="69">
        <v>31.0</v>
      </c>
      <c r="AH62" s="69">
        <v>31.0</v>
      </c>
      <c r="AI62" s="69">
        <v>18.0</v>
      </c>
      <c r="AJ62" s="69">
        <v>13.0</v>
      </c>
      <c r="AK62" s="69">
        <f t="shared" si="3"/>
        <v>1437</v>
      </c>
      <c r="AL62" s="76">
        <v>80.0</v>
      </c>
      <c r="AM62" s="77">
        <f t="shared" si="4"/>
        <v>17.9625</v>
      </c>
      <c r="AN62" s="73">
        <f t="shared" si="5"/>
        <v>25.28334786</v>
      </c>
      <c r="AO62" s="69">
        <v>24.0</v>
      </c>
      <c r="AP62" s="69">
        <v>24.0</v>
      </c>
      <c r="AQ62" s="69">
        <v>23.0</v>
      </c>
      <c r="AR62" s="69">
        <v>1.0</v>
      </c>
      <c r="AS62" s="69">
        <v>29.0</v>
      </c>
      <c r="AT62" s="69">
        <v>29.0</v>
      </c>
      <c r="AU62" s="69">
        <v>25.0</v>
      </c>
      <c r="AV62" s="69">
        <v>4.0</v>
      </c>
      <c r="AW62" s="69">
        <v>32.0</v>
      </c>
      <c r="AX62" s="69">
        <v>32.0</v>
      </c>
      <c r="AY62" s="69">
        <v>18.0</v>
      </c>
      <c r="AZ62" s="69">
        <v>11.0</v>
      </c>
      <c r="BA62" s="69">
        <v>11.0</v>
      </c>
      <c r="BB62" s="69">
        <v>7.0</v>
      </c>
      <c r="BC62" s="69">
        <v>7.0</v>
      </c>
      <c r="BD62" s="69">
        <v>4.0</v>
      </c>
      <c r="BE62" s="69">
        <v>5.0</v>
      </c>
      <c r="BF62" s="69">
        <v>3.0</v>
      </c>
      <c r="BG62" s="69"/>
      <c r="BH62" s="70"/>
      <c r="BI62" s="78">
        <v>1504.0</v>
      </c>
      <c r="BJ62" s="69">
        <v>80.0</v>
      </c>
      <c r="BK62" s="79">
        <f t="shared" si="6"/>
        <v>18.8</v>
      </c>
      <c r="BL62" s="80">
        <f t="shared" si="7"/>
        <v>4.662491301</v>
      </c>
      <c r="BM62" s="69">
        <v>24.0</v>
      </c>
      <c r="BN62" s="69">
        <v>24.0</v>
      </c>
      <c r="BO62" s="69">
        <v>24.0</v>
      </c>
      <c r="BP62" s="69">
        <v>0.0</v>
      </c>
      <c r="BQ62" s="69">
        <v>28.0</v>
      </c>
      <c r="BR62" s="69">
        <v>28.0</v>
      </c>
      <c r="BS62" s="69">
        <v>25.0</v>
      </c>
      <c r="BT62" s="69">
        <v>3.0</v>
      </c>
      <c r="BU62" s="69">
        <v>31.0</v>
      </c>
      <c r="BV62" s="69">
        <v>27.0</v>
      </c>
      <c r="BW62" s="69">
        <v>11.0</v>
      </c>
      <c r="BX62" s="69">
        <v>13.0</v>
      </c>
      <c r="BY62" s="69">
        <v>13.0</v>
      </c>
      <c r="BZ62" s="69">
        <v>9.0</v>
      </c>
      <c r="CA62" s="69">
        <v>7.0</v>
      </c>
      <c r="CB62" s="69">
        <v>6.0</v>
      </c>
      <c r="CC62" s="69">
        <v>13.0</v>
      </c>
      <c r="CD62" s="69">
        <v>10.0</v>
      </c>
      <c r="CE62" s="69">
        <v>7.0</v>
      </c>
      <c r="CF62" s="69">
        <v>6.0</v>
      </c>
      <c r="CG62" s="69"/>
      <c r="CH62" s="69"/>
      <c r="CI62" s="70">
        <v>0.0</v>
      </c>
      <c r="CJ62" s="78">
        <v>1447.0</v>
      </c>
      <c r="CK62" s="69">
        <v>80.0</v>
      </c>
      <c r="CL62" s="79">
        <f t="shared" si="8"/>
        <v>18.0875</v>
      </c>
      <c r="CM62" s="81">
        <f t="shared" si="9"/>
        <v>-3.789893617</v>
      </c>
      <c r="CN62" s="69">
        <v>24.0</v>
      </c>
      <c r="CO62" s="69">
        <v>23.0</v>
      </c>
      <c r="CP62" s="69">
        <v>23.0</v>
      </c>
      <c r="CQ62" s="69">
        <v>1.0</v>
      </c>
      <c r="CR62" s="71">
        <v>29.0</v>
      </c>
      <c r="CS62" s="69">
        <v>29.0</v>
      </c>
      <c r="CT62" s="69">
        <v>24.0</v>
      </c>
      <c r="CU62" s="69">
        <v>5.0</v>
      </c>
      <c r="CV62" s="71">
        <v>23.0</v>
      </c>
      <c r="CW62" s="69">
        <v>23.0</v>
      </c>
      <c r="CX62" s="69">
        <v>11.0</v>
      </c>
      <c r="CY62" s="69">
        <v>22.0</v>
      </c>
      <c r="CZ62" s="69"/>
      <c r="DA62" s="69">
        <v>27.0</v>
      </c>
      <c r="DB62" s="69">
        <v>10.0</v>
      </c>
      <c r="DC62" s="69"/>
      <c r="DD62" s="69">
        <v>-52.0</v>
      </c>
      <c r="DE62" s="69">
        <v>12.0</v>
      </c>
      <c r="DF62" s="69">
        <v>8.0</v>
      </c>
      <c r="DG62" s="69"/>
      <c r="DH62" s="69">
        <v>0.0</v>
      </c>
      <c r="DI62" s="69">
        <v>0.0</v>
      </c>
      <c r="DJ62" s="70"/>
      <c r="DK62" s="93">
        <v>1385.0</v>
      </c>
      <c r="DL62" s="69">
        <v>80.0</v>
      </c>
      <c r="DM62" s="77">
        <f t="shared" si="10"/>
        <v>17.3125</v>
      </c>
      <c r="DN62" s="83">
        <f t="shared" si="11"/>
        <v>-4.284727021</v>
      </c>
    </row>
    <row r="63" ht="15.75" customHeight="1">
      <c r="A63" s="69">
        <v>57.0</v>
      </c>
      <c r="B63" s="69" t="s">
        <v>461</v>
      </c>
      <c r="C63" s="69" t="s">
        <v>462</v>
      </c>
      <c r="D63" s="70" t="s">
        <v>15</v>
      </c>
      <c r="E63" s="71">
        <v>116.0</v>
      </c>
      <c r="F63" s="69">
        <v>35.0</v>
      </c>
      <c r="G63" s="69">
        <v>34.0</v>
      </c>
      <c r="H63" s="69">
        <v>29.0</v>
      </c>
      <c r="I63" s="69">
        <v>6.0</v>
      </c>
      <c r="J63" s="72">
        <v>230.0</v>
      </c>
      <c r="K63" s="69">
        <v>68.0</v>
      </c>
      <c r="L63" s="69">
        <v>70.0</v>
      </c>
      <c r="M63" s="69">
        <v>60.0</v>
      </c>
      <c r="N63" s="69">
        <v>5.0</v>
      </c>
      <c r="O63" s="72">
        <v>102.0</v>
      </c>
      <c r="P63" s="69">
        <v>47.0</v>
      </c>
      <c r="Q63" s="69">
        <v>50.0</v>
      </c>
      <c r="R63" s="69">
        <v>35.0</v>
      </c>
      <c r="S63" s="70">
        <v>16.0</v>
      </c>
      <c r="T63" s="69">
        <f t="shared" si="1"/>
        <v>448</v>
      </c>
      <c r="U63" s="69">
        <v>140.0</v>
      </c>
      <c r="V63" s="73">
        <f t="shared" si="2"/>
        <v>3.2</v>
      </c>
      <c r="W63" s="74">
        <v>148.0</v>
      </c>
      <c r="X63" s="69">
        <v>38.0</v>
      </c>
      <c r="Y63" s="69">
        <v>38.0</v>
      </c>
      <c r="Z63" s="69">
        <v>27.0</v>
      </c>
      <c r="AA63" s="69">
        <v>11.0</v>
      </c>
      <c r="AB63" s="84">
        <v>222.0</v>
      </c>
      <c r="AC63" s="69">
        <v>71.0</v>
      </c>
      <c r="AD63" s="69">
        <v>71.0</v>
      </c>
      <c r="AE63" s="69">
        <v>60.0</v>
      </c>
      <c r="AF63" s="69">
        <v>11.0</v>
      </c>
      <c r="AG63" s="69">
        <v>60.0</v>
      </c>
      <c r="AH63" s="69">
        <v>48.0</v>
      </c>
      <c r="AI63" s="69">
        <v>33.0</v>
      </c>
      <c r="AJ63" s="69">
        <v>27.0</v>
      </c>
      <c r="AK63" s="69">
        <f t="shared" si="3"/>
        <v>370</v>
      </c>
      <c r="AL63" s="76">
        <v>150.0</v>
      </c>
      <c r="AM63" s="77">
        <f t="shared" si="4"/>
        <v>2.466666667</v>
      </c>
      <c r="AN63" s="73">
        <f t="shared" si="5"/>
        <v>-17.41071429</v>
      </c>
      <c r="AO63" s="69">
        <v>48.0</v>
      </c>
      <c r="AP63" s="69">
        <v>48.0</v>
      </c>
      <c r="AQ63" s="69">
        <v>40.0</v>
      </c>
      <c r="AR63" s="69">
        <v>8.0</v>
      </c>
      <c r="AS63" s="69">
        <v>64.0</v>
      </c>
      <c r="AT63" s="69">
        <v>64.0</v>
      </c>
      <c r="AU63" s="69">
        <v>52.0</v>
      </c>
      <c r="AV63" s="69">
        <v>12.0</v>
      </c>
      <c r="AW63" s="69">
        <v>68.0</v>
      </c>
      <c r="AX63" s="69">
        <v>59.0</v>
      </c>
      <c r="AY63" s="69">
        <v>41.0</v>
      </c>
      <c r="AZ63" s="69">
        <v>23.0</v>
      </c>
      <c r="BA63" s="69">
        <v>23.0</v>
      </c>
      <c r="BB63" s="69">
        <v>0.0</v>
      </c>
      <c r="BC63" s="69">
        <v>0.0</v>
      </c>
      <c r="BD63" s="69">
        <v>23.0</v>
      </c>
      <c r="BE63" s="69">
        <v>0.0</v>
      </c>
      <c r="BF63" s="69">
        <v>0.0</v>
      </c>
      <c r="BG63" s="69"/>
      <c r="BH63" s="70"/>
      <c r="BI63" s="78">
        <v>478.0</v>
      </c>
      <c r="BJ63" s="69">
        <v>160.0</v>
      </c>
      <c r="BK63" s="79">
        <f t="shared" si="6"/>
        <v>2.9875</v>
      </c>
      <c r="BL63" s="80">
        <f t="shared" si="7"/>
        <v>29.18918919</v>
      </c>
      <c r="BM63" s="69">
        <v>48.0</v>
      </c>
      <c r="BN63" s="69">
        <v>48.0</v>
      </c>
      <c r="BO63" s="69">
        <v>41.0</v>
      </c>
      <c r="BP63" s="69">
        <v>7.0</v>
      </c>
      <c r="BQ63" s="69">
        <v>63.0</v>
      </c>
      <c r="BR63" s="69">
        <v>63.0</v>
      </c>
      <c r="BS63" s="69">
        <v>53.0</v>
      </c>
      <c r="BT63" s="69">
        <v>10.0</v>
      </c>
      <c r="BU63" s="69">
        <v>66.0</v>
      </c>
      <c r="BV63" s="69">
        <v>38.0</v>
      </c>
      <c r="BW63" s="69">
        <v>30.0</v>
      </c>
      <c r="BX63" s="69">
        <v>36.0</v>
      </c>
      <c r="BY63" s="69">
        <v>36.0</v>
      </c>
      <c r="BZ63" s="69">
        <v>1.0</v>
      </c>
      <c r="CA63" s="69">
        <v>0.0</v>
      </c>
      <c r="CB63" s="69">
        <v>36.0</v>
      </c>
      <c r="CC63" s="69">
        <v>36.0</v>
      </c>
      <c r="CD63" s="69">
        <v>9.0</v>
      </c>
      <c r="CE63" s="69">
        <v>9.0</v>
      </c>
      <c r="CF63" s="69">
        <v>27.0</v>
      </c>
      <c r="CG63" s="69"/>
      <c r="CH63" s="69"/>
      <c r="CI63" s="70">
        <v>0.0</v>
      </c>
      <c r="CJ63" s="78">
        <v>449.0</v>
      </c>
      <c r="CK63" s="69">
        <v>160.0</v>
      </c>
      <c r="CL63" s="79">
        <f t="shared" si="8"/>
        <v>2.80625</v>
      </c>
      <c r="CM63" s="81">
        <f t="shared" si="9"/>
        <v>-6.066945607</v>
      </c>
      <c r="CN63" s="69">
        <v>53.0</v>
      </c>
      <c r="CO63" s="69">
        <v>49.0</v>
      </c>
      <c r="CP63" s="69">
        <v>45.0</v>
      </c>
      <c r="CQ63" s="69">
        <v>8.0</v>
      </c>
      <c r="CR63" s="71">
        <v>69.0</v>
      </c>
      <c r="CS63" s="69">
        <v>69.0</v>
      </c>
      <c r="CT63" s="69">
        <v>53.0</v>
      </c>
      <c r="CU63" s="69">
        <v>16.0</v>
      </c>
      <c r="CV63" s="71">
        <v>69.0</v>
      </c>
      <c r="CW63" s="69">
        <v>53.0</v>
      </c>
      <c r="CX63" s="69">
        <v>39.0</v>
      </c>
      <c r="CY63" s="69">
        <v>33.0</v>
      </c>
      <c r="CZ63" s="69"/>
      <c r="DA63" s="69">
        <v>5.0</v>
      </c>
      <c r="DB63" s="69">
        <v>3.0</v>
      </c>
      <c r="DC63" s="69"/>
      <c r="DD63" s="69">
        <v>-118.0</v>
      </c>
      <c r="DE63" s="69">
        <v>7.0</v>
      </c>
      <c r="DF63" s="69">
        <v>6.0</v>
      </c>
      <c r="DG63" s="69"/>
      <c r="DH63" s="69">
        <v>0.0</v>
      </c>
      <c r="DI63" s="69">
        <v>0.0</v>
      </c>
      <c r="DJ63" s="70"/>
      <c r="DK63" s="93">
        <v>499.0</v>
      </c>
      <c r="DL63" s="69">
        <v>175.0</v>
      </c>
      <c r="DM63" s="77">
        <f t="shared" si="10"/>
        <v>2.851428571</v>
      </c>
      <c r="DN63" s="83">
        <f t="shared" si="11"/>
        <v>11.13585746</v>
      </c>
    </row>
    <row r="64" ht="15.75" customHeight="1">
      <c r="A64" s="69">
        <v>58.0</v>
      </c>
      <c r="B64" s="69" t="s">
        <v>463</v>
      </c>
      <c r="C64" s="69" t="s">
        <v>464</v>
      </c>
      <c r="D64" s="70" t="s">
        <v>15</v>
      </c>
      <c r="E64" s="71">
        <v>210.0</v>
      </c>
      <c r="F64" s="69">
        <v>35.0</v>
      </c>
      <c r="G64" s="69">
        <v>35.0</v>
      </c>
      <c r="H64" s="69">
        <v>33.0</v>
      </c>
      <c r="I64" s="69">
        <v>2.0</v>
      </c>
      <c r="J64" s="72">
        <v>227.0</v>
      </c>
      <c r="K64" s="69">
        <v>64.0</v>
      </c>
      <c r="L64" s="69">
        <v>65.0</v>
      </c>
      <c r="M64" s="69">
        <v>54.0</v>
      </c>
      <c r="N64" s="69">
        <v>6.0</v>
      </c>
      <c r="O64" s="72">
        <v>47.0</v>
      </c>
      <c r="P64" s="69">
        <v>48.0</v>
      </c>
      <c r="Q64" s="69">
        <v>35.0</v>
      </c>
      <c r="R64" s="69">
        <v>21.0</v>
      </c>
      <c r="S64" s="70">
        <v>32.0</v>
      </c>
      <c r="T64" s="69">
        <f t="shared" si="1"/>
        <v>484</v>
      </c>
      <c r="U64" s="69">
        <v>140.0</v>
      </c>
      <c r="V64" s="73">
        <f t="shared" si="2"/>
        <v>3.457142857</v>
      </c>
      <c r="W64" s="74">
        <v>186.0</v>
      </c>
      <c r="X64" s="69">
        <v>38.0</v>
      </c>
      <c r="Y64" s="69">
        <v>38.0</v>
      </c>
      <c r="Z64" s="69">
        <v>34.0</v>
      </c>
      <c r="AA64" s="69">
        <v>4.0</v>
      </c>
      <c r="AB64" s="84">
        <v>204.0</v>
      </c>
      <c r="AC64" s="69">
        <v>64.0</v>
      </c>
      <c r="AD64" s="69">
        <v>64.0</v>
      </c>
      <c r="AE64" s="69">
        <v>57.0</v>
      </c>
      <c r="AF64" s="69">
        <v>7.0</v>
      </c>
      <c r="AG64" s="69">
        <v>57.0</v>
      </c>
      <c r="AH64" s="69">
        <v>17.0</v>
      </c>
      <c r="AI64" s="69">
        <v>10.0</v>
      </c>
      <c r="AJ64" s="69">
        <v>47.0</v>
      </c>
      <c r="AK64" s="69">
        <f t="shared" si="3"/>
        <v>390</v>
      </c>
      <c r="AL64" s="76">
        <v>150.0</v>
      </c>
      <c r="AM64" s="77">
        <f t="shared" si="4"/>
        <v>2.6</v>
      </c>
      <c r="AN64" s="73">
        <f t="shared" si="5"/>
        <v>-19.4214876</v>
      </c>
      <c r="AO64" s="69">
        <v>48.0</v>
      </c>
      <c r="AP64" s="69">
        <v>48.0</v>
      </c>
      <c r="AQ64" s="69">
        <v>46.0</v>
      </c>
      <c r="AR64" s="69">
        <v>2.0</v>
      </c>
      <c r="AS64" s="69">
        <v>58.0</v>
      </c>
      <c r="AT64" s="69">
        <v>58.0</v>
      </c>
      <c r="AU64" s="69">
        <v>44.0</v>
      </c>
      <c r="AV64" s="69">
        <v>14.0</v>
      </c>
      <c r="AW64" s="69">
        <v>70.0</v>
      </c>
      <c r="AX64" s="69">
        <v>16.0</v>
      </c>
      <c r="AY64" s="69">
        <v>11.0</v>
      </c>
      <c r="AZ64" s="69">
        <v>47.0</v>
      </c>
      <c r="BA64" s="69">
        <v>47.0</v>
      </c>
      <c r="BB64" s="69">
        <v>1.0</v>
      </c>
      <c r="BC64" s="69">
        <v>1.0</v>
      </c>
      <c r="BD64" s="69">
        <v>46.0</v>
      </c>
      <c r="BE64" s="69">
        <v>0.0</v>
      </c>
      <c r="BF64" s="69">
        <v>0.0</v>
      </c>
      <c r="BG64" s="69"/>
      <c r="BH64" s="70"/>
      <c r="BI64" s="78">
        <v>411.0</v>
      </c>
      <c r="BJ64" s="69">
        <v>160.0</v>
      </c>
      <c r="BK64" s="79">
        <f t="shared" si="6"/>
        <v>2.56875</v>
      </c>
      <c r="BL64" s="80">
        <f t="shared" si="7"/>
        <v>5.384615385</v>
      </c>
      <c r="BM64" s="69">
        <v>36.0</v>
      </c>
      <c r="BN64" s="69">
        <v>36.0</v>
      </c>
      <c r="BO64" s="69">
        <v>27.0</v>
      </c>
      <c r="BP64" s="69">
        <v>9.0</v>
      </c>
      <c r="BQ64" s="69">
        <v>51.0</v>
      </c>
      <c r="BR64" s="69">
        <v>51.0</v>
      </c>
      <c r="BS64" s="69">
        <v>46.0</v>
      </c>
      <c r="BT64" s="69">
        <v>5.0</v>
      </c>
      <c r="BU64" s="69">
        <v>47.0</v>
      </c>
      <c r="BV64" s="69">
        <v>15.0</v>
      </c>
      <c r="BW64" s="69">
        <v>11.0</v>
      </c>
      <c r="BX64" s="69">
        <v>36.0</v>
      </c>
      <c r="BY64" s="69">
        <v>36.0</v>
      </c>
      <c r="BZ64" s="69"/>
      <c r="CA64" s="69">
        <v>0.0</v>
      </c>
      <c r="CB64" s="69">
        <v>36.0</v>
      </c>
      <c r="CC64" s="69">
        <v>35.0</v>
      </c>
      <c r="CD64" s="69">
        <v>0.0</v>
      </c>
      <c r="CE64" s="69">
        <v>0.0</v>
      </c>
      <c r="CF64" s="69">
        <v>35.0</v>
      </c>
      <c r="CG64" s="69">
        <v>1.0</v>
      </c>
      <c r="CH64" s="69"/>
      <c r="CI64" s="70">
        <v>1.0</v>
      </c>
      <c r="CJ64" s="78">
        <v>447.0</v>
      </c>
      <c r="CK64" s="69">
        <v>120.0</v>
      </c>
      <c r="CL64" s="79">
        <f t="shared" si="8"/>
        <v>3.725</v>
      </c>
      <c r="CM64" s="81">
        <f t="shared" si="9"/>
        <v>8.759124088</v>
      </c>
      <c r="CN64" s="69">
        <v>41.0</v>
      </c>
      <c r="CO64" s="69">
        <v>40.0</v>
      </c>
      <c r="CP64" s="69">
        <v>36.0</v>
      </c>
      <c r="CQ64" s="69">
        <v>5.0</v>
      </c>
      <c r="CR64" s="71">
        <v>52.0</v>
      </c>
      <c r="CS64" s="69">
        <v>52.0</v>
      </c>
      <c r="CT64" s="69">
        <v>46.0</v>
      </c>
      <c r="CU64" s="69">
        <v>6.0</v>
      </c>
      <c r="CV64" s="71">
        <v>48.0</v>
      </c>
      <c r="CW64" s="69">
        <v>12.0</v>
      </c>
      <c r="CX64" s="69">
        <v>9.0</v>
      </c>
      <c r="CY64" s="69">
        <v>39.0</v>
      </c>
      <c r="CZ64" s="69"/>
      <c r="DA64" s="69">
        <v>3.0</v>
      </c>
      <c r="DB64" s="69">
        <v>0.0</v>
      </c>
      <c r="DC64" s="69"/>
      <c r="DD64" s="69">
        <v>-85.0</v>
      </c>
      <c r="DE64" s="69">
        <v>1.0</v>
      </c>
      <c r="DF64" s="69">
        <v>0.0</v>
      </c>
      <c r="DG64" s="69"/>
      <c r="DH64" s="69">
        <v>1.0</v>
      </c>
      <c r="DI64" s="69">
        <v>1.0</v>
      </c>
      <c r="DJ64" s="70"/>
      <c r="DK64" s="93">
        <v>519.0</v>
      </c>
      <c r="DL64" s="69">
        <v>135.0</v>
      </c>
      <c r="DM64" s="77">
        <f t="shared" si="10"/>
        <v>3.844444444</v>
      </c>
      <c r="DN64" s="83">
        <f t="shared" si="11"/>
        <v>16.10738255</v>
      </c>
    </row>
    <row r="65" ht="15.75" customHeight="1">
      <c r="A65" s="69">
        <v>59.0</v>
      </c>
      <c r="B65" s="69" t="s">
        <v>465</v>
      </c>
      <c r="C65" s="69" t="s">
        <v>466</v>
      </c>
      <c r="D65" s="70" t="s">
        <v>15</v>
      </c>
      <c r="E65" s="71">
        <v>356.0</v>
      </c>
      <c r="F65" s="69">
        <v>35.0</v>
      </c>
      <c r="G65" s="69">
        <v>37.0</v>
      </c>
      <c r="H65" s="69">
        <v>36.0</v>
      </c>
      <c r="I65" s="69">
        <v>-1.0</v>
      </c>
      <c r="J65" s="72">
        <v>823.0</v>
      </c>
      <c r="K65" s="69">
        <v>63.0</v>
      </c>
      <c r="L65" s="69">
        <v>64.0</v>
      </c>
      <c r="M65" s="69">
        <v>57.0</v>
      </c>
      <c r="N65" s="69">
        <v>5.0</v>
      </c>
      <c r="O65" s="72">
        <v>347.0</v>
      </c>
      <c r="P65" s="69">
        <v>47.0</v>
      </c>
      <c r="Q65" s="69">
        <v>51.0</v>
      </c>
      <c r="R65" s="69">
        <v>47.0</v>
      </c>
      <c r="S65" s="70">
        <v>0.0</v>
      </c>
      <c r="T65" s="69">
        <f t="shared" si="1"/>
        <v>1526</v>
      </c>
      <c r="U65" s="69">
        <v>140.0</v>
      </c>
      <c r="V65" s="73">
        <f t="shared" si="2"/>
        <v>10.9</v>
      </c>
      <c r="W65" s="74">
        <v>569.0</v>
      </c>
      <c r="X65" s="69">
        <v>38.0</v>
      </c>
      <c r="Y65" s="69">
        <v>36.0</v>
      </c>
      <c r="Z65" s="69">
        <v>34.0</v>
      </c>
      <c r="AA65" s="69">
        <v>4.0</v>
      </c>
      <c r="AB65" s="84">
        <v>723.0</v>
      </c>
      <c r="AC65" s="69">
        <v>64.0</v>
      </c>
      <c r="AD65" s="69">
        <v>64.0</v>
      </c>
      <c r="AE65" s="69">
        <v>58.0</v>
      </c>
      <c r="AF65" s="69">
        <v>6.0</v>
      </c>
      <c r="AG65" s="69">
        <v>57.0</v>
      </c>
      <c r="AH65" s="69">
        <v>57.0</v>
      </c>
      <c r="AI65" s="69">
        <v>44.0</v>
      </c>
      <c r="AJ65" s="69">
        <v>13.0</v>
      </c>
      <c r="AK65" s="69">
        <f t="shared" si="3"/>
        <v>1292</v>
      </c>
      <c r="AL65" s="76">
        <v>150.0</v>
      </c>
      <c r="AM65" s="77">
        <f t="shared" si="4"/>
        <v>8.613333333</v>
      </c>
      <c r="AN65" s="73">
        <f t="shared" si="5"/>
        <v>-15.33420708</v>
      </c>
      <c r="AO65" s="69">
        <v>54.0</v>
      </c>
      <c r="AP65" s="69">
        <v>54.0</v>
      </c>
      <c r="AQ65" s="69">
        <v>53.0</v>
      </c>
      <c r="AR65" s="69">
        <v>1.0</v>
      </c>
      <c r="AS65" s="69">
        <v>64.0</v>
      </c>
      <c r="AT65" s="69">
        <v>64.0</v>
      </c>
      <c r="AU65" s="69">
        <v>55.0</v>
      </c>
      <c r="AV65" s="69">
        <v>9.0</v>
      </c>
      <c r="AW65" s="69">
        <v>72.0</v>
      </c>
      <c r="AX65" s="69">
        <v>73.0</v>
      </c>
      <c r="AY65" s="69">
        <v>62.0</v>
      </c>
      <c r="AZ65" s="69">
        <v>2.0</v>
      </c>
      <c r="BA65" s="69">
        <v>2.0</v>
      </c>
      <c r="BB65" s="69">
        <v>7.0</v>
      </c>
      <c r="BC65" s="69">
        <v>3.0</v>
      </c>
      <c r="BD65" s="69">
        <v>-1.0</v>
      </c>
      <c r="BE65" s="69">
        <v>5.0</v>
      </c>
      <c r="BF65" s="69">
        <v>3.0</v>
      </c>
      <c r="BG65" s="69">
        <v>1.0</v>
      </c>
      <c r="BH65" s="70">
        <v>1.0</v>
      </c>
      <c r="BI65" s="78">
        <v>1764.0</v>
      </c>
      <c r="BJ65" s="69">
        <v>180.0</v>
      </c>
      <c r="BK65" s="79">
        <f t="shared" si="6"/>
        <v>9.8</v>
      </c>
      <c r="BL65" s="80">
        <f t="shared" si="7"/>
        <v>36.53250774</v>
      </c>
      <c r="BM65" s="69">
        <v>54.0</v>
      </c>
      <c r="BN65" s="69">
        <v>54.0</v>
      </c>
      <c r="BO65" s="69">
        <v>51.0</v>
      </c>
      <c r="BP65" s="69">
        <v>3.0</v>
      </c>
      <c r="BQ65" s="69">
        <v>66.0</v>
      </c>
      <c r="BR65" s="69">
        <v>66.0</v>
      </c>
      <c r="BS65" s="69">
        <v>56.0</v>
      </c>
      <c r="BT65" s="69">
        <v>10.0</v>
      </c>
      <c r="BU65" s="69">
        <v>73.0</v>
      </c>
      <c r="BV65" s="69">
        <v>68.0</v>
      </c>
      <c r="BW65" s="69">
        <v>62.0</v>
      </c>
      <c r="BX65" s="69">
        <v>6.0</v>
      </c>
      <c r="BY65" s="69">
        <v>6.0</v>
      </c>
      <c r="BZ65" s="69">
        <v>13.0</v>
      </c>
      <c r="CA65" s="69">
        <v>5.0</v>
      </c>
      <c r="CB65" s="69">
        <v>1.0</v>
      </c>
      <c r="CC65" s="69">
        <v>6.0</v>
      </c>
      <c r="CD65" s="69">
        <v>7.0</v>
      </c>
      <c r="CE65" s="69">
        <v>6.0</v>
      </c>
      <c r="CF65" s="69">
        <v>0.0</v>
      </c>
      <c r="CG65" s="69">
        <v>1.0</v>
      </c>
      <c r="CH65" s="69">
        <v>1.0</v>
      </c>
      <c r="CI65" s="70">
        <v>0.0</v>
      </c>
      <c r="CJ65" s="78">
        <v>1675.0</v>
      </c>
      <c r="CK65" s="69">
        <v>180.0</v>
      </c>
      <c r="CL65" s="79">
        <f t="shared" si="8"/>
        <v>9.305555556</v>
      </c>
      <c r="CM65" s="81">
        <f t="shared" si="9"/>
        <v>-5.045351474</v>
      </c>
      <c r="CN65" s="69">
        <v>54.0</v>
      </c>
      <c r="CO65" s="69">
        <v>52.0</v>
      </c>
      <c r="CP65" s="69">
        <v>50.0</v>
      </c>
      <c r="CQ65" s="69">
        <v>4.0</v>
      </c>
      <c r="CR65" s="71">
        <v>67.0</v>
      </c>
      <c r="CS65" s="69">
        <v>67.0</v>
      </c>
      <c r="CT65" s="69">
        <v>58.0</v>
      </c>
      <c r="CU65" s="69">
        <v>8.0</v>
      </c>
      <c r="CV65" s="71">
        <v>56.0</v>
      </c>
      <c r="CW65" s="69">
        <v>56.0</v>
      </c>
      <c r="CX65" s="69">
        <v>48.0</v>
      </c>
      <c r="CY65" s="69">
        <v>23.0</v>
      </c>
      <c r="CZ65" s="69"/>
      <c r="DA65" s="69">
        <v>31.0</v>
      </c>
      <c r="DB65" s="69">
        <v>15.0</v>
      </c>
      <c r="DC65" s="69"/>
      <c r="DD65" s="69">
        <v>-145.0</v>
      </c>
      <c r="DE65" s="69">
        <v>11.0</v>
      </c>
      <c r="DF65" s="69">
        <v>9.0</v>
      </c>
      <c r="DG65" s="69"/>
      <c r="DH65" s="69">
        <v>0.0</v>
      </c>
      <c r="DI65" s="69">
        <v>0.0</v>
      </c>
      <c r="DJ65" s="70"/>
      <c r="DK65" s="93">
        <v>1788.0</v>
      </c>
      <c r="DL65" s="69">
        <v>180.0</v>
      </c>
      <c r="DM65" s="77">
        <f t="shared" si="10"/>
        <v>9.933333333</v>
      </c>
      <c r="DN65" s="83">
        <f t="shared" si="11"/>
        <v>6.746268657</v>
      </c>
    </row>
    <row r="66" ht="15.75" customHeight="1">
      <c r="A66" s="69">
        <v>60.0</v>
      </c>
      <c r="B66" s="69" t="s">
        <v>467</v>
      </c>
      <c r="C66" s="69" t="s">
        <v>468</v>
      </c>
      <c r="D66" s="70" t="s">
        <v>15</v>
      </c>
      <c r="E66" s="71">
        <v>281.0</v>
      </c>
      <c r="F66" s="69">
        <v>25.0</v>
      </c>
      <c r="G66" s="69">
        <v>25.0</v>
      </c>
      <c r="H66" s="69">
        <v>23.0</v>
      </c>
      <c r="I66" s="69">
        <v>2.0</v>
      </c>
      <c r="J66" s="72">
        <v>254.0</v>
      </c>
      <c r="K66" s="69">
        <v>47.0</v>
      </c>
      <c r="L66" s="69">
        <v>48.0</v>
      </c>
      <c r="M66" s="69">
        <v>44.0</v>
      </c>
      <c r="N66" s="69">
        <v>2.0</v>
      </c>
      <c r="O66" s="72">
        <v>51.0</v>
      </c>
      <c r="P66" s="69">
        <v>32.0</v>
      </c>
      <c r="Q66" s="69">
        <v>29.0</v>
      </c>
      <c r="R66" s="69">
        <v>18.0</v>
      </c>
      <c r="S66" s="70">
        <v>15.0</v>
      </c>
      <c r="T66" s="69">
        <f t="shared" si="1"/>
        <v>586</v>
      </c>
      <c r="U66" s="69">
        <v>100.0</v>
      </c>
      <c r="V66" s="73">
        <f t="shared" si="2"/>
        <v>5.86</v>
      </c>
      <c r="W66" s="74">
        <v>342.0</v>
      </c>
      <c r="X66" s="69">
        <v>28.0</v>
      </c>
      <c r="Y66" s="69">
        <v>28.0</v>
      </c>
      <c r="Z66" s="69">
        <v>22.0</v>
      </c>
      <c r="AA66" s="69">
        <v>6.0</v>
      </c>
      <c r="AB66" s="84">
        <v>333.0</v>
      </c>
      <c r="AC66" s="69">
        <v>50.0</v>
      </c>
      <c r="AD66" s="69">
        <v>50.0</v>
      </c>
      <c r="AE66" s="69">
        <v>43.0</v>
      </c>
      <c r="AF66" s="69">
        <v>7.0</v>
      </c>
      <c r="AG66" s="69">
        <v>45.0</v>
      </c>
      <c r="AH66" s="69">
        <v>23.0</v>
      </c>
      <c r="AI66" s="69">
        <v>13.0</v>
      </c>
      <c r="AJ66" s="69">
        <v>32.0</v>
      </c>
      <c r="AK66" s="69">
        <f t="shared" si="3"/>
        <v>675</v>
      </c>
      <c r="AL66" s="76">
        <v>110.0</v>
      </c>
      <c r="AM66" s="77">
        <f t="shared" si="4"/>
        <v>6.136363636</v>
      </c>
      <c r="AN66" s="73">
        <f t="shared" si="5"/>
        <v>15.18771331</v>
      </c>
      <c r="AO66" s="69">
        <v>42.0</v>
      </c>
      <c r="AP66" s="69">
        <v>42.0</v>
      </c>
      <c r="AQ66" s="69">
        <v>39.0</v>
      </c>
      <c r="AR66" s="69">
        <v>3.0</v>
      </c>
      <c r="AS66" s="69">
        <v>52.0</v>
      </c>
      <c r="AT66" s="69">
        <v>52.0</v>
      </c>
      <c r="AU66" s="69">
        <v>42.0</v>
      </c>
      <c r="AV66" s="69">
        <v>10.0</v>
      </c>
      <c r="AW66" s="69">
        <v>59.0</v>
      </c>
      <c r="AX66" s="69">
        <v>23.0</v>
      </c>
      <c r="AY66" s="69">
        <v>14.0</v>
      </c>
      <c r="AZ66" s="69">
        <v>38.0</v>
      </c>
      <c r="BA66" s="69">
        <v>38.0</v>
      </c>
      <c r="BB66" s="69">
        <v>3.0</v>
      </c>
      <c r="BC66" s="69">
        <v>2.0</v>
      </c>
      <c r="BD66" s="69">
        <v>36.0</v>
      </c>
      <c r="BE66" s="69">
        <v>0.0</v>
      </c>
      <c r="BF66" s="69">
        <v>0.0</v>
      </c>
      <c r="BG66" s="69"/>
      <c r="BH66" s="70"/>
      <c r="BI66" s="78">
        <v>716.0</v>
      </c>
      <c r="BJ66" s="69">
        <v>140.0</v>
      </c>
      <c r="BK66" s="79">
        <f t="shared" si="6"/>
        <v>5.114285714</v>
      </c>
      <c r="BL66" s="80">
        <f t="shared" si="7"/>
        <v>6.074074074</v>
      </c>
      <c r="BM66" s="69">
        <v>42.0</v>
      </c>
      <c r="BN66" s="69">
        <v>42.0</v>
      </c>
      <c r="BO66" s="69">
        <v>35.0</v>
      </c>
      <c r="BP66" s="69">
        <v>7.0</v>
      </c>
      <c r="BQ66" s="69">
        <v>56.0</v>
      </c>
      <c r="BR66" s="69">
        <v>56.0</v>
      </c>
      <c r="BS66" s="69">
        <v>51.0</v>
      </c>
      <c r="BT66" s="69">
        <v>5.0</v>
      </c>
      <c r="BU66" s="69">
        <v>54.0</v>
      </c>
      <c r="BV66" s="69">
        <v>16.0</v>
      </c>
      <c r="BW66" s="69">
        <v>10.0</v>
      </c>
      <c r="BX66" s="69">
        <v>41.0</v>
      </c>
      <c r="BY66" s="69">
        <v>41.0</v>
      </c>
      <c r="BZ66" s="69">
        <v>5.0</v>
      </c>
      <c r="CA66" s="69">
        <v>3.0</v>
      </c>
      <c r="CB66" s="69">
        <v>38.0</v>
      </c>
      <c r="CC66" s="69">
        <v>41.0</v>
      </c>
      <c r="CD66" s="69">
        <v>1.0</v>
      </c>
      <c r="CE66" s="69">
        <v>0.0</v>
      </c>
      <c r="CF66" s="69">
        <v>41.0</v>
      </c>
      <c r="CG66" s="69"/>
      <c r="CH66" s="69"/>
      <c r="CI66" s="70">
        <v>0.0</v>
      </c>
      <c r="CJ66" s="78">
        <v>664.0</v>
      </c>
      <c r="CK66" s="69">
        <v>140.0</v>
      </c>
      <c r="CL66" s="79">
        <f t="shared" si="8"/>
        <v>4.742857143</v>
      </c>
      <c r="CM66" s="81">
        <f t="shared" si="9"/>
        <v>-7.262569832</v>
      </c>
      <c r="CN66" s="69">
        <v>42.0</v>
      </c>
      <c r="CO66" s="69">
        <v>40.0</v>
      </c>
      <c r="CP66" s="69">
        <v>38.0</v>
      </c>
      <c r="CQ66" s="69">
        <v>4.0</v>
      </c>
      <c r="CR66" s="71">
        <v>53.0</v>
      </c>
      <c r="CS66" s="69">
        <v>53.0</v>
      </c>
      <c r="CT66" s="69">
        <v>38.0</v>
      </c>
      <c r="CU66" s="69">
        <v>15.0</v>
      </c>
      <c r="CV66" s="71">
        <v>59.0</v>
      </c>
      <c r="CW66" s="69">
        <v>27.0</v>
      </c>
      <c r="CX66" s="69">
        <v>21.0</v>
      </c>
      <c r="CY66" s="69">
        <v>43.0</v>
      </c>
      <c r="CZ66" s="69"/>
      <c r="DA66" s="69">
        <v>7.0</v>
      </c>
      <c r="DB66" s="69">
        <v>5.0</v>
      </c>
      <c r="DC66" s="69"/>
      <c r="DD66" s="69">
        <v>-78.0</v>
      </c>
      <c r="DE66" s="69">
        <v>0.0</v>
      </c>
      <c r="DF66" s="69">
        <v>0.0</v>
      </c>
      <c r="DG66" s="69"/>
      <c r="DH66" s="69">
        <v>1.0</v>
      </c>
      <c r="DI66" s="69">
        <v>1.0</v>
      </c>
      <c r="DJ66" s="70"/>
      <c r="DK66" s="93">
        <v>764.0</v>
      </c>
      <c r="DL66" s="69">
        <v>140.0</v>
      </c>
      <c r="DM66" s="77">
        <f t="shared" si="10"/>
        <v>5.457142857</v>
      </c>
      <c r="DN66" s="83">
        <f t="shared" si="11"/>
        <v>15.06024096</v>
      </c>
    </row>
    <row r="67" ht="15.75" customHeight="1">
      <c r="A67" s="69">
        <v>61.0</v>
      </c>
      <c r="B67" s="69" t="s">
        <v>469</v>
      </c>
      <c r="C67" s="69" t="s">
        <v>470</v>
      </c>
      <c r="D67" s="70" t="s">
        <v>15</v>
      </c>
      <c r="E67" s="71">
        <v>233.0</v>
      </c>
      <c r="F67" s="69">
        <v>35.0</v>
      </c>
      <c r="G67" s="69">
        <v>35.0</v>
      </c>
      <c r="H67" s="69">
        <v>33.0</v>
      </c>
      <c r="I67" s="69">
        <v>2.0</v>
      </c>
      <c r="J67" s="72">
        <v>406.0</v>
      </c>
      <c r="K67" s="69">
        <v>65.0</v>
      </c>
      <c r="L67" s="69">
        <v>65.0</v>
      </c>
      <c r="M67" s="69">
        <v>60.0</v>
      </c>
      <c r="N67" s="69">
        <v>5.0</v>
      </c>
      <c r="O67" s="72">
        <v>247.0</v>
      </c>
      <c r="P67" s="69">
        <v>47.0</v>
      </c>
      <c r="Q67" s="69">
        <v>50.0</v>
      </c>
      <c r="R67" s="69">
        <v>39.0</v>
      </c>
      <c r="S67" s="70">
        <v>8.0</v>
      </c>
      <c r="T67" s="69">
        <f t="shared" si="1"/>
        <v>886</v>
      </c>
      <c r="U67" s="69">
        <v>140.0</v>
      </c>
      <c r="V67" s="73">
        <f t="shared" si="2"/>
        <v>6.328571429</v>
      </c>
      <c r="W67" s="74">
        <v>246.0</v>
      </c>
      <c r="X67" s="69">
        <v>38.0</v>
      </c>
      <c r="Y67" s="69">
        <v>38.0</v>
      </c>
      <c r="Z67" s="69">
        <v>35.0</v>
      </c>
      <c r="AA67" s="69">
        <v>3.0</v>
      </c>
      <c r="AB67" s="84">
        <v>356.0</v>
      </c>
      <c r="AC67" s="69">
        <v>63.0</v>
      </c>
      <c r="AD67" s="69">
        <v>63.0</v>
      </c>
      <c r="AE67" s="69">
        <v>51.0</v>
      </c>
      <c r="AF67" s="69">
        <v>12.0</v>
      </c>
      <c r="AG67" s="69">
        <v>60.0</v>
      </c>
      <c r="AH67" s="69">
        <v>60.0</v>
      </c>
      <c r="AI67" s="69">
        <v>50.0</v>
      </c>
      <c r="AJ67" s="69">
        <v>10.0</v>
      </c>
      <c r="AK67" s="69">
        <f t="shared" si="3"/>
        <v>602</v>
      </c>
      <c r="AL67" s="76">
        <v>150.0</v>
      </c>
      <c r="AM67" s="77">
        <f t="shared" si="4"/>
        <v>4.013333333</v>
      </c>
      <c r="AN67" s="73">
        <f t="shared" si="5"/>
        <v>-32.05417607</v>
      </c>
      <c r="AO67" s="69">
        <v>54.0</v>
      </c>
      <c r="AP67" s="69">
        <v>54.0</v>
      </c>
      <c r="AQ67" s="69">
        <v>50.0</v>
      </c>
      <c r="AR67" s="69">
        <v>4.0</v>
      </c>
      <c r="AS67" s="69">
        <v>67.0</v>
      </c>
      <c r="AT67" s="69">
        <v>67.0</v>
      </c>
      <c r="AU67" s="69">
        <v>57.0</v>
      </c>
      <c r="AV67" s="69">
        <v>10.0</v>
      </c>
      <c r="AW67" s="69">
        <v>73.0</v>
      </c>
      <c r="AX67" s="69">
        <v>74.0</v>
      </c>
      <c r="AY67" s="69">
        <v>60.0</v>
      </c>
      <c r="AZ67" s="69">
        <v>7.0</v>
      </c>
      <c r="BA67" s="69">
        <v>7.0</v>
      </c>
      <c r="BB67" s="69">
        <v>3.0</v>
      </c>
      <c r="BC67" s="69">
        <v>3.0</v>
      </c>
      <c r="BD67" s="69">
        <v>4.0</v>
      </c>
      <c r="BE67" s="69">
        <v>2.0</v>
      </c>
      <c r="BF67" s="69">
        <v>2.0</v>
      </c>
      <c r="BG67" s="69"/>
      <c r="BH67" s="70"/>
      <c r="BI67" s="78">
        <v>944.0</v>
      </c>
      <c r="BJ67" s="69">
        <v>180.0</v>
      </c>
      <c r="BK67" s="79">
        <f t="shared" si="6"/>
        <v>5.244444444</v>
      </c>
      <c r="BL67" s="80">
        <f t="shared" si="7"/>
        <v>56.81063123</v>
      </c>
      <c r="BM67" s="69">
        <v>54.0</v>
      </c>
      <c r="BN67" s="69">
        <v>54.0</v>
      </c>
      <c r="BO67" s="69">
        <v>46.0</v>
      </c>
      <c r="BP67" s="69">
        <v>8.0</v>
      </c>
      <c r="BQ67" s="69">
        <v>71.0</v>
      </c>
      <c r="BR67" s="69">
        <v>71.0</v>
      </c>
      <c r="BS67" s="69">
        <v>63.0</v>
      </c>
      <c r="BT67" s="69">
        <v>8.0</v>
      </c>
      <c r="BU67" s="69">
        <v>71.0</v>
      </c>
      <c r="BV67" s="69">
        <v>70.0</v>
      </c>
      <c r="BW67" s="69">
        <v>54.0</v>
      </c>
      <c r="BX67" s="69">
        <v>15.0</v>
      </c>
      <c r="BY67" s="69">
        <v>15.0</v>
      </c>
      <c r="BZ67" s="69">
        <v>3.0</v>
      </c>
      <c r="CA67" s="69">
        <v>2.0</v>
      </c>
      <c r="CB67" s="69">
        <v>13.0</v>
      </c>
      <c r="CC67" s="69">
        <v>15.0</v>
      </c>
      <c r="CD67" s="69">
        <v>14.0</v>
      </c>
      <c r="CE67" s="69">
        <v>9.0</v>
      </c>
      <c r="CF67" s="69">
        <v>6.0</v>
      </c>
      <c r="CG67" s="69"/>
      <c r="CH67" s="69"/>
      <c r="CI67" s="70">
        <v>0.0</v>
      </c>
      <c r="CJ67" s="78">
        <v>1020.0</v>
      </c>
      <c r="CK67" s="69">
        <v>180.0</v>
      </c>
      <c r="CL67" s="79">
        <f t="shared" si="8"/>
        <v>5.666666667</v>
      </c>
      <c r="CM67" s="81">
        <f t="shared" si="9"/>
        <v>8.050847458</v>
      </c>
      <c r="CN67" s="69">
        <v>54.0</v>
      </c>
      <c r="CO67" s="69">
        <v>52.0</v>
      </c>
      <c r="CP67" s="69">
        <v>46.0</v>
      </c>
      <c r="CQ67" s="69">
        <v>8.0</v>
      </c>
      <c r="CR67" s="71">
        <v>71.0</v>
      </c>
      <c r="CS67" s="69">
        <v>71.0</v>
      </c>
      <c r="CT67" s="69">
        <v>59.0</v>
      </c>
      <c r="CU67" s="69">
        <v>12.0</v>
      </c>
      <c r="CV67" s="71">
        <v>69.0</v>
      </c>
      <c r="CW67" s="69">
        <v>69.0</v>
      </c>
      <c r="CX67" s="69">
        <v>60.0</v>
      </c>
      <c r="CY67" s="69">
        <v>15.0</v>
      </c>
      <c r="CZ67" s="69"/>
      <c r="DA67" s="69">
        <v>12.0</v>
      </c>
      <c r="DB67" s="69">
        <v>6.0</v>
      </c>
      <c r="DC67" s="69"/>
      <c r="DD67" s="69">
        <v>-145.0</v>
      </c>
      <c r="DE67" s="69">
        <v>11.0</v>
      </c>
      <c r="DF67" s="69">
        <v>9.0</v>
      </c>
      <c r="DG67" s="69"/>
      <c r="DH67" s="69">
        <v>1.0</v>
      </c>
      <c r="DI67" s="69">
        <v>1.0</v>
      </c>
      <c r="DJ67" s="70"/>
      <c r="DK67" s="98">
        <v>1220.0</v>
      </c>
      <c r="DL67" s="69">
        <v>180.0</v>
      </c>
      <c r="DM67" s="77">
        <f t="shared" si="10"/>
        <v>6.777777778</v>
      </c>
      <c r="DN67" s="83">
        <f t="shared" si="11"/>
        <v>19.60784314</v>
      </c>
    </row>
    <row r="68" ht="15.75" customHeight="1">
      <c r="A68" s="69">
        <v>62.0</v>
      </c>
      <c r="B68" s="69" t="s">
        <v>471</v>
      </c>
      <c r="C68" s="69" t="s">
        <v>472</v>
      </c>
      <c r="D68" s="70" t="s">
        <v>15</v>
      </c>
      <c r="E68" s="71">
        <v>296.0</v>
      </c>
      <c r="F68" s="69">
        <v>54.0</v>
      </c>
      <c r="G68" s="69">
        <v>54.0</v>
      </c>
      <c r="H68" s="69">
        <v>50.0</v>
      </c>
      <c r="I68" s="69">
        <v>4.0</v>
      </c>
      <c r="J68" s="72">
        <v>449.0</v>
      </c>
      <c r="K68" s="69">
        <v>100.0</v>
      </c>
      <c r="L68" s="69">
        <v>100.0</v>
      </c>
      <c r="M68" s="69">
        <v>85.0</v>
      </c>
      <c r="N68" s="69">
        <v>12.0</v>
      </c>
      <c r="O68" s="72">
        <v>62.0</v>
      </c>
      <c r="P68" s="69">
        <v>76.0</v>
      </c>
      <c r="Q68" s="69">
        <v>43.0</v>
      </c>
      <c r="R68" s="69">
        <v>30.0</v>
      </c>
      <c r="S68" s="70">
        <v>50.0</v>
      </c>
      <c r="T68" s="69">
        <f t="shared" si="1"/>
        <v>807</v>
      </c>
      <c r="U68" s="69">
        <v>215.0</v>
      </c>
      <c r="V68" s="73">
        <f t="shared" si="2"/>
        <v>3.753488372</v>
      </c>
      <c r="W68" s="74">
        <v>273.0</v>
      </c>
      <c r="X68" s="69">
        <v>40.0</v>
      </c>
      <c r="Y68" s="69">
        <v>40.0</v>
      </c>
      <c r="Z68" s="69">
        <v>36.0</v>
      </c>
      <c r="AA68" s="69">
        <v>4.0</v>
      </c>
      <c r="AB68" s="84">
        <v>388.0</v>
      </c>
      <c r="AC68" s="69">
        <v>68.0</v>
      </c>
      <c r="AD68" s="69">
        <v>68.0</v>
      </c>
      <c r="AE68" s="69">
        <v>65.0</v>
      </c>
      <c r="AF68" s="69">
        <v>3.0</v>
      </c>
      <c r="AG68" s="69">
        <v>59.0</v>
      </c>
      <c r="AH68" s="69">
        <v>46.0</v>
      </c>
      <c r="AI68" s="69">
        <v>29.0</v>
      </c>
      <c r="AJ68" s="69">
        <v>30.0</v>
      </c>
      <c r="AK68" s="69">
        <f t="shared" si="3"/>
        <v>661</v>
      </c>
      <c r="AL68" s="76">
        <v>160.0</v>
      </c>
      <c r="AM68" s="77">
        <f t="shared" si="4"/>
        <v>4.13125</v>
      </c>
      <c r="AN68" s="73">
        <f t="shared" si="5"/>
        <v>-18.09169765</v>
      </c>
      <c r="AO68" s="69">
        <v>48.0</v>
      </c>
      <c r="AP68" s="69">
        <v>48.0</v>
      </c>
      <c r="AQ68" s="69">
        <v>41.0</v>
      </c>
      <c r="AR68" s="69">
        <v>7.0</v>
      </c>
      <c r="AS68" s="69">
        <v>63.0</v>
      </c>
      <c r="AT68" s="69">
        <v>63.0</v>
      </c>
      <c r="AU68" s="69">
        <v>55.0</v>
      </c>
      <c r="AV68" s="69">
        <v>8.0</v>
      </c>
      <c r="AW68" s="69">
        <v>64.0</v>
      </c>
      <c r="AX68" s="69">
        <v>44.0</v>
      </c>
      <c r="AY68" s="69">
        <v>33.0</v>
      </c>
      <c r="AZ68" s="69">
        <v>30.0</v>
      </c>
      <c r="BA68" s="69">
        <v>30.0</v>
      </c>
      <c r="BB68" s="69">
        <v>2.0</v>
      </c>
      <c r="BC68" s="69">
        <v>1.0</v>
      </c>
      <c r="BD68" s="69">
        <v>29.0</v>
      </c>
      <c r="BE68" s="69">
        <v>0.0</v>
      </c>
      <c r="BF68" s="69">
        <v>0.0</v>
      </c>
      <c r="BG68" s="69"/>
      <c r="BH68" s="70"/>
      <c r="BI68" s="78">
        <v>698.0</v>
      </c>
      <c r="BJ68" s="69">
        <v>160.0</v>
      </c>
      <c r="BK68" s="79">
        <f t="shared" si="6"/>
        <v>4.3625</v>
      </c>
      <c r="BL68" s="80">
        <f t="shared" si="7"/>
        <v>5.597579425</v>
      </c>
      <c r="BM68" s="69">
        <v>48.0</v>
      </c>
      <c r="BN68" s="69">
        <v>48.0</v>
      </c>
      <c r="BO68" s="69">
        <v>46.0</v>
      </c>
      <c r="BP68" s="69">
        <v>2.0</v>
      </c>
      <c r="BQ68" s="69">
        <v>58.0</v>
      </c>
      <c r="BR68" s="69">
        <v>58.0</v>
      </c>
      <c r="BS68" s="69">
        <v>50.0</v>
      </c>
      <c r="BT68" s="69">
        <v>8.0</v>
      </c>
      <c r="BU68" s="69">
        <v>64.0</v>
      </c>
      <c r="BV68" s="69">
        <v>29.0</v>
      </c>
      <c r="BW68" s="69">
        <v>21.0</v>
      </c>
      <c r="BX68" s="69">
        <v>40.0</v>
      </c>
      <c r="BY68" s="69">
        <v>40.0</v>
      </c>
      <c r="BZ68" s="69">
        <v>5.0</v>
      </c>
      <c r="CA68" s="69">
        <v>3.0</v>
      </c>
      <c r="CB68" s="69">
        <v>37.0</v>
      </c>
      <c r="CC68" s="69">
        <v>39.0</v>
      </c>
      <c r="CD68" s="69">
        <v>4.0</v>
      </c>
      <c r="CE68" s="69">
        <v>2.0</v>
      </c>
      <c r="CF68" s="69">
        <v>37.0</v>
      </c>
      <c r="CG68" s="69">
        <v>2.0</v>
      </c>
      <c r="CH68" s="69">
        <v>1.0</v>
      </c>
      <c r="CI68" s="70">
        <v>1.0</v>
      </c>
      <c r="CJ68" s="78">
        <v>640.0</v>
      </c>
      <c r="CK68" s="69">
        <v>160.0</v>
      </c>
      <c r="CL68" s="79">
        <f t="shared" si="8"/>
        <v>4</v>
      </c>
      <c r="CM68" s="81">
        <f t="shared" si="9"/>
        <v>-8.309455587</v>
      </c>
      <c r="CN68" s="69">
        <v>48.0</v>
      </c>
      <c r="CO68" s="69">
        <v>45.0</v>
      </c>
      <c r="CP68" s="69">
        <v>42.0</v>
      </c>
      <c r="CQ68" s="69">
        <v>6.0</v>
      </c>
      <c r="CR68" s="71">
        <v>62.0</v>
      </c>
      <c r="CS68" s="69">
        <v>62.0</v>
      </c>
      <c r="CT68" s="69">
        <v>58.0</v>
      </c>
      <c r="CU68" s="69">
        <v>4.0</v>
      </c>
      <c r="CV68" s="71">
        <v>57.0</v>
      </c>
      <c r="CW68" s="69">
        <v>26.0</v>
      </c>
      <c r="CX68" s="69">
        <v>19.0</v>
      </c>
      <c r="CY68" s="69">
        <v>41.0</v>
      </c>
      <c r="CZ68" s="69"/>
      <c r="DA68" s="69">
        <v>4.0</v>
      </c>
      <c r="DB68" s="69">
        <v>3.0</v>
      </c>
      <c r="DC68" s="69"/>
      <c r="DD68" s="69">
        <v>-109.0</v>
      </c>
      <c r="DE68" s="69">
        <v>0.0</v>
      </c>
      <c r="DF68" s="69">
        <v>0.0</v>
      </c>
      <c r="DG68" s="69"/>
      <c r="DH68" s="69">
        <v>0.0</v>
      </c>
      <c r="DI68" s="69">
        <v>0.0</v>
      </c>
      <c r="DJ68" s="70"/>
      <c r="DK68" s="82">
        <v>595.0</v>
      </c>
      <c r="DL68" s="69">
        <v>160.0</v>
      </c>
      <c r="DM68" s="77">
        <f t="shared" si="10"/>
        <v>3.71875</v>
      </c>
      <c r="DN68" s="83">
        <f t="shared" si="11"/>
        <v>-7.03125</v>
      </c>
    </row>
    <row r="69" ht="15.75" customHeight="1">
      <c r="A69" s="69">
        <v>63.0</v>
      </c>
      <c r="B69" s="69" t="s">
        <v>473</v>
      </c>
      <c r="C69" s="69" t="s">
        <v>474</v>
      </c>
      <c r="D69" s="70" t="s">
        <v>15</v>
      </c>
      <c r="E69" s="71">
        <v>12.0</v>
      </c>
      <c r="F69" s="69">
        <v>13.0</v>
      </c>
      <c r="G69" s="69">
        <v>7.0</v>
      </c>
      <c r="H69" s="69">
        <v>6.0</v>
      </c>
      <c r="I69" s="69">
        <v>7.0</v>
      </c>
      <c r="J69" s="72">
        <v>21.0</v>
      </c>
      <c r="K69" s="69">
        <v>29.0</v>
      </c>
      <c r="L69" s="69">
        <v>10.0</v>
      </c>
      <c r="M69" s="69">
        <v>7.0</v>
      </c>
      <c r="N69" s="69">
        <v>21.0</v>
      </c>
      <c r="O69" s="72">
        <v>2.0</v>
      </c>
      <c r="P69" s="69">
        <v>36.0</v>
      </c>
      <c r="Q69" s="69">
        <v>2.0</v>
      </c>
      <c r="R69" s="69">
        <v>1.0</v>
      </c>
      <c r="S69" s="70">
        <v>36.0</v>
      </c>
      <c r="T69" s="69">
        <f t="shared" si="1"/>
        <v>35</v>
      </c>
      <c r="U69" s="69">
        <v>50.0</v>
      </c>
      <c r="V69" s="73">
        <f t="shared" si="2"/>
        <v>0.7</v>
      </c>
      <c r="W69" s="74">
        <v>28.0</v>
      </c>
      <c r="X69" s="69">
        <v>15.0</v>
      </c>
      <c r="Y69" s="69">
        <v>15.0</v>
      </c>
      <c r="Z69" s="69">
        <v>10.0</v>
      </c>
      <c r="AA69" s="69">
        <v>5.0</v>
      </c>
      <c r="AB69" s="84">
        <v>32.0</v>
      </c>
      <c r="AC69" s="69">
        <v>29.0</v>
      </c>
      <c r="AD69" s="69">
        <v>22.0</v>
      </c>
      <c r="AE69" s="69">
        <v>16.0</v>
      </c>
      <c r="AF69" s="69">
        <v>13.0</v>
      </c>
      <c r="AG69" s="69">
        <v>30.0</v>
      </c>
      <c r="AH69" s="69">
        <v>1.0</v>
      </c>
      <c r="AI69" s="69">
        <v>0.0</v>
      </c>
      <c r="AJ69" s="69">
        <v>30.0</v>
      </c>
      <c r="AK69" s="69">
        <f t="shared" si="3"/>
        <v>60</v>
      </c>
      <c r="AL69" s="76">
        <v>60.0</v>
      </c>
      <c r="AM69" s="77">
        <f t="shared" si="4"/>
        <v>1</v>
      </c>
      <c r="AN69" s="73">
        <f t="shared" si="5"/>
        <v>71.42857143</v>
      </c>
      <c r="AO69" s="69">
        <v>24.0</v>
      </c>
      <c r="AP69" s="69">
        <v>19.0</v>
      </c>
      <c r="AQ69" s="69">
        <v>12.0</v>
      </c>
      <c r="AR69" s="69">
        <v>12.0</v>
      </c>
      <c r="AS69" s="69">
        <v>40.0</v>
      </c>
      <c r="AT69" s="69">
        <v>17.0</v>
      </c>
      <c r="AU69" s="69">
        <v>11.0</v>
      </c>
      <c r="AV69" s="69">
        <v>29.0</v>
      </c>
      <c r="AW69" s="69">
        <v>57.0</v>
      </c>
      <c r="AX69" s="69">
        <v>1.0</v>
      </c>
      <c r="AY69" s="69">
        <v>1.0</v>
      </c>
      <c r="AZ69" s="69">
        <v>39.0</v>
      </c>
      <c r="BA69" s="69">
        <v>39.0</v>
      </c>
      <c r="BB69" s="69">
        <v>0.0</v>
      </c>
      <c r="BC69" s="69">
        <v>0.0</v>
      </c>
      <c r="BD69" s="69">
        <v>39.0</v>
      </c>
      <c r="BE69" s="69">
        <v>0.0</v>
      </c>
      <c r="BF69" s="69">
        <v>0.0</v>
      </c>
      <c r="BG69" s="69"/>
      <c r="BH69" s="70"/>
      <c r="BI69" s="78">
        <v>65.0</v>
      </c>
      <c r="BJ69" s="69">
        <v>80.0</v>
      </c>
      <c r="BK69" s="79">
        <f t="shared" si="6"/>
        <v>0.8125</v>
      </c>
      <c r="BL69" s="80">
        <f t="shared" si="7"/>
        <v>8.333333333</v>
      </c>
      <c r="BM69" s="69">
        <v>24.0</v>
      </c>
      <c r="BN69" s="69">
        <v>16.0</v>
      </c>
      <c r="BO69" s="69">
        <v>10.0</v>
      </c>
      <c r="BP69" s="69">
        <v>14.0</v>
      </c>
      <c r="BQ69" s="69">
        <v>42.0</v>
      </c>
      <c r="BR69" s="69">
        <v>8.0</v>
      </c>
      <c r="BS69" s="69">
        <v>4.0</v>
      </c>
      <c r="BT69" s="69">
        <v>38.0</v>
      </c>
      <c r="BU69" s="69">
        <v>66.0</v>
      </c>
      <c r="BV69" s="69">
        <v>1.0</v>
      </c>
      <c r="BW69" s="69">
        <v>0.0</v>
      </c>
      <c r="BX69" s="69">
        <v>66.0</v>
      </c>
      <c r="BY69" s="69">
        <v>66.0</v>
      </c>
      <c r="BZ69" s="69"/>
      <c r="CA69" s="69">
        <v>0.0</v>
      </c>
      <c r="CB69" s="69">
        <v>66.0</v>
      </c>
      <c r="CC69" s="69">
        <v>66.0</v>
      </c>
      <c r="CD69" s="69">
        <v>0.0</v>
      </c>
      <c r="CE69" s="69">
        <v>0.0</v>
      </c>
      <c r="CF69" s="69">
        <v>66.0</v>
      </c>
      <c r="CG69" s="69"/>
      <c r="CH69" s="69"/>
      <c r="CI69" s="70">
        <v>0.0</v>
      </c>
      <c r="CJ69" s="78">
        <v>33.0</v>
      </c>
      <c r="CK69" s="69">
        <v>80.0</v>
      </c>
      <c r="CL69" s="79">
        <f t="shared" si="8"/>
        <v>0.4125</v>
      </c>
      <c r="CM69" s="81">
        <f t="shared" si="9"/>
        <v>-49.23076923</v>
      </c>
      <c r="CN69" s="69">
        <v>24.0</v>
      </c>
      <c r="CO69" s="69">
        <v>9.0</v>
      </c>
      <c r="CP69" s="69">
        <v>8.0</v>
      </c>
      <c r="CQ69" s="69">
        <v>16.0</v>
      </c>
      <c r="CR69" s="71">
        <v>44.0</v>
      </c>
      <c r="CS69" s="69">
        <v>9.0</v>
      </c>
      <c r="CT69" s="69">
        <v>5.0</v>
      </c>
      <c r="CU69" s="69">
        <v>39.0</v>
      </c>
      <c r="CV69" s="71">
        <v>67.0</v>
      </c>
      <c r="CW69" s="69">
        <v>2.0</v>
      </c>
      <c r="CX69" s="69">
        <v>0.0</v>
      </c>
      <c r="CY69" s="69">
        <v>67.0</v>
      </c>
      <c r="CZ69" s="69"/>
      <c r="DA69" s="69">
        <v>0.0</v>
      </c>
      <c r="DB69" s="69">
        <v>0.0</v>
      </c>
      <c r="DC69" s="69"/>
      <c r="DD69" s="69">
        <v>42.0</v>
      </c>
      <c r="DE69" s="69">
        <v>0.0</v>
      </c>
      <c r="DF69" s="69">
        <v>0.0</v>
      </c>
      <c r="DG69" s="69"/>
      <c r="DH69" s="69">
        <v>0.0</v>
      </c>
      <c r="DI69" s="69">
        <v>0.0</v>
      </c>
      <c r="DJ69" s="70"/>
      <c r="DK69" s="82">
        <v>29.0</v>
      </c>
      <c r="DL69" s="69">
        <v>80.0</v>
      </c>
      <c r="DM69" s="77">
        <f t="shared" si="10"/>
        <v>0.3625</v>
      </c>
      <c r="DN69" s="83">
        <f t="shared" si="11"/>
        <v>-12.12121212</v>
      </c>
    </row>
    <row r="70" ht="15.75" customHeight="1">
      <c r="A70" s="69">
        <v>64.0</v>
      </c>
      <c r="B70" s="69" t="s">
        <v>475</v>
      </c>
      <c r="C70" s="69" t="s">
        <v>476</v>
      </c>
      <c r="D70" s="70" t="s">
        <v>278</v>
      </c>
      <c r="E70" s="69"/>
      <c r="F70" s="69">
        <v>0.0</v>
      </c>
      <c r="G70" s="69">
        <v>0.0</v>
      </c>
      <c r="H70" s="69">
        <v>0.0</v>
      </c>
      <c r="I70" s="69">
        <v>0.0</v>
      </c>
      <c r="J70" s="99"/>
      <c r="K70" s="69">
        <v>0.0</v>
      </c>
      <c r="L70" s="69">
        <v>0.0</v>
      </c>
      <c r="M70" s="69">
        <v>0.0</v>
      </c>
      <c r="N70" s="69">
        <v>0.0</v>
      </c>
      <c r="O70" s="72">
        <v>26.0</v>
      </c>
      <c r="P70" s="69">
        <v>80.0</v>
      </c>
      <c r="Q70" s="69">
        <v>17.0</v>
      </c>
      <c r="R70" s="69">
        <v>13.0</v>
      </c>
      <c r="S70" s="70">
        <v>67.0</v>
      </c>
      <c r="T70" s="69">
        <f t="shared" si="1"/>
        <v>26</v>
      </c>
      <c r="U70" s="69">
        <v>80.0</v>
      </c>
      <c r="V70" s="73">
        <f t="shared" si="2"/>
        <v>0.325</v>
      </c>
      <c r="W70" s="74">
        <v>49.0</v>
      </c>
      <c r="X70" s="69">
        <v>10.0</v>
      </c>
      <c r="Y70" s="69">
        <v>6.0</v>
      </c>
      <c r="Z70" s="69">
        <v>5.0</v>
      </c>
      <c r="AA70" s="69">
        <v>5.0</v>
      </c>
      <c r="AB70" s="84">
        <v>90.0</v>
      </c>
      <c r="AC70" s="69">
        <v>21.0</v>
      </c>
      <c r="AD70" s="69">
        <v>19.0</v>
      </c>
      <c r="AE70" s="69">
        <v>11.0</v>
      </c>
      <c r="AF70" s="69">
        <v>10.0</v>
      </c>
      <c r="AG70" s="69">
        <v>20.0</v>
      </c>
      <c r="AH70" s="69">
        <v>7.0</v>
      </c>
      <c r="AI70" s="69">
        <v>5.0</v>
      </c>
      <c r="AJ70" s="69">
        <v>15.0</v>
      </c>
      <c r="AK70" s="69">
        <f t="shared" si="3"/>
        <v>139</v>
      </c>
      <c r="AL70" s="76">
        <v>40.0</v>
      </c>
      <c r="AM70" s="77">
        <f t="shared" si="4"/>
        <v>3.475</v>
      </c>
      <c r="AN70" s="73">
        <f t="shared" si="5"/>
        <v>434.6153846</v>
      </c>
      <c r="AO70" s="69">
        <v>24.0</v>
      </c>
      <c r="AP70" s="69">
        <v>24.0</v>
      </c>
      <c r="AQ70" s="69">
        <v>24.0</v>
      </c>
      <c r="AR70" s="69">
        <v>0.0</v>
      </c>
      <c r="AS70" s="69">
        <v>28.0</v>
      </c>
      <c r="AT70" s="69">
        <v>28.0</v>
      </c>
      <c r="AU70" s="69">
        <v>23.0</v>
      </c>
      <c r="AV70" s="69">
        <v>5.0</v>
      </c>
      <c r="AW70" s="69">
        <v>33.0</v>
      </c>
      <c r="AX70" s="69">
        <v>32.0</v>
      </c>
      <c r="AY70" s="69">
        <v>22.0</v>
      </c>
      <c r="AZ70" s="69">
        <v>6.0</v>
      </c>
      <c r="BA70" s="69">
        <v>6.0</v>
      </c>
      <c r="BB70" s="69">
        <v>1.0</v>
      </c>
      <c r="BC70" s="69">
        <v>1.0</v>
      </c>
      <c r="BD70" s="69">
        <v>5.0</v>
      </c>
      <c r="BE70" s="69">
        <v>1.0</v>
      </c>
      <c r="BF70" s="69">
        <v>1.0</v>
      </c>
      <c r="BG70" s="69"/>
      <c r="BH70" s="70"/>
      <c r="BI70" s="78">
        <v>1824.0</v>
      </c>
      <c r="BJ70" s="69">
        <v>80.0</v>
      </c>
      <c r="BK70" s="79">
        <f t="shared" si="6"/>
        <v>22.8</v>
      </c>
      <c r="BL70" s="80">
        <f t="shared" si="7"/>
        <v>1212.230216</v>
      </c>
      <c r="BM70" s="69">
        <v>24.0</v>
      </c>
      <c r="BN70" s="69">
        <v>24.0</v>
      </c>
      <c r="BO70" s="69">
        <v>24.0</v>
      </c>
      <c r="BP70" s="69">
        <v>0.0</v>
      </c>
      <c r="BQ70" s="69">
        <v>28.0</v>
      </c>
      <c r="BR70" s="69">
        <v>28.0</v>
      </c>
      <c r="BS70" s="69">
        <v>15.0</v>
      </c>
      <c r="BT70" s="69">
        <v>13.0</v>
      </c>
      <c r="BU70" s="69">
        <v>41.0</v>
      </c>
      <c r="BV70" s="69">
        <v>32.0</v>
      </c>
      <c r="BW70" s="69">
        <v>8.0</v>
      </c>
      <c r="BX70" s="69">
        <v>32.0</v>
      </c>
      <c r="BY70" s="69">
        <v>32.0</v>
      </c>
      <c r="BZ70" s="69">
        <v>2.0</v>
      </c>
      <c r="CA70" s="69">
        <v>1.0</v>
      </c>
      <c r="CB70" s="69">
        <v>31.0</v>
      </c>
      <c r="CC70" s="69">
        <v>32.0</v>
      </c>
      <c r="CD70" s="69">
        <v>3.0</v>
      </c>
      <c r="CE70" s="69">
        <v>2.0</v>
      </c>
      <c r="CF70" s="69">
        <v>30.0</v>
      </c>
      <c r="CG70" s="69"/>
      <c r="CH70" s="69"/>
      <c r="CI70" s="70">
        <v>0.0</v>
      </c>
      <c r="CJ70" s="78">
        <v>1764.0</v>
      </c>
      <c r="CK70" s="69">
        <v>80.0</v>
      </c>
      <c r="CL70" s="79">
        <f t="shared" si="8"/>
        <v>22.05</v>
      </c>
      <c r="CM70" s="81">
        <f t="shared" si="9"/>
        <v>-3.289473684</v>
      </c>
      <c r="CN70" s="69">
        <v>24.0</v>
      </c>
      <c r="CO70" s="69">
        <v>21.0</v>
      </c>
      <c r="CP70" s="69">
        <v>19.0</v>
      </c>
      <c r="CQ70" s="69">
        <v>5.0</v>
      </c>
      <c r="CR70" s="71">
        <v>33.0</v>
      </c>
      <c r="CS70" s="69">
        <v>33.0</v>
      </c>
      <c r="CT70" s="69">
        <v>28.0</v>
      </c>
      <c r="CU70" s="69">
        <v>5.0</v>
      </c>
      <c r="CV70" s="71">
        <v>33.0</v>
      </c>
      <c r="CW70" s="69">
        <v>17.0</v>
      </c>
      <c r="CX70" s="69">
        <v>11.0</v>
      </c>
      <c r="CY70" s="69">
        <v>22.0</v>
      </c>
      <c r="CZ70" s="69"/>
      <c r="DA70" s="69">
        <v>2.0</v>
      </c>
      <c r="DB70" s="69">
        <v>0.0</v>
      </c>
      <c r="DC70" s="69"/>
      <c r="DD70" s="69">
        <v>-48.0</v>
      </c>
      <c r="DE70" s="69">
        <v>1.0</v>
      </c>
      <c r="DF70" s="69">
        <v>1.0</v>
      </c>
      <c r="DG70" s="69"/>
      <c r="DH70" s="69">
        <v>0.0</v>
      </c>
      <c r="DI70" s="69">
        <v>0.0</v>
      </c>
      <c r="DJ70" s="70"/>
      <c r="DK70" s="82">
        <v>1794.0</v>
      </c>
      <c r="DL70" s="69">
        <v>80.0</v>
      </c>
      <c r="DM70" s="77">
        <f t="shared" si="10"/>
        <v>22.425</v>
      </c>
      <c r="DN70" s="83">
        <f t="shared" si="11"/>
        <v>1.700680272</v>
      </c>
    </row>
    <row r="71" ht="15.75" customHeight="1">
      <c r="A71" s="69">
        <v>65.0</v>
      </c>
      <c r="B71" s="69" t="s">
        <v>477</v>
      </c>
      <c r="C71" s="69" t="s">
        <v>478</v>
      </c>
      <c r="D71" s="70" t="s">
        <v>22</v>
      </c>
      <c r="E71" s="69"/>
      <c r="F71" s="69"/>
      <c r="G71" s="69"/>
      <c r="H71" s="69"/>
      <c r="I71" s="69"/>
      <c r="J71" s="99"/>
      <c r="K71" s="69"/>
      <c r="L71" s="69"/>
      <c r="M71" s="69"/>
      <c r="N71" s="69"/>
      <c r="O71" s="99"/>
      <c r="P71" s="69"/>
      <c r="Q71" s="69"/>
      <c r="R71" s="69"/>
      <c r="S71" s="70"/>
      <c r="T71" s="69">
        <f t="shared" si="1"/>
        <v>0</v>
      </c>
      <c r="U71" s="69"/>
      <c r="V71" s="73" t="str">
        <f t="shared" si="2"/>
        <v>#DIV/0!</v>
      </c>
      <c r="W71" s="74">
        <v>8.0</v>
      </c>
      <c r="X71" s="69">
        <v>20.0</v>
      </c>
      <c r="Y71" s="69">
        <v>20.0</v>
      </c>
      <c r="Z71" s="69">
        <v>17.0</v>
      </c>
      <c r="AA71" s="69">
        <v>3.0</v>
      </c>
      <c r="AB71" s="84">
        <v>25.0</v>
      </c>
      <c r="AC71" s="69">
        <v>35.0</v>
      </c>
      <c r="AD71" s="69">
        <v>35.0</v>
      </c>
      <c r="AE71" s="69">
        <v>30.0</v>
      </c>
      <c r="AF71" s="69">
        <v>5.0</v>
      </c>
      <c r="AG71" s="69">
        <v>33.0</v>
      </c>
      <c r="AH71" s="69">
        <v>19.0</v>
      </c>
      <c r="AI71" s="69">
        <v>15.0</v>
      </c>
      <c r="AJ71" s="69">
        <v>18.0</v>
      </c>
      <c r="AK71" s="69">
        <f t="shared" si="3"/>
        <v>33</v>
      </c>
      <c r="AL71" s="76">
        <v>80.0</v>
      </c>
      <c r="AM71" s="77">
        <f t="shared" si="4"/>
        <v>0.4125</v>
      </c>
      <c r="AN71" s="100"/>
      <c r="AO71" s="69">
        <v>9.0</v>
      </c>
      <c r="AP71" s="69">
        <v>9.0</v>
      </c>
      <c r="AQ71" s="69">
        <v>6.0</v>
      </c>
      <c r="AR71" s="69">
        <v>3.0</v>
      </c>
      <c r="AS71" s="69">
        <v>14.0</v>
      </c>
      <c r="AT71" s="69">
        <v>14.0</v>
      </c>
      <c r="AU71" s="69">
        <v>0.0</v>
      </c>
      <c r="AV71" s="69">
        <v>14.0</v>
      </c>
      <c r="AW71" s="69">
        <v>24.0</v>
      </c>
      <c r="AX71" s="69">
        <v>5.0</v>
      </c>
      <c r="AY71" s="69">
        <v>2.0</v>
      </c>
      <c r="AZ71" s="69">
        <v>12.0</v>
      </c>
      <c r="BA71" s="69">
        <v>12.0</v>
      </c>
      <c r="BB71" s="69">
        <v>0.0</v>
      </c>
      <c r="BC71" s="69">
        <v>0.0</v>
      </c>
      <c r="BD71" s="69">
        <v>12.0</v>
      </c>
      <c r="BE71" s="69">
        <v>0.0</v>
      </c>
      <c r="BF71" s="69">
        <v>0.0</v>
      </c>
      <c r="BG71" s="69"/>
      <c r="BH71" s="70"/>
      <c r="BI71" s="78">
        <v>409.0</v>
      </c>
      <c r="BJ71" s="69">
        <v>30.0</v>
      </c>
      <c r="BK71" s="79">
        <f t="shared" si="6"/>
        <v>13.63333333</v>
      </c>
      <c r="BL71" s="80">
        <f t="shared" si="7"/>
        <v>1139.393939</v>
      </c>
      <c r="BM71" s="69">
        <v>9.0</v>
      </c>
      <c r="BN71" s="69">
        <v>9.0</v>
      </c>
      <c r="BO71" s="69">
        <v>5.0</v>
      </c>
      <c r="BP71" s="69">
        <v>4.0</v>
      </c>
      <c r="BQ71" s="69">
        <v>15.0</v>
      </c>
      <c r="BR71" s="69">
        <v>15.0</v>
      </c>
      <c r="BS71" s="69">
        <v>3.0</v>
      </c>
      <c r="BT71" s="69">
        <v>12.0</v>
      </c>
      <c r="BU71" s="69">
        <v>22.0</v>
      </c>
      <c r="BV71" s="69">
        <v>5.0</v>
      </c>
      <c r="BW71" s="69">
        <v>5.0</v>
      </c>
      <c r="BX71" s="69">
        <v>17.0</v>
      </c>
      <c r="BY71" s="69">
        <v>17.0</v>
      </c>
      <c r="BZ71" s="69"/>
      <c r="CA71" s="69">
        <v>0.0</v>
      </c>
      <c r="CB71" s="69">
        <v>17.0</v>
      </c>
      <c r="CC71" s="69">
        <v>17.0</v>
      </c>
      <c r="CD71" s="69">
        <v>0.0</v>
      </c>
      <c r="CE71" s="69">
        <v>0.0</v>
      </c>
      <c r="CF71" s="69">
        <v>17.0</v>
      </c>
      <c r="CG71" s="69"/>
      <c r="CH71" s="69"/>
      <c r="CI71" s="70">
        <v>0.0</v>
      </c>
      <c r="CJ71" s="78">
        <v>473.0</v>
      </c>
      <c r="CK71" s="69">
        <v>30.0</v>
      </c>
      <c r="CL71" s="79">
        <f t="shared" si="8"/>
        <v>15.76666667</v>
      </c>
      <c r="CM71" s="81">
        <f t="shared" si="9"/>
        <v>15.64792176</v>
      </c>
      <c r="CN71" s="69">
        <v>9.0</v>
      </c>
      <c r="CO71" s="69">
        <v>9.0</v>
      </c>
      <c r="CP71" s="69">
        <v>7.0</v>
      </c>
      <c r="CQ71" s="69">
        <v>2.0</v>
      </c>
      <c r="CR71" s="71">
        <v>13.0</v>
      </c>
      <c r="CS71" s="69">
        <v>12.0</v>
      </c>
      <c r="CT71" s="69">
        <v>5.0</v>
      </c>
      <c r="CU71" s="69">
        <v>8.0</v>
      </c>
      <c r="CV71" s="71">
        <v>18.0</v>
      </c>
      <c r="CW71" s="69">
        <v>5.0</v>
      </c>
      <c r="CX71" s="69">
        <v>3.0</v>
      </c>
      <c r="CY71" s="69">
        <v>15.0</v>
      </c>
      <c r="CZ71" s="69"/>
      <c r="DA71" s="69">
        <v>0.0</v>
      </c>
      <c r="DB71" s="69">
        <v>0.0</v>
      </c>
      <c r="DC71" s="69"/>
      <c r="DD71" s="69">
        <v>-5.0</v>
      </c>
      <c r="DE71" s="69">
        <v>0.0</v>
      </c>
      <c r="DF71" s="69">
        <v>0.0</v>
      </c>
      <c r="DG71" s="69"/>
      <c r="DH71" s="69">
        <v>0.0</v>
      </c>
      <c r="DI71" s="69">
        <v>0.0</v>
      </c>
      <c r="DJ71" s="70"/>
      <c r="DK71" s="82">
        <v>572.0</v>
      </c>
      <c r="DL71" s="69">
        <v>30.0</v>
      </c>
      <c r="DM71" s="77">
        <f t="shared" si="10"/>
        <v>19.06666667</v>
      </c>
      <c r="DN71" s="83">
        <f t="shared" si="11"/>
        <v>20.93023256</v>
      </c>
    </row>
    <row r="72" ht="15.75" customHeight="1">
      <c r="A72" s="69">
        <v>66.0</v>
      </c>
      <c r="B72" s="69" t="s">
        <v>479</v>
      </c>
      <c r="C72" s="69" t="s">
        <v>480</v>
      </c>
      <c r="D72" s="70" t="s">
        <v>22</v>
      </c>
      <c r="E72" s="69"/>
      <c r="F72" s="69"/>
      <c r="G72" s="69"/>
      <c r="H72" s="69"/>
      <c r="I72" s="69"/>
      <c r="J72" s="99"/>
      <c r="K72" s="69"/>
      <c r="L72" s="69"/>
      <c r="M72" s="69"/>
      <c r="N72" s="69"/>
      <c r="O72" s="99"/>
      <c r="P72" s="69"/>
      <c r="Q72" s="69"/>
      <c r="R72" s="69"/>
      <c r="S72" s="70"/>
      <c r="T72" s="69">
        <f t="shared" si="1"/>
        <v>0</v>
      </c>
      <c r="U72" s="69"/>
      <c r="V72" s="73" t="str">
        <f t="shared" si="2"/>
        <v>#DIV/0!</v>
      </c>
      <c r="W72" s="74">
        <v>13.0</v>
      </c>
      <c r="X72" s="69">
        <v>25.0</v>
      </c>
      <c r="Y72" s="69">
        <v>11.0</v>
      </c>
      <c r="Z72" s="69">
        <v>5.0</v>
      </c>
      <c r="AA72" s="69">
        <v>20.0</v>
      </c>
      <c r="AB72" s="84">
        <v>20.0</v>
      </c>
      <c r="AC72" s="69">
        <v>60.0</v>
      </c>
      <c r="AD72" s="69">
        <v>14.0</v>
      </c>
      <c r="AE72" s="69">
        <v>10.0</v>
      </c>
      <c r="AF72" s="69">
        <v>50.0</v>
      </c>
      <c r="AG72" s="69">
        <v>50.0</v>
      </c>
      <c r="AH72" s="69">
        <v>3.0</v>
      </c>
      <c r="AI72" s="69">
        <v>3.0</v>
      </c>
      <c r="AJ72" s="69">
        <v>47.0</v>
      </c>
      <c r="AK72" s="69">
        <f t="shared" si="3"/>
        <v>33</v>
      </c>
      <c r="AL72" s="76">
        <v>100.0</v>
      </c>
      <c r="AM72" s="77">
        <f t="shared" si="4"/>
        <v>0.33</v>
      </c>
      <c r="AN72" s="100"/>
      <c r="AO72" s="69">
        <v>24.0</v>
      </c>
      <c r="AP72" s="69">
        <v>15.0</v>
      </c>
      <c r="AQ72" s="69">
        <v>12.0</v>
      </c>
      <c r="AR72" s="69">
        <v>12.0</v>
      </c>
      <c r="AS72" s="69">
        <v>40.0</v>
      </c>
      <c r="AT72" s="69">
        <v>40.0</v>
      </c>
      <c r="AU72" s="69">
        <v>14.0</v>
      </c>
      <c r="AV72" s="69">
        <v>26.0</v>
      </c>
      <c r="AW72" s="69">
        <v>54.0</v>
      </c>
      <c r="AX72" s="69">
        <v>2.0</v>
      </c>
      <c r="AY72" s="69">
        <v>0.0</v>
      </c>
      <c r="AZ72" s="69">
        <v>40.0</v>
      </c>
      <c r="BA72" s="69">
        <v>40.0</v>
      </c>
      <c r="BB72" s="69">
        <v>0.0</v>
      </c>
      <c r="BC72" s="69">
        <v>0.0</v>
      </c>
      <c r="BD72" s="69">
        <v>40.0</v>
      </c>
      <c r="BE72" s="69">
        <v>0.0</v>
      </c>
      <c r="BF72" s="69">
        <v>0.0</v>
      </c>
      <c r="BG72" s="69"/>
      <c r="BH72" s="70"/>
      <c r="BI72" s="78">
        <v>631.0</v>
      </c>
      <c r="BJ72" s="69">
        <v>80.0</v>
      </c>
      <c r="BK72" s="79">
        <f t="shared" si="6"/>
        <v>7.8875</v>
      </c>
      <c r="BL72" s="80">
        <f t="shared" si="7"/>
        <v>1812.121212</v>
      </c>
      <c r="BM72" s="69">
        <v>30.0</v>
      </c>
      <c r="BN72" s="69">
        <v>7.0</v>
      </c>
      <c r="BO72" s="69">
        <v>3.0</v>
      </c>
      <c r="BP72" s="69">
        <v>27.0</v>
      </c>
      <c r="BQ72" s="69">
        <v>62.0</v>
      </c>
      <c r="BR72" s="69">
        <v>62.0</v>
      </c>
      <c r="BS72" s="69">
        <v>27.0</v>
      </c>
      <c r="BT72" s="69">
        <v>35.0</v>
      </c>
      <c r="BU72" s="69">
        <v>70.0</v>
      </c>
      <c r="BV72" s="69">
        <v>2.0</v>
      </c>
      <c r="BW72" s="69">
        <v>2.0</v>
      </c>
      <c r="BX72" s="69">
        <v>68.0</v>
      </c>
      <c r="BY72" s="69">
        <v>68.0</v>
      </c>
      <c r="BZ72" s="69"/>
      <c r="CA72" s="69">
        <v>0.0</v>
      </c>
      <c r="CB72" s="69">
        <v>68.0</v>
      </c>
      <c r="CC72" s="69">
        <v>68.0</v>
      </c>
      <c r="CD72" s="69">
        <v>0.0</v>
      </c>
      <c r="CE72" s="69">
        <v>0.0</v>
      </c>
      <c r="CF72" s="69">
        <v>68.0</v>
      </c>
      <c r="CG72" s="69"/>
      <c r="CH72" s="69"/>
      <c r="CI72" s="70">
        <v>0.0</v>
      </c>
      <c r="CJ72" s="78">
        <v>842.0</v>
      </c>
      <c r="CK72" s="69">
        <v>100.0</v>
      </c>
      <c r="CL72" s="79">
        <f t="shared" si="8"/>
        <v>8.42</v>
      </c>
      <c r="CM72" s="81">
        <f t="shared" si="9"/>
        <v>33.43898574</v>
      </c>
      <c r="CN72" s="69">
        <v>30.0</v>
      </c>
      <c r="CO72" s="69">
        <v>10.0</v>
      </c>
      <c r="CP72" s="69">
        <v>8.0</v>
      </c>
      <c r="CQ72" s="69">
        <v>22.0</v>
      </c>
      <c r="CR72" s="71">
        <v>57.0</v>
      </c>
      <c r="CS72" s="69">
        <v>57.0</v>
      </c>
      <c r="CT72" s="69">
        <v>17.0</v>
      </c>
      <c r="CU72" s="69">
        <v>40.0</v>
      </c>
      <c r="CV72" s="71">
        <v>75.0</v>
      </c>
      <c r="CW72" s="69">
        <v>4.0</v>
      </c>
      <c r="CX72" s="69">
        <v>2.0</v>
      </c>
      <c r="CY72" s="69">
        <v>73.0</v>
      </c>
      <c r="CZ72" s="69"/>
      <c r="DA72" s="69">
        <v>0.0</v>
      </c>
      <c r="DB72" s="69">
        <v>0.0</v>
      </c>
      <c r="DC72" s="69"/>
      <c r="DD72" s="69">
        <v>35.0</v>
      </c>
      <c r="DE72" s="69">
        <v>0.0</v>
      </c>
      <c r="DF72" s="69">
        <v>0.0</v>
      </c>
      <c r="DG72" s="69"/>
      <c r="DH72" s="69">
        <v>0.0</v>
      </c>
      <c r="DI72" s="69">
        <v>0.0</v>
      </c>
      <c r="DJ72" s="70"/>
      <c r="DK72" s="82">
        <v>801.0</v>
      </c>
      <c r="DL72" s="69">
        <v>100.0</v>
      </c>
      <c r="DM72" s="77">
        <f t="shared" si="10"/>
        <v>8.01</v>
      </c>
      <c r="DN72" s="83">
        <f t="shared" si="11"/>
        <v>-4.86935867</v>
      </c>
    </row>
    <row r="73" ht="15.75" customHeight="1">
      <c r="A73" s="69">
        <v>67.0</v>
      </c>
      <c r="B73" s="69" t="s">
        <v>481</v>
      </c>
      <c r="C73" s="69" t="s">
        <v>482</v>
      </c>
      <c r="D73" s="70" t="s">
        <v>22</v>
      </c>
      <c r="E73" s="69"/>
      <c r="F73" s="69"/>
      <c r="G73" s="69"/>
      <c r="H73" s="69"/>
      <c r="I73" s="69"/>
      <c r="J73" s="99"/>
      <c r="K73" s="69"/>
      <c r="L73" s="69"/>
      <c r="M73" s="69"/>
      <c r="N73" s="69"/>
      <c r="O73" s="99"/>
      <c r="P73" s="69"/>
      <c r="Q73" s="69"/>
      <c r="R73" s="69"/>
      <c r="S73" s="70"/>
      <c r="T73" s="69">
        <f t="shared" si="1"/>
        <v>0</v>
      </c>
      <c r="U73" s="69"/>
      <c r="V73" s="73" t="str">
        <f t="shared" si="2"/>
        <v>#DIV/0!</v>
      </c>
      <c r="W73" s="74">
        <v>9.0</v>
      </c>
      <c r="X73" s="69">
        <v>8.0</v>
      </c>
      <c r="Y73" s="69">
        <v>3.0</v>
      </c>
      <c r="Z73" s="69">
        <v>0.0</v>
      </c>
      <c r="AA73" s="69">
        <v>8.0</v>
      </c>
      <c r="AB73" s="84">
        <v>9.0</v>
      </c>
      <c r="AC73" s="69">
        <v>20.0</v>
      </c>
      <c r="AD73" s="69">
        <v>9.0</v>
      </c>
      <c r="AE73" s="69">
        <v>7.0</v>
      </c>
      <c r="AF73" s="69">
        <v>13.0</v>
      </c>
      <c r="AG73" s="69">
        <v>15.0</v>
      </c>
      <c r="AH73" s="69">
        <v>3.0</v>
      </c>
      <c r="AI73" s="69">
        <v>3.0</v>
      </c>
      <c r="AJ73" s="69">
        <v>12.0</v>
      </c>
      <c r="AK73" s="69">
        <f t="shared" si="3"/>
        <v>18</v>
      </c>
      <c r="AL73" s="76">
        <v>30.0</v>
      </c>
      <c r="AM73" s="77">
        <f t="shared" si="4"/>
        <v>0.6</v>
      </c>
      <c r="AN73" s="100"/>
      <c r="AO73" s="69">
        <v>12.0</v>
      </c>
      <c r="AP73" s="69">
        <v>7.0</v>
      </c>
      <c r="AQ73" s="69">
        <v>5.0</v>
      </c>
      <c r="AR73" s="69">
        <v>7.0</v>
      </c>
      <c r="AS73" s="69">
        <v>21.0</v>
      </c>
      <c r="AT73" s="69">
        <v>21.0</v>
      </c>
      <c r="AU73" s="69">
        <v>14.0</v>
      </c>
      <c r="AV73" s="69">
        <v>7.0</v>
      </c>
      <c r="AW73" s="69">
        <v>21.0</v>
      </c>
      <c r="AX73" s="69">
        <v>4.0</v>
      </c>
      <c r="AY73" s="69">
        <v>3.0</v>
      </c>
      <c r="AZ73" s="69">
        <v>18.0</v>
      </c>
      <c r="BA73" s="69">
        <v>18.0</v>
      </c>
      <c r="BB73" s="69">
        <v>0.0</v>
      </c>
      <c r="BC73" s="69">
        <v>0.0</v>
      </c>
      <c r="BD73" s="69">
        <v>18.0</v>
      </c>
      <c r="BE73" s="69">
        <v>0.0</v>
      </c>
      <c r="BF73" s="69">
        <v>0.0</v>
      </c>
      <c r="BG73" s="69"/>
      <c r="BH73" s="70"/>
      <c r="BI73" s="78">
        <v>216.0</v>
      </c>
      <c r="BJ73" s="69">
        <v>40.0</v>
      </c>
      <c r="BK73" s="79">
        <f t="shared" si="6"/>
        <v>5.4</v>
      </c>
      <c r="BL73" s="80">
        <f t="shared" si="7"/>
        <v>1100</v>
      </c>
      <c r="BM73" s="69">
        <v>12.0</v>
      </c>
      <c r="BN73" s="69">
        <v>12.0</v>
      </c>
      <c r="BO73" s="69">
        <v>6.0</v>
      </c>
      <c r="BP73" s="69">
        <v>6.0</v>
      </c>
      <c r="BQ73" s="69">
        <v>20.0</v>
      </c>
      <c r="BR73" s="69">
        <v>20.0</v>
      </c>
      <c r="BS73" s="69">
        <v>11.0</v>
      </c>
      <c r="BT73" s="69">
        <v>9.0</v>
      </c>
      <c r="BU73" s="69">
        <v>23.0</v>
      </c>
      <c r="BV73" s="69">
        <v>4.0</v>
      </c>
      <c r="BW73" s="69">
        <v>3.0</v>
      </c>
      <c r="BX73" s="69">
        <v>20.0</v>
      </c>
      <c r="BY73" s="69">
        <v>20.0</v>
      </c>
      <c r="BZ73" s="69"/>
      <c r="CA73" s="69">
        <v>0.0</v>
      </c>
      <c r="CB73" s="69">
        <v>20.0</v>
      </c>
      <c r="CC73" s="69">
        <v>20.0</v>
      </c>
      <c r="CD73" s="69">
        <v>0.0</v>
      </c>
      <c r="CE73" s="69">
        <v>0.0</v>
      </c>
      <c r="CF73" s="69">
        <v>20.0</v>
      </c>
      <c r="CG73" s="69"/>
      <c r="CH73" s="69"/>
      <c r="CI73" s="70">
        <v>0.0</v>
      </c>
      <c r="CJ73" s="78">
        <v>331.0</v>
      </c>
      <c r="CK73" s="69">
        <v>40.0</v>
      </c>
      <c r="CL73" s="79">
        <f t="shared" si="8"/>
        <v>8.275</v>
      </c>
      <c r="CM73" s="81">
        <f t="shared" si="9"/>
        <v>53.24074074</v>
      </c>
      <c r="CN73" s="69">
        <v>12.0</v>
      </c>
      <c r="CO73" s="69">
        <v>4.0</v>
      </c>
      <c r="CP73" s="69">
        <v>2.0</v>
      </c>
      <c r="CQ73" s="69">
        <v>10.0</v>
      </c>
      <c r="CR73" s="71">
        <v>24.0</v>
      </c>
      <c r="CS73" s="69">
        <v>23.0</v>
      </c>
      <c r="CT73" s="69">
        <v>13.0</v>
      </c>
      <c r="CU73" s="69">
        <v>11.0</v>
      </c>
      <c r="CV73" s="71">
        <v>25.0</v>
      </c>
      <c r="CW73" s="69">
        <v>8.0</v>
      </c>
      <c r="CX73" s="69">
        <v>7.0</v>
      </c>
      <c r="CY73" s="69">
        <v>18.0</v>
      </c>
      <c r="CZ73" s="69"/>
      <c r="DA73" s="69">
        <v>0.0</v>
      </c>
      <c r="DB73" s="69">
        <v>0.0</v>
      </c>
      <c r="DC73" s="69"/>
      <c r="DD73" s="69">
        <v>-1.0</v>
      </c>
      <c r="DE73" s="69">
        <v>0.0</v>
      </c>
      <c r="DF73" s="69">
        <v>0.0</v>
      </c>
      <c r="DG73" s="69"/>
      <c r="DH73" s="69">
        <v>0.0</v>
      </c>
      <c r="DI73" s="69">
        <v>0.0</v>
      </c>
      <c r="DJ73" s="70"/>
      <c r="DK73" s="82">
        <v>281.0</v>
      </c>
      <c r="DL73" s="69">
        <v>40.0</v>
      </c>
      <c r="DM73" s="77">
        <f t="shared" si="10"/>
        <v>7.025</v>
      </c>
      <c r="DN73" s="83">
        <f t="shared" si="11"/>
        <v>-15.10574018</v>
      </c>
    </row>
    <row r="74" ht="15.75" customHeight="1">
      <c r="A74" s="69">
        <v>68.0</v>
      </c>
      <c r="B74" s="69" t="s">
        <v>483</v>
      </c>
      <c r="C74" s="69" t="s">
        <v>484</v>
      </c>
      <c r="D74" s="70" t="s">
        <v>22</v>
      </c>
      <c r="E74" s="69"/>
      <c r="F74" s="69"/>
      <c r="G74" s="69"/>
      <c r="H74" s="69"/>
      <c r="I74" s="69"/>
      <c r="J74" s="99"/>
      <c r="K74" s="69"/>
      <c r="L74" s="69"/>
      <c r="M74" s="69"/>
      <c r="N74" s="69"/>
      <c r="O74" s="99"/>
      <c r="P74" s="69"/>
      <c r="Q74" s="69"/>
      <c r="R74" s="69"/>
      <c r="S74" s="70"/>
      <c r="T74" s="69">
        <f t="shared" si="1"/>
        <v>0</v>
      </c>
      <c r="U74" s="69"/>
      <c r="V74" s="73" t="str">
        <f t="shared" si="2"/>
        <v>#DIV/0!</v>
      </c>
      <c r="W74" s="74">
        <v>8.0</v>
      </c>
      <c r="X74" s="69">
        <v>10.0</v>
      </c>
      <c r="Y74" s="69">
        <v>6.0</v>
      </c>
      <c r="Z74" s="69">
        <v>3.0</v>
      </c>
      <c r="AA74" s="69">
        <v>7.0</v>
      </c>
      <c r="AB74" s="84">
        <v>11.0</v>
      </c>
      <c r="AC74" s="69">
        <v>23.0</v>
      </c>
      <c r="AD74" s="69">
        <v>9.0</v>
      </c>
      <c r="AE74" s="69">
        <v>5.0</v>
      </c>
      <c r="AF74" s="69">
        <v>18.0</v>
      </c>
      <c r="AG74" s="69">
        <v>20.0</v>
      </c>
      <c r="AH74" s="69">
        <v>1.0</v>
      </c>
      <c r="AI74" s="69">
        <v>1.0</v>
      </c>
      <c r="AJ74" s="69">
        <v>19.0</v>
      </c>
      <c r="AK74" s="69">
        <f t="shared" si="3"/>
        <v>19</v>
      </c>
      <c r="AL74" s="76">
        <v>40.0</v>
      </c>
      <c r="AM74" s="77">
        <f t="shared" si="4"/>
        <v>0.475</v>
      </c>
      <c r="AN74" s="100"/>
      <c r="AO74" s="69">
        <v>12.0</v>
      </c>
      <c r="AP74" s="69">
        <v>2.0</v>
      </c>
      <c r="AQ74" s="69">
        <v>0.0</v>
      </c>
      <c r="AR74" s="69">
        <v>12.0</v>
      </c>
      <c r="AS74" s="69">
        <v>26.0</v>
      </c>
      <c r="AT74" s="69">
        <v>26.0</v>
      </c>
      <c r="AU74" s="69">
        <v>9.0</v>
      </c>
      <c r="AV74" s="69">
        <v>17.0</v>
      </c>
      <c r="AW74" s="69">
        <v>31.0</v>
      </c>
      <c r="AX74" s="69">
        <v>1.0</v>
      </c>
      <c r="AY74" s="69">
        <v>1.0</v>
      </c>
      <c r="AZ74" s="69">
        <v>25.0</v>
      </c>
      <c r="BA74" s="69">
        <v>25.0</v>
      </c>
      <c r="BB74" s="69">
        <v>0.0</v>
      </c>
      <c r="BC74" s="69">
        <v>0.0</v>
      </c>
      <c r="BD74" s="69">
        <v>25.0</v>
      </c>
      <c r="BE74" s="69">
        <v>0.0</v>
      </c>
      <c r="BF74" s="69">
        <v>0.0</v>
      </c>
      <c r="BG74" s="69"/>
      <c r="BH74" s="70"/>
      <c r="BI74" s="78">
        <v>301.0</v>
      </c>
      <c r="BJ74" s="69">
        <v>40.0</v>
      </c>
      <c r="BK74" s="79">
        <f t="shared" si="6"/>
        <v>7.525</v>
      </c>
      <c r="BL74" s="80">
        <f t="shared" si="7"/>
        <v>1484.210526</v>
      </c>
      <c r="BM74" s="69">
        <v>18.0</v>
      </c>
      <c r="BN74" s="69">
        <v>4.0</v>
      </c>
      <c r="BO74" s="69">
        <v>2.0</v>
      </c>
      <c r="BP74" s="69">
        <v>16.0</v>
      </c>
      <c r="BQ74" s="69">
        <v>37.0</v>
      </c>
      <c r="BR74" s="69">
        <v>37.0</v>
      </c>
      <c r="BS74" s="69">
        <v>19.0</v>
      </c>
      <c r="BT74" s="69">
        <v>18.0</v>
      </c>
      <c r="BU74" s="69">
        <v>39.0</v>
      </c>
      <c r="BV74" s="69">
        <v>1.0</v>
      </c>
      <c r="BW74" s="69">
        <v>1.0</v>
      </c>
      <c r="BX74" s="69">
        <v>38.0</v>
      </c>
      <c r="BY74" s="69">
        <v>38.0</v>
      </c>
      <c r="BZ74" s="69"/>
      <c r="CA74" s="69">
        <v>0.0</v>
      </c>
      <c r="CB74" s="69">
        <v>38.0</v>
      </c>
      <c r="CC74" s="69">
        <v>38.0</v>
      </c>
      <c r="CD74" s="69">
        <v>0.0</v>
      </c>
      <c r="CE74" s="69">
        <v>0.0</v>
      </c>
      <c r="CF74" s="69">
        <v>38.0</v>
      </c>
      <c r="CG74" s="69"/>
      <c r="CH74" s="69"/>
      <c r="CI74" s="70">
        <v>0.0</v>
      </c>
      <c r="CJ74" s="78">
        <v>422.0</v>
      </c>
      <c r="CK74" s="69">
        <v>60.0</v>
      </c>
      <c r="CL74" s="79">
        <f t="shared" si="8"/>
        <v>7.033333333</v>
      </c>
      <c r="CM74" s="81">
        <f t="shared" si="9"/>
        <v>40.19933555</v>
      </c>
      <c r="CN74" s="69">
        <v>18.0</v>
      </c>
      <c r="CO74" s="69">
        <v>6.0</v>
      </c>
      <c r="CP74" s="69">
        <v>6.0</v>
      </c>
      <c r="CQ74" s="69">
        <v>12.0</v>
      </c>
      <c r="CR74" s="71">
        <v>33.0</v>
      </c>
      <c r="CS74" s="69">
        <v>33.0</v>
      </c>
      <c r="CT74" s="69">
        <v>14.0</v>
      </c>
      <c r="CU74" s="69">
        <v>19.0</v>
      </c>
      <c r="CV74" s="71">
        <v>40.0</v>
      </c>
      <c r="CW74" s="69">
        <v>3.0</v>
      </c>
      <c r="CX74" s="69">
        <v>3.0</v>
      </c>
      <c r="CY74" s="69">
        <v>37.0</v>
      </c>
      <c r="CZ74" s="69"/>
      <c r="DA74" s="69">
        <v>0.0</v>
      </c>
      <c r="DB74" s="69">
        <v>0.0</v>
      </c>
      <c r="DC74" s="69"/>
      <c r="DD74" s="69">
        <v>8.0</v>
      </c>
      <c r="DE74" s="69">
        <v>0.0</v>
      </c>
      <c r="DF74" s="69">
        <v>0.0</v>
      </c>
      <c r="DG74" s="69"/>
      <c r="DH74" s="69">
        <v>0.0</v>
      </c>
      <c r="DI74" s="69">
        <v>0.0</v>
      </c>
      <c r="DJ74" s="70"/>
      <c r="DK74" s="82">
        <v>454.0</v>
      </c>
      <c r="DL74" s="69">
        <v>60.0</v>
      </c>
      <c r="DM74" s="77">
        <f t="shared" si="10"/>
        <v>7.566666667</v>
      </c>
      <c r="DN74" s="83">
        <f t="shared" si="11"/>
        <v>7.582938389</v>
      </c>
    </row>
    <row r="75" ht="15.75" customHeight="1">
      <c r="A75" s="69">
        <v>69.0</v>
      </c>
      <c r="B75" s="69" t="s">
        <v>485</v>
      </c>
      <c r="C75" s="69" t="s">
        <v>259</v>
      </c>
      <c r="D75" s="70" t="s">
        <v>22</v>
      </c>
      <c r="E75" s="69"/>
      <c r="F75" s="69"/>
      <c r="G75" s="69"/>
      <c r="H75" s="69"/>
      <c r="I75" s="69"/>
      <c r="J75" s="72"/>
      <c r="K75" s="69"/>
      <c r="L75" s="69"/>
      <c r="M75" s="69"/>
      <c r="N75" s="69"/>
      <c r="O75" s="72"/>
      <c r="P75" s="69"/>
      <c r="Q75" s="69"/>
      <c r="R75" s="69"/>
      <c r="S75" s="70"/>
      <c r="T75" s="69">
        <f t="shared" si="1"/>
        <v>0</v>
      </c>
      <c r="U75" s="69"/>
      <c r="V75" s="73" t="str">
        <f t="shared" si="2"/>
        <v>#DIV/0!</v>
      </c>
      <c r="W75" s="74">
        <v>11.0</v>
      </c>
      <c r="X75" s="69">
        <v>8.0</v>
      </c>
      <c r="Y75" s="69">
        <v>3.0</v>
      </c>
      <c r="Z75" s="69">
        <v>1.0</v>
      </c>
      <c r="AA75" s="69">
        <v>7.0</v>
      </c>
      <c r="AB75" s="101">
        <v>23.0</v>
      </c>
      <c r="AC75" s="69">
        <v>19.0</v>
      </c>
      <c r="AD75" s="69">
        <v>16.0</v>
      </c>
      <c r="AE75" s="69">
        <v>10.0</v>
      </c>
      <c r="AF75" s="69">
        <v>9.0</v>
      </c>
      <c r="AG75" s="69">
        <v>15.0</v>
      </c>
      <c r="AH75" s="69">
        <v>2.0</v>
      </c>
      <c r="AI75" s="69">
        <v>1.0</v>
      </c>
      <c r="AJ75" s="69">
        <v>14.0</v>
      </c>
      <c r="AK75" s="69">
        <f t="shared" si="3"/>
        <v>34</v>
      </c>
      <c r="AL75" s="76">
        <v>30.0</v>
      </c>
      <c r="AM75" s="77">
        <f t="shared" si="4"/>
        <v>1.133333333</v>
      </c>
      <c r="AN75" s="100"/>
      <c r="AO75" s="69">
        <v>12.0</v>
      </c>
      <c r="AP75" s="69">
        <v>12.0</v>
      </c>
      <c r="AQ75" s="69">
        <v>7.0</v>
      </c>
      <c r="AR75" s="69">
        <v>5.0</v>
      </c>
      <c r="AS75" s="69">
        <v>19.0</v>
      </c>
      <c r="AT75" s="69">
        <v>19.0</v>
      </c>
      <c r="AU75" s="69">
        <v>10.0</v>
      </c>
      <c r="AV75" s="69">
        <v>9.0</v>
      </c>
      <c r="AW75" s="69">
        <v>23.0</v>
      </c>
      <c r="AX75" s="69">
        <v>2.0</v>
      </c>
      <c r="AY75" s="69">
        <v>1.0</v>
      </c>
      <c r="AZ75" s="69">
        <v>18.0</v>
      </c>
      <c r="BA75" s="69">
        <v>18.0</v>
      </c>
      <c r="BB75" s="69">
        <v>0.0</v>
      </c>
      <c r="BC75" s="69">
        <v>0.0</v>
      </c>
      <c r="BD75" s="69">
        <v>18.0</v>
      </c>
      <c r="BE75" s="69">
        <v>1.0</v>
      </c>
      <c r="BF75" s="69">
        <v>1.0</v>
      </c>
      <c r="BG75" s="69"/>
      <c r="BH75" s="70"/>
      <c r="BI75" s="78">
        <v>300.0</v>
      </c>
      <c r="BJ75" s="69">
        <v>40.0</v>
      </c>
      <c r="BK75" s="79">
        <f t="shared" si="6"/>
        <v>7.5</v>
      </c>
      <c r="BL75" s="80">
        <f t="shared" si="7"/>
        <v>782.3529412</v>
      </c>
      <c r="BM75" s="69">
        <v>12.0</v>
      </c>
      <c r="BN75" s="69">
        <v>12.0</v>
      </c>
      <c r="BO75" s="69">
        <v>8.0</v>
      </c>
      <c r="BP75" s="69">
        <v>4.0</v>
      </c>
      <c r="BQ75" s="69">
        <v>18.0</v>
      </c>
      <c r="BR75" s="69">
        <v>18.0</v>
      </c>
      <c r="BS75" s="69">
        <v>11.0</v>
      </c>
      <c r="BT75" s="69">
        <v>7.0</v>
      </c>
      <c r="BU75" s="69">
        <v>21.0</v>
      </c>
      <c r="BV75" s="69">
        <v>2.0</v>
      </c>
      <c r="BW75" s="69">
        <v>4.0</v>
      </c>
      <c r="BX75" s="69">
        <v>17.0</v>
      </c>
      <c r="BY75" s="69">
        <v>17.0</v>
      </c>
      <c r="BZ75" s="69"/>
      <c r="CA75" s="69">
        <v>0.0</v>
      </c>
      <c r="CB75" s="69">
        <v>17.0</v>
      </c>
      <c r="CC75" s="69">
        <v>17.0</v>
      </c>
      <c r="CD75" s="69">
        <v>0.0</v>
      </c>
      <c r="CE75" s="69">
        <v>0.0</v>
      </c>
      <c r="CF75" s="69">
        <v>17.0</v>
      </c>
      <c r="CG75" s="69"/>
      <c r="CH75" s="69"/>
      <c r="CI75" s="70">
        <v>0.0</v>
      </c>
      <c r="CJ75" s="78">
        <v>394.0</v>
      </c>
      <c r="CK75" s="69">
        <v>40.0</v>
      </c>
      <c r="CL75" s="79">
        <f t="shared" si="8"/>
        <v>9.85</v>
      </c>
      <c r="CM75" s="81">
        <f t="shared" si="9"/>
        <v>31.33333333</v>
      </c>
      <c r="CN75" s="69">
        <v>12.0</v>
      </c>
      <c r="CO75" s="69">
        <v>11.0</v>
      </c>
      <c r="CP75" s="69">
        <v>9.0</v>
      </c>
      <c r="CQ75" s="69">
        <v>3.0</v>
      </c>
      <c r="CR75" s="71">
        <v>17.0</v>
      </c>
      <c r="CS75" s="69">
        <v>17.0</v>
      </c>
      <c r="CT75" s="69">
        <v>10.0</v>
      </c>
      <c r="CU75" s="69">
        <v>7.0</v>
      </c>
      <c r="CV75" s="71">
        <v>21.0</v>
      </c>
      <c r="CW75" s="69">
        <v>6.0</v>
      </c>
      <c r="CX75" s="69">
        <v>3.0</v>
      </c>
      <c r="CY75" s="69">
        <v>18.0</v>
      </c>
      <c r="CZ75" s="69"/>
      <c r="DA75" s="69">
        <v>0.0</v>
      </c>
      <c r="DB75" s="69">
        <v>0.0</v>
      </c>
      <c r="DC75" s="69"/>
      <c r="DD75" s="69">
        <v>-12.0</v>
      </c>
      <c r="DE75" s="69">
        <v>1.0</v>
      </c>
      <c r="DF75" s="69">
        <v>1.0</v>
      </c>
      <c r="DG75" s="69"/>
      <c r="DH75" s="69">
        <v>0.0</v>
      </c>
      <c r="DI75" s="69">
        <v>0.0</v>
      </c>
      <c r="DJ75" s="70"/>
      <c r="DK75" s="82">
        <v>468.0</v>
      </c>
      <c r="DL75" s="69">
        <v>40.0</v>
      </c>
      <c r="DM75" s="77">
        <f t="shared" si="10"/>
        <v>11.7</v>
      </c>
      <c r="DN75" s="83">
        <f t="shared" si="11"/>
        <v>18.78172589</v>
      </c>
    </row>
    <row r="76" ht="15.75" customHeight="1">
      <c r="A76" s="69">
        <v>70.0</v>
      </c>
      <c r="B76" s="69" t="s">
        <v>486</v>
      </c>
      <c r="C76" s="69" t="s">
        <v>257</v>
      </c>
      <c r="D76" s="70" t="s">
        <v>22</v>
      </c>
      <c r="E76" s="69"/>
      <c r="F76" s="69"/>
      <c r="G76" s="69"/>
      <c r="H76" s="69"/>
      <c r="I76" s="69"/>
      <c r="J76" s="72"/>
      <c r="K76" s="69"/>
      <c r="L76" s="69"/>
      <c r="M76" s="69"/>
      <c r="N76" s="69"/>
      <c r="O76" s="72"/>
      <c r="P76" s="69"/>
      <c r="Q76" s="69"/>
      <c r="R76" s="69"/>
      <c r="S76" s="70"/>
      <c r="T76" s="69">
        <f t="shared" si="1"/>
        <v>0</v>
      </c>
      <c r="U76" s="69"/>
      <c r="V76" s="73" t="str">
        <f t="shared" si="2"/>
        <v>#DIV/0!</v>
      </c>
      <c r="W76" s="74">
        <v>5.0</v>
      </c>
      <c r="X76" s="69">
        <v>10.0</v>
      </c>
      <c r="Y76" s="69">
        <v>2.0</v>
      </c>
      <c r="Z76" s="69">
        <v>0.0</v>
      </c>
      <c r="AA76" s="69">
        <v>10.0</v>
      </c>
      <c r="AB76" s="101">
        <v>6.0</v>
      </c>
      <c r="AC76" s="69">
        <v>26.0</v>
      </c>
      <c r="AD76" s="69">
        <v>3.0</v>
      </c>
      <c r="AE76" s="69">
        <v>0.0</v>
      </c>
      <c r="AF76" s="69">
        <v>26.0</v>
      </c>
      <c r="AG76" s="69">
        <v>20.0</v>
      </c>
      <c r="AH76" s="69">
        <v>2.0</v>
      </c>
      <c r="AI76" s="69">
        <v>0.0</v>
      </c>
      <c r="AJ76" s="69">
        <v>20.0</v>
      </c>
      <c r="AK76" s="69">
        <f t="shared" si="3"/>
        <v>11</v>
      </c>
      <c r="AL76" s="76">
        <v>40.0</v>
      </c>
      <c r="AM76" s="77">
        <f t="shared" si="4"/>
        <v>0.275</v>
      </c>
      <c r="AN76" s="100"/>
      <c r="AO76" s="69">
        <v>24.0</v>
      </c>
      <c r="AP76" s="69">
        <v>13.0</v>
      </c>
      <c r="AQ76" s="69">
        <v>11.0</v>
      </c>
      <c r="AR76" s="69">
        <v>13.0</v>
      </c>
      <c r="AS76" s="69">
        <v>41.0</v>
      </c>
      <c r="AT76" s="69">
        <v>41.0</v>
      </c>
      <c r="AU76" s="69">
        <v>22.0</v>
      </c>
      <c r="AV76" s="69">
        <v>19.0</v>
      </c>
      <c r="AW76" s="69">
        <v>47.0</v>
      </c>
      <c r="AX76" s="69">
        <v>8.0</v>
      </c>
      <c r="AY76" s="69">
        <v>6.0</v>
      </c>
      <c r="AZ76" s="69">
        <v>35.0</v>
      </c>
      <c r="BA76" s="69">
        <v>35.0</v>
      </c>
      <c r="BB76" s="69">
        <v>0.0</v>
      </c>
      <c r="BC76" s="69">
        <v>0.0</v>
      </c>
      <c r="BD76" s="69">
        <v>35.0</v>
      </c>
      <c r="BE76" s="69">
        <v>0.0</v>
      </c>
      <c r="BF76" s="69">
        <v>0.0</v>
      </c>
      <c r="BG76" s="69"/>
      <c r="BH76" s="70"/>
      <c r="BI76" s="78">
        <v>772.0</v>
      </c>
      <c r="BJ76" s="69">
        <v>80.0</v>
      </c>
      <c r="BK76" s="79">
        <f t="shared" si="6"/>
        <v>9.65</v>
      </c>
      <c r="BL76" s="80">
        <f t="shared" si="7"/>
        <v>6918.181818</v>
      </c>
      <c r="BM76" s="69">
        <v>24.0</v>
      </c>
      <c r="BN76" s="69">
        <v>8.0</v>
      </c>
      <c r="BO76" s="69">
        <v>5.0</v>
      </c>
      <c r="BP76" s="69">
        <v>19.0</v>
      </c>
      <c r="BQ76" s="69">
        <v>47.0</v>
      </c>
      <c r="BR76" s="69">
        <v>47.0</v>
      </c>
      <c r="BS76" s="69">
        <v>25.0</v>
      </c>
      <c r="BT76" s="69">
        <v>22.0</v>
      </c>
      <c r="BU76" s="69">
        <v>50.0</v>
      </c>
      <c r="BV76" s="69">
        <v>8.0</v>
      </c>
      <c r="BW76" s="69">
        <v>6.0</v>
      </c>
      <c r="BX76" s="69">
        <v>44.0</v>
      </c>
      <c r="BY76" s="69">
        <v>44.0</v>
      </c>
      <c r="BZ76" s="69"/>
      <c r="CA76" s="69">
        <v>0.0</v>
      </c>
      <c r="CB76" s="69">
        <v>44.0</v>
      </c>
      <c r="CC76" s="69">
        <v>44.0</v>
      </c>
      <c r="CD76" s="69">
        <v>0.0</v>
      </c>
      <c r="CE76" s="69">
        <v>0.0</v>
      </c>
      <c r="CF76" s="69">
        <v>44.0</v>
      </c>
      <c r="CG76" s="69"/>
      <c r="CH76" s="69"/>
      <c r="CI76" s="70">
        <v>0.0</v>
      </c>
      <c r="CJ76" s="78">
        <v>876.0</v>
      </c>
      <c r="CK76" s="69">
        <v>80.0</v>
      </c>
      <c r="CL76" s="79">
        <f t="shared" si="8"/>
        <v>10.95</v>
      </c>
      <c r="CM76" s="81">
        <f t="shared" si="9"/>
        <v>13.47150259</v>
      </c>
      <c r="CN76" s="69">
        <v>24.0</v>
      </c>
      <c r="CO76" s="69">
        <v>10.0</v>
      </c>
      <c r="CP76" s="69">
        <v>9.0</v>
      </c>
      <c r="CQ76" s="69">
        <v>15.0</v>
      </c>
      <c r="CR76" s="71">
        <v>43.0</v>
      </c>
      <c r="CS76" s="69">
        <v>45.0</v>
      </c>
      <c r="CT76" s="69">
        <v>21.0</v>
      </c>
      <c r="CU76" s="69">
        <v>22.0</v>
      </c>
      <c r="CV76" s="71">
        <v>50.0</v>
      </c>
      <c r="CW76" s="69">
        <v>28.0</v>
      </c>
      <c r="CX76" s="69">
        <v>25.0</v>
      </c>
      <c r="CY76" s="69">
        <v>25.0</v>
      </c>
      <c r="CZ76" s="69"/>
      <c r="DA76" s="69">
        <v>0.0</v>
      </c>
      <c r="DB76" s="69">
        <v>0.0</v>
      </c>
      <c r="DC76" s="69"/>
      <c r="DD76" s="69">
        <v>-18.0</v>
      </c>
      <c r="DE76" s="69">
        <v>0.0</v>
      </c>
      <c r="DF76" s="69">
        <v>0.0</v>
      </c>
      <c r="DG76" s="69"/>
      <c r="DH76" s="69">
        <v>0.0</v>
      </c>
      <c r="DI76" s="69">
        <v>0.0</v>
      </c>
      <c r="DJ76" s="70"/>
      <c r="DK76" s="82">
        <v>925.0</v>
      </c>
      <c r="DL76" s="69">
        <v>80.0</v>
      </c>
      <c r="DM76" s="77">
        <f t="shared" si="10"/>
        <v>11.5625</v>
      </c>
      <c r="DN76" s="83">
        <f t="shared" si="11"/>
        <v>5.593607306</v>
      </c>
    </row>
    <row r="77" ht="15.75" customHeight="1">
      <c r="A77" s="69">
        <v>71.0</v>
      </c>
      <c r="B77" s="69" t="s">
        <v>487</v>
      </c>
      <c r="C77" s="69" t="s">
        <v>488</v>
      </c>
      <c r="D77" s="70" t="s">
        <v>22</v>
      </c>
      <c r="E77" s="69"/>
      <c r="F77" s="69"/>
      <c r="G77" s="69"/>
      <c r="H77" s="69"/>
      <c r="I77" s="69"/>
      <c r="J77" s="99"/>
      <c r="K77" s="69"/>
      <c r="L77" s="69"/>
      <c r="M77" s="69"/>
      <c r="N77" s="69"/>
      <c r="O77" s="99"/>
      <c r="P77" s="69"/>
      <c r="Q77" s="69"/>
      <c r="R77" s="69"/>
      <c r="S77" s="70"/>
      <c r="T77" s="69">
        <f t="shared" si="1"/>
        <v>0</v>
      </c>
      <c r="U77" s="69"/>
      <c r="V77" s="73" t="str">
        <f t="shared" si="2"/>
        <v>#DIV/0!</v>
      </c>
      <c r="W77" s="74">
        <v>15.0</v>
      </c>
      <c r="X77" s="69">
        <v>15.0</v>
      </c>
      <c r="Y77" s="69">
        <v>4.0</v>
      </c>
      <c r="Z77" s="69">
        <v>3.0</v>
      </c>
      <c r="AA77" s="69">
        <v>12.0</v>
      </c>
      <c r="AB77" s="101">
        <v>38.0</v>
      </c>
      <c r="AC77" s="69">
        <v>36.0</v>
      </c>
      <c r="AD77" s="69">
        <v>26.0</v>
      </c>
      <c r="AE77" s="69">
        <v>20.0</v>
      </c>
      <c r="AF77" s="69">
        <v>16.0</v>
      </c>
      <c r="AG77" s="69">
        <v>30.0</v>
      </c>
      <c r="AH77" s="69">
        <v>7.0</v>
      </c>
      <c r="AI77" s="69">
        <v>5.0</v>
      </c>
      <c r="AJ77" s="69">
        <v>25.0</v>
      </c>
      <c r="AK77" s="69">
        <f t="shared" si="3"/>
        <v>53</v>
      </c>
      <c r="AL77" s="76">
        <v>60.0</v>
      </c>
      <c r="AM77" s="77">
        <f t="shared" si="4"/>
        <v>0.8833333333</v>
      </c>
      <c r="AN77" s="100"/>
      <c r="AO77" s="69">
        <v>12.0</v>
      </c>
      <c r="AP77" s="69">
        <v>12.0</v>
      </c>
      <c r="AQ77" s="69">
        <v>7.0</v>
      </c>
      <c r="AR77" s="69">
        <v>5.0</v>
      </c>
      <c r="AS77" s="69">
        <v>19.0</v>
      </c>
      <c r="AT77" s="69">
        <v>19.0</v>
      </c>
      <c r="AU77" s="69">
        <v>8.0</v>
      </c>
      <c r="AV77" s="69">
        <v>11.0</v>
      </c>
      <c r="AW77" s="69">
        <v>25.0</v>
      </c>
      <c r="AX77" s="69">
        <v>2.0</v>
      </c>
      <c r="AY77" s="69">
        <v>1.0</v>
      </c>
      <c r="AZ77" s="69">
        <v>18.0</v>
      </c>
      <c r="BA77" s="69">
        <v>18.0</v>
      </c>
      <c r="BB77" s="69">
        <v>0.0</v>
      </c>
      <c r="BC77" s="69">
        <v>0.0</v>
      </c>
      <c r="BD77" s="69">
        <v>18.0</v>
      </c>
      <c r="BE77" s="69">
        <v>0.0</v>
      </c>
      <c r="BF77" s="69">
        <v>0.0</v>
      </c>
      <c r="BG77" s="69"/>
      <c r="BH77" s="70"/>
      <c r="BI77" s="78">
        <v>358.0</v>
      </c>
      <c r="BJ77" s="69">
        <v>40.0</v>
      </c>
      <c r="BK77" s="79">
        <f t="shared" si="6"/>
        <v>8.95</v>
      </c>
      <c r="BL77" s="80">
        <f t="shared" si="7"/>
        <v>575.4716981</v>
      </c>
      <c r="BM77" s="69">
        <v>12.0</v>
      </c>
      <c r="BN77" s="69">
        <v>12.0</v>
      </c>
      <c r="BO77" s="69">
        <v>8.0</v>
      </c>
      <c r="BP77" s="69">
        <v>4.0</v>
      </c>
      <c r="BQ77" s="69">
        <v>18.0</v>
      </c>
      <c r="BR77" s="69">
        <v>18.0</v>
      </c>
      <c r="BS77" s="69">
        <v>10.0</v>
      </c>
      <c r="BT77" s="69">
        <v>8.0</v>
      </c>
      <c r="BU77" s="69">
        <v>22.0</v>
      </c>
      <c r="BV77" s="69">
        <v>2.0</v>
      </c>
      <c r="BW77" s="69">
        <v>3.0</v>
      </c>
      <c r="BX77" s="69">
        <v>19.0</v>
      </c>
      <c r="BY77" s="69">
        <v>19.0</v>
      </c>
      <c r="BZ77" s="69"/>
      <c r="CA77" s="69">
        <v>0.0</v>
      </c>
      <c r="CB77" s="69">
        <v>19.0</v>
      </c>
      <c r="CC77" s="69">
        <v>19.0</v>
      </c>
      <c r="CD77" s="69">
        <v>0.0</v>
      </c>
      <c r="CE77" s="69">
        <v>0.0</v>
      </c>
      <c r="CF77" s="69">
        <v>19.0</v>
      </c>
      <c r="CG77" s="69"/>
      <c r="CH77" s="69"/>
      <c r="CI77" s="70">
        <v>0.0</v>
      </c>
      <c r="CJ77" s="78">
        <v>426.0</v>
      </c>
      <c r="CK77" s="69">
        <v>40.0</v>
      </c>
      <c r="CL77" s="79">
        <f t="shared" si="8"/>
        <v>10.65</v>
      </c>
      <c r="CM77" s="81">
        <f t="shared" si="9"/>
        <v>18.99441341</v>
      </c>
      <c r="CN77" s="69">
        <v>12.0</v>
      </c>
      <c r="CO77" s="69">
        <v>7.0</v>
      </c>
      <c r="CP77" s="69">
        <v>7.0</v>
      </c>
      <c r="CQ77" s="69">
        <v>5.0</v>
      </c>
      <c r="CR77" s="71">
        <v>19.0</v>
      </c>
      <c r="CS77" s="69">
        <v>19.0</v>
      </c>
      <c r="CT77" s="69">
        <v>10.0</v>
      </c>
      <c r="CU77" s="69">
        <v>9.0</v>
      </c>
      <c r="CV77" s="71">
        <v>23.0</v>
      </c>
      <c r="CW77" s="69">
        <v>1.0</v>
      </c>
      <c r="CX77" s="69">
        <v>1.0</v>
      </c>
      <c r="CY77" s="69">
        <v>22.0</v>
      </c>
      <c r="CZ77" s="69"/>
      <c r="DA77" s="69">
        <v>0.0</v>
      </c>
      <c r="DB77" s="69">
        <v>0.0</v>
      </c>
      <c r="DC77" s="69"/>
      <c r="DD77" s="69">
        <v>-4.0</v>
      </c>
      <c r="DE77" s="69">
        <v>0.0</v>
      </c>
      <c r="DF77" s="69">
        <v>0.0</v>
      </c>
      <c r="DG77" s="69"/>
      <c r="DH77" s="69">
        <v>0.0</v>
      </c>
      <c r="DI77" s="69">
        <v>0.0</v>
      </c>
      <c r="DJ77" s="70"/>
      <c r="DK77" s="82">
        <v>342.0</v>
      </c>
      <c r="DL77" s="69">
        <v>40.0</v>
      </c>
      <c r="DM77" s="77">
        <f t="shared" si="10"/>
        <v>8.55</v>
      </c>
      <c r="DN77" s="83">
        <f t="shared" si="11"/>
        <v>-19.71830986</v>
      </c>
    </row>
    <row r="78" ht="15.75" customHeight="1">
      <c r="A78" s="69">
        <v>12.0</v>
      </c>
      <c r="B78" s="69" t="s">
        <v>489</v>
      </c>
      <c r="C78" s="69" t="s">
        <v>490</v>
      </c>
      <c r="D78" s="70" t="s">
        <v>22</v>
      </c>
      <c r="E78" s="69"/>
      <c r="F78" s="69"/>
      <c r="G78" s="69"/>
      <c r="H78" s="69"/>
      <c r="I78" s="69"/>
      <c r="J78" s="99"/>
      <c r="K78" s="69"/>
      <c r="L78" s="69"/>
      <c r="M78" s="69"/>
      <c r="N78" s="69"/>
      <c r="O78" s="99"/>
      <c r="P78" s="69"/>
      <c r="Q78" s="69"/>
      <c r="R78" s="69"/>
      <c r="S78" s="70"/>
      <c r="T78" s="69">
        <f t="shared" si="1"/>
        <v>0</v>
      </c>
      <c r="U78" s="69"/>
      <c r="V78" s="73" t="str">
        <f t="shared" si="2"/>
        <v>#DIV/0!</v>
      </c>
      <c r="W78" s="74">
        <v>3.0</v>
      </c>
      <c r="X78" s="69">
        <v>13.0</v>
      </c>
      <c r="Y78" s="69">
        <v>2.0</v>
      </c>
      <c r="Z78" s="69">
        <v>2.0</v>
      </c>
      <c r="AA78" s="69">
        <v>11.0</v>
      </c>
      <c r="AB78" s="101">
        <v>6.0</v>
      </c>
      <c r="AC78" s="69">
        <v>31.0</v>
      </c>
      <c r="AD78" s="69">
        <v>6.0</v>
      </c>
      <c r="AE78" s="69">
        <v>6.0</v>
      </c>
      <c r="AF78" s="69">
        <v>25.0</v>
      </c>
      <c r="AG78" s="69">
        <v>25.0</v>
      </c>
      <c r="AH78" s="69">
        <v>1.0</v>
      </c>
      <c r="AI78" s="69">
        <v>1.0</v>
      </c>
      <c r="AJ78" s="69">
        <v>24.0</v>
      </c>
      <c r="AK78" s="69">
        <f t="shared" si="3"/>
        <v>9</v>
      </c>
      <c r="AL78" s="76">
        <v>50.0</v>
      </c>
      <c r="AM78" s="77">
        <f t="shared" si="4"/>
        <v>0.18</v>
      </c>
      <c r="AN78" s="100"/>
      <c r="AO78" s="69">
        <v>12.0</v>
      </c>
      <c r="AP78" s="69">
        <v>12.0</v>
      </c>
      <c r="AQ78" s="69">
        <v>6.0</v>
      </c>
      <c r="AR78" s="69">
        <v>6.0</v>
      </c>
      <c r="AS78" s="69">
        <v>20.0</v>
      </c>
      <c r="AT78" s="69">
        <v>20.0</v>
      </c>
      <c r="AU78" s="69">
        <v>8.0</v>
      </c>
      <c r="AV78" s="69">
        <v>12.0</v>
      </c>
      <c r="AW78" s="69">
        <v>26.0</v>
      </c>
      <c r="AX78" s="69">
        <v>5.0</v>
      </c>
      <c r="AY78" s="69">
        <v>3.0</v>
      </c>
      <c r="AZ78" s="69">
        <v>17.0</v>
      </c>
      <c r="BA78" s="69">
        <v>17.0</v>
      </c>
      <c r="BB78" s="69">
        <v>0.0</v>
      </c>
      <c r="BC78" s="69">
        <v>0.0</v>
      </c>
      <c r="BD78" s="69">
        <v>17.0</v>
      </c>
      <c r="BE78" s="69">
        <v>0.0</v>
      </c>
      <c r="BF78" s="69">
        <v>0.0</v>
      </c>
      <c r="BG78" s="69"/>
      <c r="BH78" s="70"/>
      <c r="BI78" s="78">
        <v>869.0</v>
      </c>
      <c r="BJ78" s="69">
        <v>40.0</v>
      </c>
      <c r="BK78" s="79">
        <f t="shared" si="6"/>
        <v>21.725</v>
      </c>
      <c r="BL78" s="80">
        <f t="shared" si="7"/>
        <v>9555.555556</v>
      </c>
      <c r="BM78" s="69">
        <v>12.0</v>
      </c>
      <c r="BN78" s="69">
        <v>12.0</v>
      </c>
      <c r="BO78" s="69">
        <v>8.0</v>
      </c>
      <c r="BP78" s="69">
        <v>4.0</v>
      </c>
      <c r="BQ78" s="69">
        <v>18.0</v>
      </c>
      <c r="BR78" s="69">
        <v>18.0</v>
      </c>
      <c r="BS78" s="69">
        <v>11.0</v>
      </c>
      <c r="BT78" s="69">
        <v>7.0</v>
      </c>
      <c r="BU78" s="69">
        <v>21.0</v>
      </c>
      <c r="BV78" s="69">
        <v>5.0</v>
      </c>
      <c r="BW78" s="69">
        <v>7.0</v>
      </c>
      <c r="BX78" s="69">
        <v>14.0</v>
      </c>
      <c r="BY78" s="69">
        <v>14.0</v>
      </c>
      <c r="BZ78" s="69"/>
      <c r="CA78" s="69">
        <v>0.0</v>
      </c>
      <c r="CB78" s="69">
        <v>14.0</v>
      </c>
      <c r="CC78" s="69">
        <v>14.0</v>
      </c>
      <c r="CD78" s="69">
        <v>0.0</v>
      </c>
      <c r="CE78" s="69">
        <v>0.0</v>
      </c>
      <c r="CF78" s="69">
        <v>14.0</v>
      </c>
      <c r="CG78" s="69"/>
      <c r="CH78" s="69"/>
      <c r="CI78" s="70">
        <v>0.0</v>
      </c>
      <c r="CJ78" s="78">
        <v>1026.0</v>
      </c>
      <c r="CK78" s="69">
        <v>40.0</v>
      </c>
      <c r="CL78" s="79">
        <f t="shared" si="8"/>
        <v>25.65</v>
      </c>
      <c r="CM78" s="81">
        <f t="shared" si="9"/>
        <v>18.06674338</v>
      </c>
      <c r="CN78" s="69">
        <v>12.0</v>
      </c>
      <c r="CO78" s="69">
        <v>3.0</v>
      </c>
      <c r="CP78" s="69">
        <v>3.0</v>
      </c>
      <c r="CQ78" s="69">
        <v>9.0</v>
      </c>
      <c r="CR78" s="71">
        <v>23.0</v>
      </c>
      <c r="CS78" s="69">
        <v>23.0</v>
      </c>
      <c r="CT78" s="69">
        <v>7.0</v>
      </c>
      <c r="CU78" s="69">
        <v>16.0</v>
      </c>
      <c r="CV78" s="71">
        <v>30.0</v>
      </c>
      <c r="CW78" s="69">
        <v>9.0</v>
      </c>
      <c r="CX78" s="69">
        <v>8.0</v>
      </c>
      <c r="CY78" s="69">
        <v>22.0</v>
      </c>
      <c r="CZ78" s="69"/>
      <c r="DA78" s="69">
        <v>0.0</v>
      </c>
      <c r="DB78" s="69">
        <v>0.0</v>
      </c>
      <c r="DC78" s="69"/>
      <c r="DD78" s="69">
        <v>7.0</v>
      </c>
      <c r="DE78" s="69">
        <v>0.0</v>
      </c>
      <c r="DF78" s="69">
        <v>0.0</v>
      </c>
      <c r="DG78" s="69"/>
      <c r="DH78" s="69">
        <v>0.0</v>
      </c>
      <c r="DI78" s="69">
        <v>0.0</v>
      </c>
      <c r="DJ78" s="70"/>
      <c r="DK78" s="82">
        <v>929.0</v>
      </c>
      <c r="DL78" s="69">
        <v>40.0</v>
      </c>
      <c r="DM78" s="77">
        <f t="shared" si="10"/>
        <v>23.225</v>
      </c>
      <c r="DN78" s="83">
        <f t="shared" si="11"/>
        <v>-9.454191033</v>
      </c>
    </row>
    <row r="79" ht="15.75" customHeight="1">
      <c r="A79" s="69">
        <v>73.0</v>
      </c>
      <c r="B79" s="69" t="s">
        <v>491</v>
      </c>
      <c r="C79" s="69" t="s">
        <v>433</v>
      </c>
      <c r="D79" s="70" t="s">
        <v>22</v>
      </c>
      <c r="E79" s="69"/>
      <c r="F79" s="69"/>
      <c r="G79" s="69"/>
      <c r="H79" s="69"/>
      <c r="I79" s="69"/>
      <c r="J79" s="72"/>
      <c r="K79" s="69"/>
      <c r="L79" s="69"/>
      <c r="M79" s="69"/>
      <c r="N79" s="69"/>
      <c r="O79" s="72"/>
      <c r="P79" s="69"/>
      <c r="Q79" s="69"/>
      <c r="R79" s="69"/>
      <c r="S79" s="70"/>
      <c r="T79" s="69">
        <f t="shared" si="1"/>
        <v>0</v>
      </c>
      <c r="U79" s="69"/>
      <c r="V79" s="73" t="str">
        <f t="shared" si="2"/>
        <v>#DIV/0!</v>
      </c>
      <c r="W79" s="74">
        <v>11.0</v>
      </c>
      <c r="X79" s="69">
        <v>13.0</v>
      </c>
      <c r="Y79" s="69">
        <v>7.0</v>
      </c>
      <c r="Z79" s="69">
        <v>3.0</v>
      </c>
      <c r="AA79" s="69">
        <v>10.0</v>
      </c>
      <c r="AB79" s="101">
        <v>20.0</v>
      </c>
      <c r="AC79" s="69">
        <v>30.0</v>
      </c>
      <c r="AD79" s="69">
        <v>12.0</v>
      </c>
      <c r="AE79" s="69">
        <v>12.0</v>
      </c>
      <c r="AF79" s="69">
        <v>18.0</v>
      </c>
      <c r="AG79" s="69">
        <v>25.0</v>
      </c>
      <c r="AH79" s="69">
        <v>7.0</v>
      </c>
      <c r="AI79" s="69">
        <v>4.0</v>
      </c>
      <c r="AJ79" s="69">
        <v>21.0</v>
      </c>
      <c r="AK79" s="69">
        <f t="shared" si="3"/>
        <v>31</v>
      </c>
      <c r="AL79" s="76">
        <v>50.0</v>
      </c>
      <c r="AM79" s="77">
        <f t="shared" si="4"/>
        <v>0.62</v>
      </c>
      <c r="AN79" s="100"/>
      <c r="AO79" s="69">
        <v>24.0</v>
      </c>
      <c r="AP79" s="69">
        <v>14.0</v>
      </c>
      <c r="AQ79" s="69">
        <v>10.0</v>
      </c>
      <c r="AR79" s="69">
        <v>14.0</v>
      </c>
      <c r="AS79" s="69">
        <v>42.0</v>
      </c>
      <c r="AT79" s="69">
        <v>42.0</v>
      </c>
      <c r="AU79" s="69">
        <v>24.0</v>
      </c>
      <c r="AV79" s="69">
        <v>18.0</v>
      </c>
      <c r="AW79" s="69">
        <v>46.0</v>
      </c>
      <c r="AX79" s="69">
        <v>8.0</v>
      </c>
      <c r="AY79" s="69">
        <v>6.0</v>
      </c>
      <c r="AZ79" s="69">
        <v>36.0</v>
      </c>
      <c r="BA79" s="69">
        <v>36.0</v>
      </c>
      <c r="BB79" s="69">
        <v>0.0</v>
      </c>
      <c r="BC79" s="69">
        <v>0.0</v>
      </c>
      <c r="BD79" s="69">
        <v>36.0</v>
      </c>
      <c r="BE79" s="69">
        <v>0.0</v>
      </c>
      <c r="BF79" s="69">
        <v>0.0</v>
      </c>
      <c r="BG79" s="69"/>
      <c r="BH79" s="70"/>
      <c r="BI79" s="78">
        <v>965.0</v>
      </c>
      <c r="BJ79" s="69">
        <v>80.0</v>
      </c>
      <c r="BK79" s="79">
        <f t="shared" si="6"/>
        <v>12.0625</v>
      </c>
      <c r="BL79" s="80">
        <f t="shared" si="7"/>
        <v>3012.903226</v>
      </c>
      <c r="BM79" s="69">
        <v>24.0</v>
      </c>
      <c r="BN79" s="69">
        <v>11.0</v>
      </c>
      <c r="BO79" s="69">
        <v>8.0</v>
      </c>
      <c r="BP79" s="69">
        <v>16.0</v>
      </c>
      <c r="BQ79" s="69">
        <v>44.0</v>
      </c>
      <c r="BR79" s="69">
        <v>44.0</v>
      </c>
      <c r="BS79" s="69">
        <v>24.0</v>
      </c>
      <c r="BT79" s="69">
        <v>20.0</v>
      </c>
      <c r="BU79" s="69">
        <v>48.0</v>
      </c>
      <c r="BV79" s="69">
        <v>8.0</v>
      </c>
      <c r="BW79" s="69">
        <v>13.0</v>
      </c>
      <c r="BX79" s="69">
        <v>35.0</v>
      </c>
      <c r="BY79" s="69">
        <v>35.0</v>
      </c>
      <c r="BZ79" s="69"/>
      <c r="CA79" s="69">
        <v>0.0</v>
      </c>
      <c r="CB79" s="69">
        <v>35.0</v>
      </c>
      <c r="CC79" s="69">
        <v>35.0</v>
      </c>
      <c r="CD79" s="69">
        <v>2.0</v>
      </c>
      <c r="CE79" s="69">
        <v>2.0</v>
      </c>
      <c r="CF79" s="69">
        <v>33.0</v>
      </c>
      <c r="CG79" s="69"/>
      <c r="CH79" s="69"/>
      <c r="CI79" s="70">
        <v>0.0</v>
      </c>
      <c r="CJ79" s="78">
        <v>1014.0</v>
      </c>
      <c r="CK79" s="69">
        <v>80.0</v>
      </c>
      <c r="CL79" s="79">
        <f t="shared" si="8"/>
        <v>12.675</v>
      </c>
      <c r="CM79" s="81">
        <f t="shared" si="9"/>
        <v>5.077720207</v>
      </c>
      <c r="CN79" s="69">
        <v>24.0</v>
      </c>
      <c r="CO79" s="69">
        <v>8.0</v>
      </c>
      <c r="CP79" s="69">
        <v>8.0</v>
      </c>
      <c r="CQ79" s="69">
        <v>16.0</v>
      </c>
      <c r="CR79" s="71">
        <v>44.0</v>
      </c>
      <c r="CS79" s="69">
        <v>44.0</v>
      </c>
      <c r="CT79" s="69">
        <v>24.0</v>
      </c>
      <c r="CU79" s="69">
        <v>20.0</v>
      </c>
      <c r="CV79" s="71">
        <v>48.0</v>
      </c>
      <c r="CW79" s="69">
        <v>18.0</v>
      </c>
      <c r="CX79" s="69">
        <v>16.0</v>
      </c>
      <c r="CY79" s="69">
        <v>32.0</v>
      </c>
      <c r="CZ79" s="69"/>
      <c r="DA79" s="69">
        <v>0.0</v>
      </c>
      <c r="DB79" s="69">
        <v>0.0</v>
      </c>
      <c r="DC79" s="69"/>
      <c r="DD79" s="69">
        <v>-12.0</v>
      </c>
      <c r="DE79" s="69">
        <v>1.0</v>
      </c>
      <c r="DF79" s="69">
        <v>1.0</v>
      </c>
      <c r="DG79" s="69"/>
      <c r="DH79" s="69">
        <v>0.0</v>
      </c>
      <c r="DI79" s="69">
        <v>0.0</v>
      </c>
      <c r="DJ79" s="70"/>
      <c r="DK79" s="82">
        <v>1048.0</v>
      </c>
      <c r="DL79" s="69">
        <v>80.0</v>
      </c>
      <c r="DM79" s="77">
        <f t="shared" si="10"/>
        <v>13.1</v>
      </c>
      <c r="DN79" s="83">
        <f t="shared" si="11"/>
        <v>3.353057199</v>
      </c>
    </row>
    <row r="80" ht="15.75" customHeight="1">
      <c r="A80" s="69">
        <v>74.0</v>
      </c>
      <c r="B80" s="69" t="s">
        <v>492</v>
      </c>
      <c r="C80" s="69" t="s">
        <v>493</v>
      </c>
      <c r="D80" s="70" t="s">
        <v>22</v>
      </c>
      <c r="E80" s="69"/>
      <c r="F80" s="69"/>
      <c r="G80" s="69"/>
      <c r="H80" s="69"/>
      <c r="I80" s="69"/>
      <c r="J80" s="99"/>
      <c r="K80" s="69"/>
      <c r="L80" s="69"/>
      <c r="M80" s="69"/>
      <c r="N80" s="69"/>
      <c r="O80" s="99"/>
      <c r="P80" s="69"/>
      <c r="Q80" s="69"/>
      <c r="R80" s="69"/>
      <c r="S80" s="70"/>
      <c r="T80" s="69">
        <f t="shared" si="1"/>
        <v>0</v>
      </c>
      <c r="U80" s="69"/>
      <c r="V80" s="73" t="str">
        <f t="shared" si="2"/>
        <v>#DIV/0!</v>
      </c>
      <c r="W80" s="74">
        <v>3.0</v>
      </c>
      <c r="X80" s="69">
        <v>9.0</v>
      </c>
      <c r="Y80" s="69">
        <v>0.0</v>
      </c>
      <c r="Z80" s="69">
        <v>0.0</v>
      </c>
      <c r="AA80" s="69">
        <v>9.0</v>
      </c>
      <c r="AB80" s="101">
        <v>8.0</v>
      </c>
      <c r="AC80" s="69">
        <v>23.0</v>
      </c>
      <c r="AD80" s="69">
        <v>7.0</v>
      </c>
      <c r="AE80" s="69">
        <v>0.0</v>
      </c>
      <c r="AF80" s="69">
        <v>23.0</v>
      </c>
      <c r="AG80" s="69">
        <v>18.0</v>
      </c>
      <c r="AH80" s="69">
        <v>0.0</v>
      </c>
      <c r="AI80" s="69">
        <v>0.0</v>
      </c>
      <c r="AJ80" s="69">
        <v>18.0</v>
      </c>
      <c r="AK80" s="69">
        <f t="shared" si="3"/>
        <v>11</v>
      </c>
      <c r="AL80" s="76">
        <v>35.0</v>
      </c>
      <c r="AM80" s="77">
        <f t="shared" si="4"/>
        <v>0.3142857143</v>
      </c>
      <c r="AN80" s="100"/>
      <c r="AO80" s="69">
        <v>24.0</v>
      </c>
      <c r="AP80" s="69">
        <v>24.0</v>
      </c>
      <c r="AQ80" s="69">
        <v>16.0</v>
      </c>
      <c r="AR80" s="69">
        <v>8.0</v>
      </c>
      <c r="AS80" s="69">
        <v>36.0</v>
      </c>
      <c r="AT80" s="69">
        <v>36.0</v>
      </c>
      <c r="AU80" s="69">
        <v>11.0</v>
      </c>
      <c r="AV80" s="69">
        <v>25.0</v>
      </c>
      <c r="AW80" s="69">
        <v>53.0</v>
      </c>
      <c r="AX80" s="69">
        <v>6.0</v>
      </c>
      <c r="AY80" s="69">
        <v>5.0</v>
      </c>
      <c r="AZ80" s="69">
        <v>31.0</v>
      </c>
      <c r="BA80" s="69">
        <v>31.0</v>
      </c>
      <c r="BB80" s="69">
        <v>0.0</v>
      </c>
      <c r="BC80" s="69">
        <v>0.0</v>
      </c>
      <c r="BD80" s="69">
        <v>31.0</v>
      </c>
      <c r="BE80" s="69">
        <v>0.0</v>
      </c>
      <c r="BF80" s="69">
        <v>0.0</v>
      </c>
      <c r="BG80" s="69"/>
      <c r="BH80" s="70"/>
      <c r="BI80" s="78">
        <v>1184.0</v>
      </c>
      <c r="BJ80" s="69">
        <v>80.0</v>
      </c>
      <c r="BK80" s="79">
        <f t="shared" si="6"/>
        <v>14.8</v>
      </c>
      <c r="BL80" s="80">
        <f t="shared" si="7"/>
        <v>10663.63636</v>
      </c>
      <c r="BM80" s="69">
        <v>24.0</v>
      </c>
      <c r="BN80" s="69">
        <v>24.0</v>
      </c>
      <c r="BO80" s="69">
        <v>20.0</v>
      </c>
      <c r="BP80" s="69">
        <v>4.0</v>
      </c>
      <c r="BQ80" s="69">
        <v>32.0</v>
      </c>
      <c r="BR80" s="69">
        <v>32.0</v>
      </c>
      <c r="BS80" s="69">
        <v>15.0</v>
      </c>
      <c r="BT80" s="69">
        <v>17.0</v>
      </c>
      <c r="BU80" s="69">
        <v>45.0</v>
      </c>
      <c r="BV80" s="69">
        <v>6.0</v>
      </c>
      <c r="BW80" s="69">
        <v>5.0</v>
      </c>
      <c r="BX80" s="69">
        <v>40.0</v>
      </c>
      <c r="BY80" s="69">
        <v>40.0</v>
      </c>
      <c r="BZ80" s="69"/>
      <c r="CA80" s="69">
        <v>0.0</v>
      </c>
      <c r="CB80" s="69">
        <v>40.0</v>
      </c>
      <c r="CC80" s="69">
        <v>40.0</v>
      </c>
      <c r="CD80" s="69">
        <v>1.0</v>
      </c>
      <c r="CE80" s="69">
        <v>1.0</v>
      </c>
      <c r="CF80" s="69">
        <v>39.0</v>
      </c>
      <c r="CG80" s="69"/>
      <c r="CH80" s="69"/>
      <c r="CI80" s="70">
        <v>0.0</v>
      </c>
      <c r="CJ80" s="78">
        <v>1260.0</v>
      </c>
      <c r="CK80" s="69">
        <v>80.0</v>
      </c>
      <c r="CL80" s="79">
        <f t="shared" si="8"/>
        <v>15.75</v>
      </c>
      <c r="CM80" s="81">
        <f t="shared" si="9"/>
        <v>6.418918919</v>
      </c>
      <c r="CN80" s="69">
        <v>24.0</v>
      </c>
      <c r="CO80" s="69">
        <v>23.0</v>
      </c>
      <c r="CP80" s="69">
        <v>21.0</v>
      </c>
      <c r="CQ80" s="69">
        <v>3.0</v>
      </c>
      <c r="CR80" s="71">
        <v>31.0</v>
      </c>
      <c r="CS80" s="69">
        <v>31.0</v>
      </c>
      <c r="CT80" s="69">
        <v>9.0</v>
      </c>
      <c r="CU80" s="69">
        <v>22.0</v>
      </c>
      <c r="CV80" s="71">
        <v>50.0</v>
      </c>
      <c r="CW80" s="69">
        <v>5.0</v>
      </c>
      <c r="CX80" s="69">
        <v>5.0</v>
      </c>
      <c r="CY80" s="69">
        <v>45.0</v>
      </c>
      <c r="CZ80" s="69"/>
      <c r="DA80" s="69">
        <v>0.0</v>
      </c>
      <c r="DB80" s="69">
        <v>0.0</v>
      </c>
      <c r="DC80" s="69"/>
      <c r="DD80" s="69">
        <v>-10.0</v>
      </c>
      <c r="DE80" s="69">
        <v>0.0</v>
      </c>
      <c r="DF80" s="69">
        <v>0.0</v>
      </c>
      <c r="DG80" s="69"/>
      <c r="DH80" s="69">
        <v>1.0</v>
      </c>
      <c r="DI80" s="69">
        <v>1.0</v>
      </c>
      <c r="DJ80" s="70"/>
      <c r="DK80" s="82">
        <v>1119.0</v>
      </c>
      <c r="DL80" s="69">
        <v>80.0</v>
      </c>
      <c r="DM80" s="77">
        <f t="shared" si="10"/>
        <v>13.9875</v>
      </c>
      <c r="DN80" s="83">
        <f t="shared" si="11"/>
        <v>-11.19047619</v>
      </c>
    </row>
    <row r="81" ht="15.75" customHeight="1">
      <c r="A81" s="69">
        <v>75.0</v>
      </c>
      <c r="B81" s="69" t="s">
        <v>494</v>
      </c>
      <c r="C81" s="69" t="s">
        <v>495</v>
      </c>
      <c r="D81" s="70" t="s">
        <v>22</v>
      </c>
      <c r="E81" s="69"/>
      <c r="F81" s="69"/>
      <c r="G81" s="69"/>
      <c r="H81" s="69"/>
      <c r="I81" s="69"/>
      <c r="J81" s="99"/>
      <c r="K81" s="69"/>
      <c r="L81" s="69"/>
      <c r="M81" s="69"/>
      <c r="N81" s="69"/>
      <c r="O81" s="99"/>
      <c r="P81" s="69"/>
      <c r="Q81" s="69"/>
      <c r="R81" s="69"/>
      <c r="S81" s="70"/>
      <c r="T81" s="69">
        <f t="shared" si="1"/>
        <v>0</v>
      </c>
      <c r="U81" s="69"/>
      <c r="V81" s="73" t="str">
        <f t="shared" si="2"/>
        <v>#DIV/0!</v>
      </c>
      <c r="W81" s="74">
        <v>28.0</v>
      </c>
      <c r="X81" s="69">
        <v>20.0</v>
      </c>
      <c r="Y81" s="69">
        <v>23.0</v>
      </c>
      <c r="Z81" s="69">
        <v>14.0</v>
      </c>
      <c r="AA81" s="69">
        <v>6.0</v>
      </c>
      <c r="AB81" s="101">
        <v>22.0</v>
      </c>
      <c r="AC81" s="69">
        <v>38.0</v>
      </c>
      <c r="AD81" s="69">
        <v>19.0</v>
      </c>
      <c r="AE81" s="69">
        <v>13.0</v>
      </c>
      <c r="AF81" s="69">
        <v>25.0</v>
      </c>
      <c r="AG81" s="69">
        <v>40.0</v>
      </c>
      <c r="AH81" s="69">
        <v>8.0</v>
      </c>
      <c r="AI81" s="69">
        <v>5.0</v>
      </c>
      <c r="AJ81" s="69">
        <v>35.0</v>
      </c>
      <c r="AK81" s="69">
        <f t="shared" si="3"/>
        <v>50</v>
      </c>
      <c r="AL81" s="76">
        <v>80.0</v>
      </c>
      <c r="AM81" s="77">
        <f t="shared" si="4"/>
        <v>0.625</v>
      </c>
      <c r="AN81" s="100"/>
      <c r="AO81" s="69">
        <v>24.0</v>
      </c>
      <c r="AP81" s="69">
        <v>20.0</v>
      </c>
      <c r="AQ81" s="69">
        <v>19.0</v>
      </c>
      <c r="AR81" s="69">
        <v>5.0</v>
      </c>
      <c r="AS81" s="69">
        <v>33.0</v>
      </c>
      <c r="AT81" s="69">
        <v>33.0</v>
      </c>
      <c r="AU81" s="69">
        <v>18.0</v>
      </c>
      <c r="AV81" s="69">
        <v>15.0</v>
      </c>
      <c r="AW81" s="69">
        <v>43.0</v>
      </c>
      <c r="AX81" s="69">
        <v>21.0</v>
      </c>
      <c r="AY81" s="69">
        <v>20.0</v>
      </c>
      <c r="AZ81" s="69">
        <v>13.0</v>
      </c>
      <c r="BA81" s="69">
        <v>13.0</v>
      </c>
      <c r="BB81" s="69">
        <v>0.0</v>
      </c>
      <c r="BC81" s="69">
        <v>0.0</v>
      </c>
      <c r="BD81" s="69">
        <v>13.0</v>
      </c>
      <c r="BE81" s="69">
        <v>0.0</v>
      </c>
      <c r="BF81" s="69">
        <v>0.0</v>
      </c>
      <c r="BG81" s="69"/>
      <c r="BH81" s="70"/>
      <c r="BI81" s="78">
        <v>1413.0</v>
      </c>
      <c r="BJ81" s="69">
        <v>80.0</v>
      </c>
      <c r="BK81" s="79">
        <f t="shared" si="6"/>
        <v>17.6625</v>
      </c>
      <c r="BL81" s="80">
        <f t="shared" si="7"/>
        <v>2726</v>
      </c>
      <c r="BM81" s="69">
        <v>24.0</v>
      </c>
      <c r="BN81" s="69">
        <v>17.0</v>
      </c>
      <c r="BO81" s="69">
        <v>15.0</v>
      </c>
      <c r="BP81" s="69">
        <v>9.0</v>
      </c>
      <c r="BQ81" s="69">
        <v>37.0</v>
      </c>
      <c r="BR81" s="69">
        <v>37.0</v>
      </c>
      <c r="BS81" s="69">
        <v>21.0</v>
      </c>
      <c r="BT81" s="69">
        <v>16.0</v>
      </c>
      <c r="BU81" s="69">
        <v>44.0</v>
      </c>
      <c r="BV81" s="69">
        <v>21.0</v>
      </c>
      <c r="BW81" s="69">
        <v>25.0</v>
      </c>
      <c r="BX81" s="69">
        <v>19.0</v>
      </c>
      <c r="BY81" s="69">
        <v>19.0</v>
      </c>
      <c r="BZ81" s="69"/>
      <c r="CA81" s="69">
        <v>0.0</v>
      </c>
      <c r="CB81" s="69">
        <v>19.0</v>
      </c>
      <c r="CC81" s="69">
        <v>19.0</v>
      </c>
      <c r="CD81" s="69">
        <v>5.0</v>
      </c>
      <c r="CE81" s="69">
        <v>5.0</v>
      </c>
      <c r="CF81" s="69">
        <v>14.0</v>
      </c>
      <c r="CG81" s="69"/>
      <c r="CH81" s="69"/>
      <c r="CI81" s="70">
        <v>0.0</v>
      </c>
      <c r="CJ81" s="78">
        <v>1604.0</v>
      </c>
      <c r="CK81" s="69">
        <v>80.0</v>
      </c>
      <c r="CL81" s="79">
        <f t="shared" si="8"/>
        <v>20.05</v>
      </c>
      <c r="CM81" s="81">
        <f t="shared" si="9"/>
        <v>13.517339</v>
      </c>
      <c r="CN81" s="69">
        <v>24.0</v>
      </c>
      <c r="CO81" s="69">
        <v>15.0</v>
      </c>
      <c r="CP81" s="69">
        <v>14.0</v>
      </c>
      <c r="CQ81" s="69">
        <v>10.0</v>
      </c>
      <c r="CR81" s="71">
        <v>38.0</v>
      </c>
      <c r="CS81" s="69">
        <v>38.0</v>
      </c>
      <c r="CT81" s="69">
        <v>22.0</v>
      </c>
      <c r="CU81" s="69">
        <v>16.0</v>
      </c>
      <c r="CV81" s="71">
        <v>44.0</v>
      </c>
      <c r="CW81" s="69">
        <v>27.0</v>
      </c>
      <c r="CX81" s="69">
        <v>21.0</v>
      </c>
      <c r="CY81" s="69">
        <v>23.0</v>
      </c>
      <c r="CZ81" s="69"/>
      <c r="DA81" s="69">
        <v>0.0</v>
      </c>
      <c r="DB81" s="69">
        <v>0.0</v>
      </c>
      <c r="DC81" s="69"/>
      <c r="DD81" s="69">
        <v>-31.0</v>
      </c>
      <c r="DE81" s="69">
        <v>1.0</v>
      </c>
      <c r="DF81" s="69">
        <v>1.0</v>
      </c>
      <c r="DG81" s="69"/>
      <c r="DH81" s="69">
        <v>0.0</v>
      </c>
      <c r="DI81" s="69">
        <v>0.0</v>
      </c>
      <c r="DJ81" s="70"/>
      <c r="DK81" s="82">
        <v>1331.0</v>
      </c>
      <c r="DL81" s="69">
        <v>80.0</v>
      </c>
      <c r="DM81" s="77">
        <f t="shared" si="10"/>
        <v>16.6375</v>
      </c>
      <c r="DN81" s="83">
        <f t="shared" si="11"/>
        <v>-17.01995012</v>
      </c>
    </row>
    <row r="82" ht="15.75" customHeight="1">
      <c r="A82" s="69">
        <v>76.0</v>
      </c>
      <c r="B82" s="69" t="s">
        <v>496</v>
      </c>
      <c r="C82" s="69" t="s">
        <v>497</v>
      </c>
      <c r="D82" s="70" t="s">
        <v>15</v>
      </c>
      <c r="E82" s="69"/>
      <c r="F82" s="69"/>
      <c r="G82" s="69"/>
      <c r="H82" s="69"/>
      <c r="I82" s="69"/>
      <c r="J82" s="99"/>
      <c r="K82" s="69"/>
      <c r="L82" s="69"/>
      <c r="M82" s="69"/>
      <c r="N82" s="69"/>
      <c r="O82" s="99"/>
      <c r="P82" s="69"/>
      <c r="Q82" s="69"/>
      <c r="R82" s="69"/>
      <c r="S82" s="70"/>
      <c r="T82" s="69">
        <f t="shared" si="1"/>
        <v>0</v>
      </c>
      <c r="U82" s="69"/>
      <c r="V82" s="73" t="str">
        <f t="shared" si="2"/>
        <v>#DIV/0!</v>
      </c>
      <c r="W82" s="74">
        <v>36.0</v>
      </c>
      <c r="X82" s="69">
        <v>20.0</v>
      </c>
      <c r="Y82" s="69">
        <v>20.0</v>
      </c>
      <c r="Z82" s="69">
        <v>13.0</v>
      </c>
      <c r="AA82" s="69">
        <v>7.0</v>
      </c>
      <c r="AB82" s="84">
        <v>39.0</v>
      </c>
      <c r="AC82" s="69">
        <v>39.0</v>
      </c>
      <c r="AD82" s="69">
        <v>30.0</v>
      </c>
      <c r="AE82" s="69">
        <v>18.0</v>
      </c>
      <c r="AF82" s="69">
        <v>21.0</v>
      </c>
      <c r="AG82" s="69">
        <v>40.0</v>
      </c>
      <c r="AH82" s="69">
        <v>5.0</v>
      </c>
      <c r="AI82" s="69">
        <v>5.0</v>
      </c>
      <c r="AJ82" s="69">
        <v>35.0</v>
      </c>
      <c r="AK82" s="69">
        <f t="shared" si="3"/>
        <v>75</v>
      </c>
      <c r="AL82" s="76">
        <v>80.0</v>
      </c>
      <c r="AM82" s="77">
        <f t="shared" si="4"/>
        <v>0.9375</v>
      </c>
      <c r="AN82" s="100"/>
      <c r="AO82" s="69"/>
      <c r="AP82" s="69"/>
      <c r="AQ82" s="69"/>
      <c r="AR82" s="69"/>
      <c r="AS82" s="69"/>
      <c r="AT82" s="69"/>
      <c r="AU82" s="69"/>
      <c r="AV82" s="69"/>
      <c r="AW82" s="69"/>
      <c r="AX82" s="69"/>
      <c r="AY82" s="69"/>
      <c r="AZ82" s="69"/>
      <c r="BA82" s="69"/>
      <c r="BB82" s="69"/>
      <c r="BC82" s="69"/>
      <c r="BD82" s="69"/>
      <c r="BE82" s="69"/>
      <c r="BF82" s="69"/>
      <c r="BG82" s="69"/>
      <c r="BH82" s="70"/>
      <c r="BI82" s="69"/>
      <c r="BJ82" s="69"/>
      <c r="BK82" s="79"/>
      <c r="BL82" s="80">
        <f t="shared" si="7"/>
        <v>-100</v>
      </c>
      <c r="BM82" s="69">
        <v>15.0</v>
      </c>
      <c r="BN82" s="69">
        <v>15.0</v>
      </c>
      <c r="BO82" s="69">
        <v>13.0</v>
      </c>
      <c r="BP82" s="69">
        <v>2.0</v>
      </c>
      <c r="BQ82" s="69">
        <v>20.0</v>
      </c>
      <c r="BR82" s="69">
        <v>20.0</v>
      </c>
      <c r="BS82" s="69">
        <v>16.0</v>
      </c>
      <c r="BT82" s="69">
        <v>4.0</v>
      </c>
      <c r="BU82" s="69">
        <v>21.0</v>
      </c>
      <c r="BV82" s="69"/>
      <c r="BW82" s="69">
        <v>3.0</v>
      </c>
      <c r="BX82" s="69">
        <v>18.0</v>
      </c>
      <c r="BY82" s="69">
        <v>18.0</v>
      </c>
      <c r="BZ82" s="69"/>
      <c r="CA82" s="69">
        <v>0.0</v>
      </c>
      <c r="CB82" s="69">
        <v>18.0</v>
      </c>
      <c r="CC82" s="69">
        <v>18.0</v>
      </c>
      <c r="CD82" s="69">
        <v>1.0</v>
      </c>
      <c r="CE82" s="69">
        <v>0.0</v>
      </c>
      <c r="CF82" s="69">
        <v>18.0</v>
      </c>
      <c r="CG82" s="69"/>
      <c r="CH82" s="69"/>
      <c r="CI82" s="70">
        <v>0.0</v>
      </c>
      <c r="CJ82" s="78">
        <v>131.0</v>
      </c>
      <c r="CK82" s="69">
        <v>50.0</v>
      </c>
      <c r="CL82" s="79">
        <f t="shared" si="8"/>
        <v>2.62</v>
      </c>
      <c r="CM82" s="81" t="str">
        <f t="shared" si="9"/>
        <v>#DIV/0!</v>
      </c>
      <c r="CN82" s="69">
        <v>15.0</v>
      </c>
      <c r="CO82" s="69">
        <v>15.0</v>
      </c>
      <c r="CP82" s="69">
        <v>13.0</v>
      </c>
      <c r="CQ82" s="69">
        <v>2.0</v>
      </c>
      <c r="CR82" s="71">
        <v>20.0</v>
      </c>
      <c r="CS82" s="69">
        <v>20.0</v>
      </c>
      <c r="CT82" s="69">
        <v>17.0</v>
      </c>
      <c r="CU82" s="69">
        <v>3.0</v>
      </c>
      <c r="CV82" s="71">
        <v>20.0</v>
      </c>
      <c r="CW82" s="69">
        <v>6.0</v>
      </c>
      <c r="CX82" s="69">
        <v>4.0</v>
      </c>
      <c r="CY82" s="69">
        <v>16.0</v>
      </c>
      <c r="CZ82" s="69"/>
      <c r="DA82" s="69">
        <v>0.0</v>
      </c>
      <c r="DB82" s="69">
        <v>0.0</v>
      </c>
      <c r="DC82" s="69"/>
      <c r="DD82" s="69">
        <v>-29.0</v>
      </c>
      <c r="DE82" s="69">
        <v>0.0</v>
      </c>
      <c r="DF82" s="69">
        <v>0.0</v>
      </c>
      <c r="DG82" s="69"/>
      <c r="DH82" s="69">
        <v>4.0</v>
      </c>
      <c r="DI82" s="69">
        <v>2.0</v>
      </c>
      <c r="DJ82" s="70"/>
      <c r="DK82" s="82">
        <v>103.0</v>
      </c>
      <c r="DL82" s="69">
        <v>50.0</v>
      </c>
      <c r="DM82" s="77">
        <f t="shared" si="10"/>
        <v>2.06</v>
      </c>
      <c r="DN82" s="83">
        <f t="shared" si="11"/>
        <v>-21.3740458</v>
      </c>
    </row>
    <row r="83" ht="15.75" customHeight="1">
      <c r="A83" s="69">
        <v>77.0</v>
      </c>
      <c r="B83" s="69" t="s">
        <v>498</v>
      </c>
      <c r="C83" s="69" t="s">
        <v>499</v>
      </c>
      <c r="D83" s="70" t="s">
        <v>15</v>
      </c>
      <c r="E83" s="69"/>
      <c r="F83" s="69"/>
      <c r="G83" s="69"/>
      <c r="H83" s="69"/>
      <c r="I83" s="69"/>
      <c r="J83" s="99"/>
      <c r="K83" s="69"/>
      <c r="L83" s="69"/>
      <c r="M83" s="69"/>
      <c r="N83" s="69"/>
      <c r="O83" s="99"/>
      <c r="P83" s="69"/>
      <c r="Q83" s="69"/>
      <c r="R83" s="69"/>
      <c r="S83" s="70"/>
      <c r="T83" s="69">
        <f t="shared" si="1"/>
        <v>0</v>
      </c>
      <c r="U83" s="69"/>
      <c r="V83" s="73" t="str">
        <f t="shared" si="2"/>
        <v>#DIV/0!</v>
      </c>
      <c r="W83" s="102">
        <v>12.0</v>
      </c>
      <c r="X83" s="69">
        <v>15.0</v>
      </c>
      <c r="Y83" s="69">
        <v>9.0</v>
      </c>
      <c r="Z83" s="69">
        <v>7.0</v>
      </c>
      <c r="AA83" s="69">
        <v>8.0</v>
      </c>
      <c r="AB83" s="103">
        <v>42.0</v>
      </c>
      <c r="AC83" s="69">
        <v>32.0</v>
      </c>
      <c r="AD83" s="69">
        <v>33.0</v>
      </c>
      <c r="AE83" s="69">
        <v>30.0</v>
      </c>
      <c r="AF83" s="69">
        <v>2.0</v>
      </c>
      <c r="AG83" s="69">
        <v>22.0</v>
      </c>
      <c r="AH83" s="69">
        <v>18.0</v>
      </c>
      <c r="AI83" s="69">
        <v>18.0</v>
      </c>
      <c r="AJ83" s="69">
        <v>4.0</v>
      </c>
      <c r="AK83" s="69">
        <f t="shared" si="3"/>
        <v>54</v>
      </c>
      <c r="AL83" s="76">
        <v>60.0</v>
      </c>
      <c r="AM83" s="77">
        <f t="shared" si="4"/>
        <v>0.9</v>
      </c>
      <c r="AN83" s="100"/>
      <c r="AO83" s="69"/>
      <c r="AP83" s="69"/>
      <c r="AQ83" s="69"/>
      <c r="AR83" s="69"/>
      <c r="AS83" s="69"/>
      <c r="AT83" s="69"/>
      <c r="AU83" s="69"/>
      <c r="AV83" s="69"/>
      <c r="AW83" s="69"/>
      <c r="AX83" s="69"/>
      <c r="AY83" s="69"/>
      <c r="AZ83" s="69"/>
      <c r="BA83" s="69"/>
      <c r="BB83" s="69"/>
      <c r="BC83" s="69"/>
      <c r="BD83" s="69"/>
      <c r="BE83" s="69"/>
      <c r="BF83" s="69"/>
      <c r="BG83" s="69"/>
      <c r="BH83" s="70"/>
      <c r="BI83" s="69"/>
      <c r="BJ83" s="69"/>
      <c r="BK83" s="79"/>
      <c r="BL83" s="80">
        <f t="shared" si="7"/>
        <v>-100</v>
      </c>
      <c r="BM83" s="69">
        <v>0.0</v>
      </c>
      <c r="BN83" s="69"/>
      <c r="BO83" s="69"/>
      <c r="BP83" s="69">
        <v>0.0</v>
      </c>
      <c r="BQ83" s="69">
        <v>0.0</v>
      </c>
      <c r="BR83" s="69">
        <v>0.0</v>
      </c>
      <c r="BS83" s="69">
        <v>0.0</v>
      </c>
      <c r="BT83" s="69">
        <v>0.0</v>
      </c>
      <c r="BU83" s="69">
        <v>80.0</v>
      </c>
      <c r="BV83" s="69"/>
      <c r="BW83" s="69">
        <v>48.0</v>
      </c>
      <c r="BX83" s="69">
        <v>32.0</v>
      </c>
      <c r="BY83" s="69">
        <v>32.0</v>
      </c>
      <c r="BZ83" s="69"/>
      <c r="CA83" s="69">
        <v>0.0</v>
      </c>
      <c r="CB83" s="69">
        <v>32.0</v>
      </c>
      <c r="CC83" s="69">
        <v>32.0</v>
      </c>
      <c r="CD83" s="69">
        <v>12.0</v>
      </c>
      <c r="CE83" s="69">
        <v>7.0</v>
      </c>
      <c r="CF83" s="69">
        <v>25.0</v>
      </c>
      <c r="CG83" s="69"/>
      <c r="CH83" s="69"/>
      <c r="CI83" s="70">
        <v>0.0</v>
      </c>
      <c r="CJ83" s="78">
        <v>210.0</v>
      </c>
      <c r="CK83" s="69">
        <v>80.0</v>
      </c>
      <c r="CL83" s="79">
        <f t="shared" si="8"/>
        <v>2.625</v>
      </c>
      <c r="CM83" s="81" t="str">
        <f t="shared" si="9"/>
        <v>#DIV/0!</v>
      </c>
      <c r="CN83" s="69">
        <v>18.0</v>
      </c>
      <c r="CO83" s="69">
        <v>18.0</v>
      </c>
      <c r="CP83" s="69">
        <v>18.0</v>
      </c>
      <c r="CQ83" s="69">
        <v>0.0</v>
      </c>
      <c r="CR83" s="71">
        <v>21.0</v>
      </c>
      <c r="CS83" s="69">
        <v>21.0</v>
      </c>
      <c r="CT83" s="69">
        <v>16.0</v>
      </c>
      <c r="CU83" s="69">
        <v>5.0</v>
      </c>
      <c r="CV83" s="71">
        <v>85.0</v>
      </c>
      <c r="CW83" s="69">
        <v>26.0</v>
      </c>
      <c r="CX83" s="69">
        <v>16.0</v>
      </c>
      <c r="CY83" s="69">
        <v>69.0</v>
      </c>
      <c r="CZ83" s="69"/>
      <c r="DA83" s="69">
        <v>0.0</v>
      </c>
      <c r="DB83" s="69">
        <v>0.0</v>
      </c>
      <c r="DC83" s="69"/>
      <c r="DD83" s="69">
        <v>14.0</v>
      </c>
      <c r="DE83" s="69">
        <v>1.0</v>
      </c>
      <c r="DF83" s="69">
        <v>0.0</v>
      </c>
      <c r="DG83" s="69"/>
      <c r="DH83" s="69">
        <v>0.0</v>
      </c>
      <c r="DI83" s="69">
        <v>0.0</v>
      </c>
      <c r="DJ83" s="70"/>
      <c r="DK83" s="82">
        <v>526.0</v>
      </c>
      <c r="DL83" s="69">
        <v>60.0</v>
      </c>
      <c r="DM83" s="77">
        <f t="shared" si="10"/>
        <v>8.766666667</v>
      </c>
      <c r="DN83" s="83">
        <f t="shared" si="11"/>
        <v>150.4761905</v>
      </c>
    </row>
    <row r="84" ht="15.75" customHeight="1">
      <c r="A84" s="69">
        <v>78.0</v>
      </c>
      <c r="B84" s="69" t="s">
        <v>500</v>
      </c>
      <c r="C84" s="69" t="s">
        <v>501</v>
      </c>
      <c r="D84" s="70" t="s">
        <v>15</v>
      </c>
      <c r="E84" s="69"/>
      <c r="F84" s="69"/>
      <c r="G84" s="69"/>
      <c r="H84" s="69"/>
      <c r="I84" s="69"/>
      <c r="J84" s="99"/>
      <c r="K84" s="69"/>
      <c r="L84" s="69"/>
      <c r="M84" s="69"/>
      <c r="N84" s="69"/>
      <c r="O84" s="99"/>
      <c r="P84" s="69"/>
      <c r="Q84" s="69"/>
      <c r="R84" s="69"/>
      <c r="S84" s="70"/>
      <c r="T84" s="69">
        <f t="shared" si="1"/>
        <v>0</v>
      </c>
      <c r="U84" s="69"/>
      <c r="V84" s="73" t="str">
        <f t="shared" si="2"/>
        <v>#DIV/0!</v>
      </c>
      <c r="W84" s="69"/>
      <c r="X84" s="69"/>
      <c r="Y84" s="69"/>
      <c r="Z84" s="69"/>
      <c r="AA84" s="69"/>
      <c r="AB84" s="69"/>
      <c r="AC84" s="69"/>
      <c r="AD84" s="69"/>
      <c r="AE84" s="69"/>
      <c r="AF84" s="69"/>
      <c r="AG84" s="69"/>
      <c r="AH84" s="69"/>
      <c r="AI84" s="69"/>
      <c r="AJ84" s="69"/>
      <c r="AK84" s="69">
        <f t="shared" si="3"/>
        <v>0</v>
      </c>
      <c r="AL84" s="76"/>
      <c r="AM84" s="77" t="str">
        <f t="shared" si="4"/>
        <v>#DIV/0!</v>
      </c>
      <c r="AN84" s="100"/>
      <c r="AO84" s="69"/>
      <c r="AP84" s="69"/>
      <c r="AQ84" s="69"/>
      <c r="AR84" s="69"/>
      <c r="AS84" s="69"/>
      <c r="AT84" s="69"/>
      <c r="AU84" s="69"/>
      <c r="AV84" s="69"/>
      <c r="AW84" s="69"/>
      <c r="AX84" s="69"/>
      <c r="AY84" s="69"/>
      <c r="AZ84" s="69"/>
      <c r="BA84" s="69"/>
      <c r="BB84" s="69"/>
      <c r="BC84" s="69"/>
      <c r="BD84" s="69"/>
      <c r="BE84" s="69"/>
      <c r="BF84" s="69"/>
      <c r="BG84" s="69"/>
      <c r="BH84" s="70"/>
      <c r="BI84" s="69"/>
      <c r="BJ84" s="69"/>
      <c r="BK84" s="79"/>
      <c r="BL84" s="80"/>
      <c r="BM84" s="69">
        <v>0.0</v>
      </c>
      <c r="BN84" s="69"/>
      <c r="BO84" s="69"/>
      <c r="BP84" s="69">
        <v>0.0</v>
      </c>
      <c r="BQ84" s="69">
        <v>0.0</v>
      </c>
      <c r="BR84" s="69">
        <v>0.0</v>
      </c>
      <c r="BS84" s="69">
        <v>0.0</v>
      </c>
      <c r="BT84" s="69">
        <v>0.0</v>
      </c>
      <c r="BU84" s="69">
        <v>80.0</v>
      </c>
      <c r="BV84" s="69"/>
      <c r="BW84" s="69">
        <v>42.0</v>
      </c>
      <c r="BX84" s="69">
        <v>38.0</v>
      </c>
      <c r="BY84" s="69">
        <v>38.0</v>
      </c>
      <c r="BZ84" s="69"/>
      <c r="CA84" s="69">
        <v>0.0</v>
      </c>
      <c r="CB84" s="69">
        <v>38.0</v>
      </c>
      <c r="CC84" s="69">
        <v>38.0</v>
      </c>
      <c r="CD84" s="69">
        <v>10.0</v>
      </c>
      <c r="CE84" s="69">
        <v>9.0</v>
      </c>
      <c r="CF84" s="69">
        <v>29.0</v>
      </c>
      <c r="CG84" s="69"/>
      <c r="CH84" s="69"/>
      <c r="CI84" s="70">
        <v>0.0</v>
      </c>
      <c r="CJ84" s="78">
        <v>112.0</v>
      </c>
      <c r="CK84" s="69">
        <v>80.0</v>
      </c>
      <c r="CL84" s="79">
        <f t="shared" si="8"/>
        <v>1.4</v>
      </c>
      <c r="CM84" s="81" t="str">
        <f t="shared" si="9"/>
        <v>#DIV/0!</v>
      </c>
      <c r="CN84" s="69">
        <v>18.0</v>
      </c>
      <c r="CO84" s="69">
        <v>18.0</v>
      </c>
      <c r="CP84" s="69">
        <v>18.0</v>
      </c>
      <c r="CQ84" s="69">
        <v>0.0</v>
      </c>
      <c r="CR84" s="71">
        <v>21.0</v>
      </c>
      <c r="CS84" s="69">
        <v>21.0</v>
      </c>
      <c r="CT84" s="69">
        <v>19.0</v>
      </c>
      <c r="CU84" s="69">
        <v>2.0</v>
      </c>
      <c r="CV84" s="71">
        <v>82.0</v>
      </c>
      <c r="CW84" s="69">
        <v>16.0</v>
      </c>
      <c r="CX84" s="69">
        <v>15.0</v>
      </c>
      <c r="CY84" s="69">
        <v>67.0</v>
      </c>
      <c r="CZ84" s="69"/>
      <c r="DA84" s="69">
        <v>0.0</v>
      </c>
      <c r="DB84" s="69">
        <v>0.0</v>
      </c>
      <c r="DC84" s="69"/>
      <c r="DD84" s="69">
        <v>9.0</v>
      </c>
      <c r="DE84" s="69">
        <v>0.0</v>
      </c>
      <c r="DF84" s="69">
        <v>0.0</v>
      </c>
      <c r="DG84" s="69"/>
      <c r="DH84" s="69">
        <v>0.0</v>
      </c>
      <c r="DI84" s="69">
        <v>0.0</v>
      </c>
      <c r="DJ84" s="70"/>
      <c r="DK84" s="82">
        <v>122.0</v>
      </c>
      <c r="DL84" s="69">
        <v>60.0</v>
      </c>
      <c r="DM84" s="77">
        <f t="shared" si="10"/>
        <v>2.033333333</v>
      </c>
      <c r="DN84" s="83">
        <f t="shared" si="11"/>
        <v>8.928571429</v>
      </c>
    </row>
    <row r="85" ht="15.75" customHeight="1">
      <c r="A85" s="69">
        <v>79.0</v>
      </c>
      <c r="B85" s="69" t="s">
        <v>502</v>
      </c>
      <c r="C85" s="69" t="s">
        <v>503</v>
      </c>
      <c r="D85" s="70" t="s">
        <v>15</v>
      </c>
      <c r="E85" s="69"/>
      <c r="F85" s="69"/>
      <c r="G85" s="69"/>
      <c r="H85" s="69"/>
      <c r="I85" s="69"/>
      <c r="J85" s="99"/>
      <c r="K85" s="69"/>
      <c r="L85" s="69"/>
      <c r="M85" s="69"/>
      <c r="N85" s="69"/>
      <c r="O85" s="99"/>
      <c r="P85" s="69"/>
      <c r="Q85" s="69"/>
      <c r="R85" s="69"/>
      <c r="S85" s="70"/>
      <c r="T85" s="69">
        <f t="shared" si="1"/>
        <v>0</v>
      </c>
      <c r="U85" s="69"/>
      <c r="V85" s="73" t="str">
        <f t="shared" si="2"/>
        <v>#DIV/0!</v>
      </c>
      <c r="W85" s="69"/>
      <c r="X85" s="69"/>
      <c r="Y85" s="69"/>
      <c r="Z85" s="69"/>
      <c r="AA85" s="69"/>
      <c r="AB85" s="69"/>
      <c r="AC85" s="69"/>
      <c r="AD85" s="69"/>
      <c r="AE85" s="69"/>
      <c r="AF85" s="69"/>
      <c r="AG85" s="69"/>
      <c r="AH85" s="69"/>
      <c r="AI85" s="69"/>
      <c r="AJ85" s="69"/>
      <c r="AK85" s="69">
        <f t="shared" si="3"/>
        <v>0</v>
      </c>
      <c r="AL85" s="76"/>
      <c r="AM85" s="77" t="str">
        <f t="shared" si="4"/>
        <v>#DIV/0!</v>
      </c>
      <c r="AN85" s="100"/>
      <c r="AO85" s="69"/>
      <c r="AP85" s="69"/>
      <c r="AQ85" s="69"/>
      <c r="AR85" s="69"/>
      <c r="AS85" s="69"/>
      <c r="AT85" s="69"/>
      <c r="AU85" s="69"/>
      <c r="AV85" s="69"/>
      <c r="AW85" s="69"/>
      <c r="AX85" s="69"/>
      <c r="AY85" s="69"/>
      <c r="AZ85" s="69"/>
      <c r="BA85" s="69"/>
      <c r="BB85" s="69"/>
      <c r="BC85" s="69"/>
      <c r="BD85" s="69"/>
      <c r="BE85" s="69"/>
      <c r="BF85" s="69"/>
      <c r="BG85" s="69"/>
      <c r="BH85" s="70"/>
      <c r="BI85" s="69"/>
      <c r="BJ85" s="69"/>
      <c r="BK85" s="79"/>
      <c r="BL85" s="80"/>
      <c r="BM85" s="69">
        <v>0.0</v>
      </c>
      <c r="BN85" s="69"/>
      <c r="BO85" s="69"/>
      <c r="BP85" s="69">
        <v>0.0</v>
      </c>
      <c r="BQ85" s="69">
        <v>0.0</v>
      </c>
      <c r="BR85" s="69">
        <v>0.0</v>
      </c>
      <c r="BS85" s="69">
        <v>0.0</v>
      </c>
      <c r="BT85" s="69">
        <v>0.0</v>
      </c>
      <c r="BU85" s="69">
        <v>80.0</v>
      </c>
      <c r="BV85" s="69"/>
      <c r="BW85" s="69">
        <v>67.0</v>
      </c>
      <c r="BX85" s="69">
        <v>13.0</v>
      </c>
      <c r="BY85" s="69">
        <v>13.0</v>
      </c>
      <c r="BZ85" s="69"/>
      <c r="CA85" s="69">
        <v>0.0</v>
      </c>
      <c r="CB85" s="69">
        <v>13.0</v>
      </c>
      <c r="CC85" s="69">
        <v>13.0</v>
      </c>
      <c r="CD85" s="69">
        <v>7.0</v>
      </c>
      <c r="CE85" s="69">
        <v>5.0</v>
      </c>
      <c r="CF85" s="69">
        <v>8.0</v>
      </c>
      <c r="CG85" s="69"/>
      <c r="CH85" s="69"/>
      <c r="CI85" s="70">
        <v>0.0</v>
      </c>
      <c r="CJ85" s="78">
        <v>131.0</v>
      </c>
      <c r="CK85" s="69">
        <v>80.0</v>
      </c>
      <c r="CL85" s="79">
        <f t="shared" si="8"/>
        <v>1.6375</v>
      </c>
      <c r="CM85" s="81" t="str">
        <f t="shared" si="9"/>
        <v>#DIV/0!</v>
      </c>
      <c r="CN85" s="69">
        <v>24.0</v>
      </c>
      <c r="CO85" s="69">
        <v>24.0</v>
      </c>
      <c r="CP85" s="69">
        <v>23.0</v>
      </c>
      <c r="CQ85" s="69">
        <v>1.0</v>
      </c>
      <c r="CR85" s="71">
        <v>29.0</v>
      </c>
      <c r="CS85" s="69">
        <v>29.0</v>
      </c>
      <c r="CT85" s="69">
        <v>26.0</v>
      </c>
      <c r="CU85" s="69">
        <v>3.0</v>
      </c>
      <c r="CV85" s="71">
        <v>83.0</v>
      </c>
      <c r="CW85" s="69">
        <v>31.0</v>
      </c>
      <c r="CX85" s="69">
        <v>27.0</v>
      </c>
      <c r="CY85" s="69">
        <v>56.0</v>
      </c>
      <c r="CZ85" s="69"/>
      <c r="DA85" s="69">
        <v>0.0</v>
      </c>
      <c r="DB85" s="69">
        <v>0.0</v>
      </c>
      <c r="DC85" s="69"/>
      <c r="DD85" s="69">
        <v>-20.0</v>
      </c>
      <c r="DE85" s="69">
        <v>6.0</v>
      </c>
      <c r="DF85" s="69">
        <v>2.0</v>
      </c>
      <c r="DG85" s="69"/>
      <c r="DH85" s="69">
        <v>0.0</v>
      </c>
      <c r="DI85" s="69">
        <v>0.0</v>
      </c>
      <c r="DJ85" s="70"/>
      <c r="DK85" s="82">
        <v>1023.0</v>
      </c>
      <c r="DL85" s="69">
        <v>80.0</v>
      </c>
      <c r="DM85" s="77">
        <f t="shared" si="10"/>
        <v>12.7875</v>
      </c>
      <c r="DN85" s="83">
        <f t="shared" si="11"/>
        <v>680.9160305</v>
      </c>
    </row>
    <row r="86" ht="15.75" customHeight="1">
      <c r="A86" s="69">
        <v>80.0</v>
      </c>
      <c r="B86" s="69"/>
      <c r="C86" s="69" t="s">
        <v>504</v>
      </c>
      <c r="D86" s="70" t="s">
        <v>15</v>
      </c>
      <c r="E86" s="69"/>
      <c r="F86" s="69"/>
      <c r="G86" s="69"/>
      <c r="H86" s="69"/>
      <c r="I86" s="69"/>
      <c r="J86" s="99"/>
      <c r="K86" s="69"/>
      <c r="L86" s="69"/>
      <c r="M86" s="69"/>
      <c r="N86" s="69"/>
      <c r="O86" s="99"/>
      <c r="P86" s="69"/>
      <c r="Q86" s="69"/>
      <c r="R86" s="69"/>
      <c r="S86" s="70"/>
      <c r="T86" s="69">
        <f t="shared" si="1"/>
        <v>0</v>
      </c>
      <c r="U86" s="69"/>
      <c r="V86" s="73" t="str">
        <f t="shared" si="2"/>
        <v>#DIV/0!</v>
      </c>
      <c r="W86" s="69"/>
      <c r="X86" s="69"/>
      <c r="Y86" s="69"/>
      <c r="Z86" s="69"/>
      <c r="AA86" s="69"/>
      <c r="AB86" s="69"/>
      <c r="AC86" s="69"/>
      <c r="AD86" s="69"/>
      <c r="AE86" s="69"/>
      <c r="AF86" s="69"/>
      <c r="AG86" s="69"/>
      <c r="AH86" s="69"/>
      <c r="AI86" s="69"/>
      <c r="AJ86" s="69"/>
      <c r="AK86" s="69">
        <f t="shared" si="3"/>
        <v>0</v>
      </c>
      <c r="AL86" s="76"/>
      <c r="AM86" s="77" t="str">
        <f t="shared" si="4"/>
        <v>#DIV/0!</v>
      </c>
      <c r="AN86" s="100"/>
      <c r="AO86" s="69"/>
      <c r="AP86" s="69"/>
      <c r="AQ86" s="69"/>
      <c r="AR86" s="69"/>
      <c r="AS86" s="69"/>
      <c r="AT86" s="69"/>
      <c r="AU86" s="69"/>
      <c r="AV86" s="69"/>
      <c r="AW86" s="69"/>
      <c r="AX86" s="69"/>
      <c r="AY86" s="69"/>
      <c r="AZ86" s="69"/>
      <c r="BA86" s="69"/>
      <c r="BB86" s="69"/>
      <c r="BC86" s="69"/>
      <c r="BD86" s="69"/>
      <c r="BE86" s="69"/>
      <c r="BF86" s="69"/>
      <c r="BG86" s="69"/>
      <c r="BH86" s="70"/>
      <c r="BI86" s="69"/>
      <c r="BJ86" s="69"/>
      <c r="BK86" s="79"/>
      <c r="BL86" s="80"/>
      <c r="BM86" s="69"/>
      <c r="BN86" s="69"/>
      <c r="BO86" s="69"/>
      <c r="BP86" s="69"/>
      <c r="BQ86" s="69"/>
      <c r="BR86" s="69"/>
      <c r="BS86" s="69"/>
      <c r="BT86" s="69"/>
      <c r="BU86" s="69"/>
      <c r="BV86" s="69"/>
      <c r="BW86" s="69">
        <v>0.0</v>
      </c>
      <c r="BX86" s="69">
        <v>0.0</v>
      </c>
      <c r="BY86" s="69">
        <v>0.0</v>
      </c>
      <c r="BZ86" s="69"/>
      <c r="CA86" s="69"/>
      <c r="CB86" s="69">
        <v>0.0</v>
      </c>
      <c r="CC86" s="69">
        <v>0.0</v>
      </c>
      <c r="CD86" s="69">
        <v>0.0</v>
      </c>
      <c r="CE86" s="69">
        <v>0.0</v>
      </c>
      <c r="CF86" s="69">
        <v>0.0</v>
      </c>
      <c r="CG86" s="69"/>
      <c r="CH86" s="69"/>
      <c r="CI86" s="70">
        <v>0.0</v>
      </c>
      <c r="CJ86" s="78">
        <v>143.0</v>
      </c>
      <c r="CK86" s="69">
        <v>80.0</v>
      </c>
      <c r="CL86" s="79">
        <f t="shared" si="8"/>
        <v>1.7875</v>
      </c>
      <c r="CM86" s="81" t="str">
        <f t="shared" si="9"/>
        <v>#DIV/0!</v>
      </c>
      <c r="CN86" s="69">
        <v>0.0</v>
      </c>
      <c r="CO86" s="69"/>
      <c r="CP86" s="69">
        <v>0.0</v>
      </c>
      <c r="CQ86" s="69"/>
      <c r="CR86" s="71">
        <v>21.0</v>
      </c>
      <c r="CS86" s="69"/>
      <c r="CT86" s="69">
        <v>0.0</v>
      </c>
      <c r="CU86" s="69">
        <v>0.0</v>
      </c>
      <c r="CV86" s="71">
        <v>23.0</v>
      </c>
      <c r="CW86" s="69">
        <v>80.0</v>
      </c>
      <c r="CX86" s="69">
        <v>68.0</v>
      </c>
      <c r="CY86" s="69">
        <v>12.0</v>
      </c>
      <c r="CZ86" s="69"/>
      <c r="DA86" s="69">
        <v>0.0</v>
      </c>
      <c r="DB86" s="69">
        <v>0.0</v>
      </c>
      <c r="DC86" s="69"/>
      <c r="DD86" s="69"/>
      <c r="DE86" s="69">
        <v>7.0</v>
      </c>
      <c r="DF86" s="69">
        <v>5.0</v>
      </c>
      <c r="DG86" s="69"/>
      <c r="DH86" s="69">
        <v>0.0</v>
      </c>
      <c r="DI86" s="69">
        <v>0.0</v>
      </c>
      <c r="DJ86" s="70"/>
      <c r="DK86" s="82">
        <v>930.0</v>
      </c>
      <c r="DL86" s="69">
        <v>80.0</v>
      </c>
      <c r="DM86" s="77">
        <f t="shared" si="10"/>
        <v>11.625</v>
      </c>
      <c r="DN86" s="83">
        <f t="shared" si="11"/>
        <v>550.3496503</v>
      </c>
    </row>
    <row r="87" ht="15.75" customHeight="1">
      <c r="A87" s="104">
        <v>81.0</v>
      </c>
      <c r="B87" s="104"/>
      <c r="C87" s="104" t="s">
        <v>505</v>
      </c>
      <c r="D87" s="105" t="s">
        <v>15</v>
      </c>
      <c r="E87" s="106"/>
      <c r="F87" s="106"/>
      <c r="G87" s="106"/>
      <c r="H87" s="106"/>
      <c r="I87" s="106"/>
      <c r="J87" s="107"/>
      <c r="K87" s="106"/>
      <c r="L87" s="106"/>
      <c r="M87" s="106"/>
      <c r="N87" s="106"/>
      <c r="O87" s="107"/>
      <c r="P87" s="106"/>
      <c r="Q87" s="106"/>
      <c r="R87" s="106"/>
      <c r="S87" s="108"/>
      <c r="T87" s="106">
        <f t="shared" si="1"/>
        <v>0</v>
      </c>
      <c r="U87" s="106"/>
      <c r="V87" s="109" t="str">
        <f t="shared" si="2"/>
        <v>#DIV/0!</v>
      </c>
      <c r="W87" s="104"/>
      <c r="X87" s="104"/>
      <c r="Y87" s="104"/>
      <c r="Z87" s="104"/>
      <c r="AA87" s="104"/>
      <c r="AB87" s="104"/>
      <c r="AC87" s="104"/>
      <c r="AD87" s="104"/>
      <c r="AE87" s="104"/>
      <c r="AF87" s="104"/>
      <c r="AG87" s="104"/>
      <c r="AH87" s="104"/>
      <c r="AI87" s="104"/>
      <c r="AJ87" s="104"/>
      <c r="AK87" s="104">
        <f t="shared" si="3"/>
        <v>0</v>
      </c>
      <c r="AL87" s="110"/>
      <c r="AM87" s="77" t="str">
        <f t="shared" si="4"/>
        <v>#DIV/0!</v>
      </c>
      <c r="AN87" s="111"/>
      <c r="AO87" s="106"/>
      <c r="AP87" s="106"/>
      <c r="AQ87" s="106"/>
      <c r="AR87" s="106"/>
      <c r="AS87" s="106"/>
      <c r="AT87" s="106"/>
      <c r="AU87" s="106"/>
      <c r="AV87" s="106"/>
      <c r="AW87" s="106"/>
      <c r="AX87" s="106"/>
      <c r="AY87" s="106"/>
      <c r="AZ87" s="106"/>
      <c r="BA87" s="106"/>
      <c r="BB87" s="106"/>
      <c r="BC87" s="106"/>
      <c r="BD87" s="106"/>
      <c r="BE87" s="106"/>
      <c r="BF87" s="106"/>
      <c r="BG87" s="106"/>
      <c r="BH87" s="106"/>
      <c r="BI87" s="112"/>
      <c r="BJ87" s="106"/>
      <c r="BK87" s="113"/>
      <c r="BL87" s="114"/>
      <c r="BM87" s="106"/>
      <c r="BN87" s="106"/>
      <c r="BO87" s="106"/>
      <c r="BP87" s="106"/>
      <c r="BQ87" s="106"/>
      <c r="BR87" s="106"/>
      <c r="BS87" s="106"/>
      <c r="BT87" s="106"/>
      <c r="BU87" s="106"/>
      <c r="BV87" s="106"/>
      <c r="BW87" s="106"/>
      <c r="BX87" s="106"/>
      <c r="BY87" s="106"/>
      <c r="BZ87" s="106"/>
      <c r="CA87" s="106"/>
      <c r="CB87" s="106"/>
      <c r="CC87" s="106"/>
      <c r="CD87" s="106"/>
      <c r="CE87" s="106"/>
      <c r="CF87" s="106">
        <v>0.0</v>
      </c>
      <c r="CG87" s="106"/>
      <c r="CH87" s="106"/>
      <c r="CI87" s="108"/>
      <c r="CJ87" s="106"/>
      <c r="CK87" s="106"/>
      <c r="CL87" s="79" t="str">
        <f t="shared" si="8"/>
        <v>#DIV/0!</v>
      </c>
      <c r="CM87" s="115" t="str">
        <f t="shared" si="9"/>
        <v>#DIV/0!</v>
      </c>
      <c r="CN87" s="106">
        <v>0.0</v>
      </c>
      <c r="CO87" s="106"/>
      <c r="CP87" s="106">
        <v>0.0</v>
      </c>
      <c r="CQ87" s="106"/>
      <c r="CR87" s="106"/>
      <c r="CS87" s="106"/>
      <c r="CT87" s="106">
        <v>0.0</v>
      </c>
      <c r="CU87" s="106">
        <v>0.0</v>
      </c>
      <c r="CV87" s="116">
        <v>80.0</v>
      </c>
      <c r="CW87" s="106">
        <v>80.0</v>
      </c>
      <c r="CX87" s="106">
        <v>68.0</v>
      </c>
      <c r="CY87" s="106">
        <v>12.0</v>
      </c>
      <c r="CZ87" s="106"/>
      <c r="DA87" s="106">
        <v>0.0</v>
      </c>
      <c r="DB87" s="106">
        <v>0.0</v>
      </c>
      <c r="DC87" s="106"/>
      <c r="DD87" s="106"/>
      <c r="DE87" s="106">
        <v>7.0</v>
      </c>
      <c r="DF87" s="106">
        <v>5.0</v>
      </c>
      <c r="DG87" s="106"/>
      <c r="DH87" s="106">
        <v>0.0</v>
      </c>
      <c r="DI87" s="106">
        <v>0.0</v>
      </c>
      <c r="DJ87" s="108"/>
      <c r="DK87" s="117">
        <v>188.0</v>
      </c>
      <c r="DL87" s="106">
        <v>80.0</v>
      </c>
      <c r="DM87" s="77">
        <f t="shared" si="10"/>
        <v>2.35</v>
      </c>
      <c r="DN87" s="118" t="str">
        <f t="shared" si="11"/>
        <v>#DIV/0!</v>
      </c>
    </row>
    <row r="88" ht="15.75" customHeight="1">
      <c r="A88" s="119" t="s">
        <v>506</v>
      </c>
      <c r="B88" s="120"/>
      <c r="C88" s="120"/>
      <c r="D88" s="120"/>
      <c r="E88" s="120"/>
      <c r="F88" s="120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1">
        <f t="shared" si="1"/>
        <v>0</v>
      </c>
      <c r="U88" s="112"/>
      <c r="V88" s="122"/>
      <c r="W88" s="120"/>
      <c r="X88" s="120"/>
      <c r="Y88" s="120"/>
      <c r="Z88" s="120"/>
      <c r="AA88" s="120"/>
      <c r="AB88" s="120"/>
      <c r="AC88" s="120"/>
      <c r="AD88" s="120"/>
      <c r="AE88" s="120"/>
      <c r="AF88" s="120"/>
      <c r="AG88" s="120"/>
      <c r="AH88" s="120"/>
      <c r="AI88" s="120"/>
      <c r="AJ88" s="120"/>
      <c r="AK88" s="120">
        <f t="shared" si="3"/>
        <v>0</v>
      </c>
      <c r="AL88" s="123"/>
      <c r="AM88" s="77" t="str">
        <f t="shared" si="4"/>
        <v>#DIV/0!</v>
      </c>
      <c r="AN88" s="124"/>
      <c r="AO88" s="120"/>
      <c r="AP88" s="120"/>
      <c r="AQ88" s="120"/>
      <c r="AR88" s="120"/>
      <c r="AS88" s="120"/>
      <c r="AT88" s="120"/>
      <c r="AU88" s="120"/>
      <c r="AV88" s="120"/>
      <c r="AW88" s="120"/>
      <c r="AX88" s="120"/>
      <c r="AY88" s="120"/>
      <c r="AZ88" s="120"/>
      <c r="BA88" s="120"/>
      <c r="BB88" s="120"/>
      <c r="BC88" s="120"/>
      <c r="BD88" s="120"/>
      <c r="BE88" s="120"/>
      <c r="BF88" s="120"/>
      <c r="BG88" s="120"/>
      <c r="BH88" s="120"/>
      <c r="BI88" s="125"/>
      <c r="BJ88" s="120"/>
      <c r="BK88" s="126"/>
      <c r="BL88" s="127"/>
      <c r="BM88" s="120"/>
      <c r="BN88" s="120"/>
      <c r="BO88" s="120"/>
      <c r="BP88" s="120"/>
      <c r="BQ88" s="120"/>
      <c r="BR88" s="120"/>
      <c r="BS88" s="120"/>
      <c r="BT88" s="120"/>
      <c r="BU88" s="120"/>
      <c r="BV88" s="120"/>
      <c r="BW88" s="120"/>
      <c r="BX88" s="120"/>
      <c r="BY88" s="120"/>
      <c r="BZ88" s="120"/>
      <c r="CA88" s="120"/>
      <c r="CB88" s="120"/>
      <c r="CC88" s="120"/>
      <c r="CD88" s="120"/>
      <c r="CE88" s="120"/>
      <c r="CF88" s="120"/>
      <c r="CG88" s="120"/>
      <c r="CH88" s="120"/>
      <c r="CI88" s="125"/>
      <c r="CJ88" s="123"/>
      <c r="CK88" s="128"/>
      <c r="CL88" s="79" t="str">
        <f t="shared" si="8"/>
        <v>#DIV/0!</v>
      </c>
      <c r="CM88" s="129" t="str">
        <f t="shared" si="9"/>
        <v>#DIV/0!</v>
      </c>
      <c r="CN88" s="112"/>
      <c r="CO88" s="112"/>
      <c r="CP88" s="112"/>
      <c r="CQ88" s="112"/>
      <c r="CR88" s="112"/>
      <c r="CS88" s="112"/>
      <c r="CT88" s="112"/>
      <c r="CU88" s="112"/>
      <c r="CV88" s="112"/>
      <c r="CW88" s="112"/>
      <c r="CX88" s="112"/>
      <c r="CY88" s="112"/>
      <c r="CZ88" s="112"/>
      <c r="DA88" s="112"/>
      <c r="DB88" s="112"/>
      <c r="DC88" s="112"/>
      <c r="DD88" s="112"/>
      <c r="DE88" s="112"/>
      <c r="DF88" s="112"/>
      <c r="DG88" s="112"/>
      <c r="DH88" s="112"/>
      <c r="DI88" s="112"/>
      <c r="DJ88" s="121"/>
      <c r="DK88" s="123"/>
      <c r="DL88" s="112"/>
      <c r="DM88" s="130"/>
      <c r="DN88" s="124"/>
    </row>
    <row r="89" ht="15.75" customHeight="1">
      <c r="BK89" s="12"/>
      <c r="BL89" s="12"/>
      <c r="CL89" s="12"/>
      <c r="CM89" s="12"/>
    </row>
    <row r="90" ht="15.75" customHeight="1">
      <c r="BK90" s="12"/>
      <c r="BL90" s="12"/>
      <c r="CL90" s="12"/>
      <c r="CM90" s="12"/>
    </row>
    <row r="91" ht="15.75" customHeight="1">
      <c r="BK91" s="12"/>
      <c r="BL91" s="12"/>
      <c r="CL91" s="12"/>
      <c r="CM91" s="12"/>
    </row>
    <row r="92" ht="15.75" customHeight="1">
      <c r="BK92" s="12"/>
      <c r="BL92" s="12"/>
      <c r="CL92" s="12"/>
      <c r="CM92" s="12"/>
    </row>
    <row r="93" ht="15.75" customHeight="1">
      <c r="BK93" s="12"/>
      <c r="BL93" s="12"/>
      <c r="CL93" s="12"/>
      <c r="CM93" s="12"/>
    </row>
    <row r="94" ht="15.75" customHeight="1">
      <c r="BK94" s="12"/>
      <c r="BL94" s="12"/>
      <c r="CL94" s="12"/>
      <c r="CM94" s="12"/>
    </row>
    <row r="95" ht="15.75" customHeight="1">
      <c r="BK95" s="12"/>
      <c r="BL95" s="12"/>
      <c r="CL95" s="12"/>
      <c r="CM95" s="12"/>
    </row>
    <row r="96" ht="15.75" customHeight="1">
      <c r="BK96" s="12"/>
      <c r="BL96" s="12"/>
      <c r="CL96" s="12"/>
      <c r="CM96" s="12"/>
    </row>
    <row r="97" ht="15.75" customHeight="1">
      <c r="BK97" s="12"/>
      <c r="BL97" s="12"/>
      <c r="CL97" s="12"/>
      <c r="CM97" s="12"/>
    </row>
    <row r="98" ht="15.75" customHeight="1">
      <c r="BK98" s="12"/>
      <c r="BL98" s="12"/>
      <c r="CL98" s="12"/>
      <c r="CM98" s="12"/>
    </row>
    <row r="99" ht="15.75" customHeight="1">
      <c r="BK99" s="12"/>
      <c r="BL99" s="12"/>
      <c r="CL99" s="12"/>
      <c r="CM99" s="12"/>
    </row>
    <row r="100" ht="15.75" customHeight="1">
      <c r="BK100" s="12"/>
      <c r="BL100" s="12"/>
      <c r="CL100" s="12"/>
      <c r="CM100" s="12"/>
    </row>
    <row r="101" ht="15.75" customHeight="1">
      <c r="BK101" s="12"/>
      <c r="BL101" s="12"/>
      <c r="CL101" s="12"/>
      <c r="CM101" s="12"/>
    </row>
    <row r="102" ht="15.75" customHeight="1">
      <c r="BK102" s="12"/>
      <c r="BL102" s="12"/>
      <c r="CL102" s="12"/>
      <c r="CM102" s="12"/>
    </row>
    <row r="103" ht="15.75" customHeight="1">
      <c r="BK103" s="12"/>
      <c r="BL103" s="12"/>
      <c r="CL103" s="12"/>
      <c r="CM103" s="12"/>
    </row>
    <row r="104" ht="15.75" customHeight="1">
      <c r="BK104" s="12"/>
      <c r="BL104" s="12"/>
      <c r="CL104" s="12"/>
      <c r="CM104" s="12"/>
    </row>
    <row r="105" ht="15.75" customHeight="1">
      <c r="BK105" s="12"/>
      <c r="BL105" s="12"/>
      <c r="CL105" s="12"/>
      <c r="CM105" s="12"/>
    </row>
    <row r="106" ht="15.75" customHeight="1">
      <c r="BK106" s="12"/>
      <c r="BL106" s="12"/>
      <c r="CL106" s="12"/>
      <c r="CM106" s="12"/>
    </row>
    <row r="107" ht="15.75" customHeight="1">
      <c r="BK107" s="12"/>
      <c r="BL107" s="12"/>
      <c r="CL107" s="12"/>
      <c r="CM107" s="12"/>
    </row>
    <row r="108" ht="15.75" customHeight="1">
      <c r="BK108" s="12"/>
      <c r="BL108" s="12"/>
      <c r="CL108" s="12"/>
      <c r="CM108" s="12"/>
    </row>
    <row r="109" ht="15.75" customHeight="1">
      <c r="BK109" s="12"/>
      <c r="BL109" s="12"/>
      <c r="CL109" s="12"/>
      <c r="CM109" s="12"/>
    </row>
    <row r="110" ht="15.75" customHeight="1">
      <c r="BK110" s="12"/>
      <c r="BL110" s="12"/>
      <c r="CL110" s="12"/>
      <c r="CM110" s="12"/>
    </row>
    <row r="111" ht="15.75" customHeight="1">
      <c r="BK111" s="12"/>
      <c r="BL111" s="12"/>
      <c r="CL111" s="12"/>
      <c r="CM111" s="12"/>
    </row>
    <row r="112" ht="15.75" customHeight="1">
      <c r="BK112" s="12"/>
      <c r="BL112" s="12"/>
      <c r="CL112" s="12"/>
      <c r="CM112" s="12"/>
    </row>
    <row r="113" ht="15.75" customHeight="1">
      <c r="BK113" s="12"/>
      <c r="BL113" s="12"/>
      <c r="CL113" s="12"/>
      <c r="CM113" s="12"/>
    </row>
    <row r="114" ht="15.75" customHeight="1">
      <c r="BK114" s="12"/>
      <c r="BL114" s="12"/>
      <c r="CL114" s="12"/>
      <c r="CM114" s="12"/>
    </row>
    <row r="115" ht="15.75" customHeight="1">
      <c r="BK115" s="12"/>
      <c r="BL115" s="12"/>
      <c r="CL115" s="12"/>
      <c r="CM115" s="12"/>
    </row>
    <row r="116" ht="15.75" customHeight="1">
      <c r="BK116" s="12"/>
      <c r="BL116" s="12"/>
      <c r="CL116" s="12"/>
      <c r="CM116" s="12"/>
    </row>
    <row r="117" ht="15.75" customHeight="1">
      <c r="BK117" s="12"/>
      <c r="BL117" s="12"/>
      <c r="CL117" s="12"/>
      <c r="CM117" s="12"/>
    </row>
    <row r="118" ht="15.75" customHeight="1">
      <c r="BK118" s="12"/>
      <c r="BL118" s="12"/>
      <c r="CL118" s="12"/>
      <c r="CM118" s="12"/>
    </row>
    <row r="119" ht="15.75" customHeight="1">
      <c r="BK119" s="12"/>
      <c r="BL119" s="12"/>
      <c r="CL119" s="12"/>
      <c r="CM119" s="12"/>
    </row>
    <row r="120" ht="15.75" customHeight="1">
      <c r="BK120" s="12"/>
      <c r="BL120" s="12"/>
      <c r="CL120" s="12"/>
      <c r="CM120" s="12"/>
    </row>
    <row r="121" ht="15.75" customHeight="1">
      <c r="BK121" s="12"/>
      <c r="BL121" s="12"/>
      <c r="CL121" s="12"/>
      <c r="CM121" s="12"/>
    </row>
    <row r="122" ht="15.75" customHeight="1">
      <c r="BK122" s="12"/>
      <c r="BL122" s="12"/>
      <c r="CL122" s="12"/>
      <c r="CM122" s="12"/>
    </row>
    <row r="123" ht="15.75" customHeight="1">
      <c r="BK123" s="12"/>
      <c r="BL123" s="12"/>
      <c r="CL123" s="12"/>
      <c r="CM123" s="12"/>
    </row>
    <row r="124" ht="15.75" customHeight="1">
      <c r="BK124" s="12"/>
      <c r="BL124" s="12"/>
      <c r="CL124" s="12"/>
      <c r="CM124" s="12"/>
    </row>
    <row r="125" ht="15.75" customHeight="1">
      <c r="BK125" s="12"/>
      <c r="BL125" s="12"/>
      <c r="CL125" s="12"/>
      <c r="CM125" s="12"/>
    </row>
    <row r="126" ht="15.75" customHeight="1">
      <c r="BK126" s="12"/>
      <c r="BL126" s="12"/>
      <c r="CL126" s="12"/>
      <c r="CM126" s="12"/>
    </row>
    <row r="127" ht="15.75" customHeight="1">
      <c r="BK127" s="12"/>
      <c r="BL127" s="12"/>
      <c r="CL127" s="12"/>
      <c r="CM127" s="12"/>
    </row>
    <row r="128" ht="15.75" customHeight="1">
      <c r="BK128" s="12"/>
      <c r="BL128" s="12"/>
      <c r="CL128" s="12"/>
      <c r="CM128" s="12"/>
    </row>
    <row r="129" ht="15.75" customHeight="1">
      <c r="BK129" s="12"/>
      <c r="BL129" s="12"/>
      <c r="CL129" s="12"/>
      <c r="CM129" s="12"/>
    </row>
    <row r="130" ht="15.75" customHeight="1">
      <c r="BK130" s="12"/>
      <c r="BL130" s="12"/>
      <c r="CL130" s="12"/>
      <c r="CM130" s="12"/>
    </row>
    <row r="131" ht="15.75" customHeight="1">
      <c r="BK131" s="12"/>
      <c r="BL131" s="12"/>
      <c r="CL131" s="12"/>
      <c r="CM131" s="12"/>
    </row>
    <row r="132" ht="15.75" customHeight="1">
      <c r="BK132" s="12"/>
      <c r="BL132" s="12"/>
      <c r="CL132" s="12"/>
      <c r="CM132" s="12"/>
    </row>
    <row r="133" ht="15.75" customHeight="1">
      <c r="BK133" s="12"/>
      <c r="BL133" s="12"/>
      <c r="CL133" s="12"/>
      <c r="CM133" s="12"/>
    </row>
    <row r="134" ht="15.75" customHeight="1">
      <c r="BK134" s="12"/>
      <c r="BL134" s="12"/>
      <c r="CL134" s="12"/>
      <c r="CM134" s="12"/>
    </row>
    <row r="135" ht="15.75" customHeight="1">
      <c r="BK135" s="12"/>
      <c r="BL135" s="12"/>
      <c r="CL135" s="12"/>
      <c r="CM135" s="12"/>
    </row>
    <row r="136" ht="15.75" customHeight="1">
      <c r="BK136" s="12"/>
      <c r="BL136" s="12"/>
      <c r="CL136" s="12"/>
      <c r="CM136" s="12"/>
    </row>
    <row r="137" ht="15.75" customHeight="1">
      <c r="BK137" s="12"/>
      <c r="BL137" s="12"/>
      <c r="CL137" s="12"/>
      <c r="CM137" s="12"/>
    </row>
    <row r="138" ht="15.75" customHeight="1">
      <c r="BK138" s="12"/>
      <c r="BL138" s="12"/>
      <c r="CL138" s="12"/>
      <c r="CM138" s="12"/>
    </row>
    <row r="139" ht="15.75" customHeight="1">
      <c r="BK139" s="12"/>
      <c r="BL139" s="12"/>
      <c r="CL139" s="12"/>
      <c r="CM139" s="12"/>
    </row>
    <row r="140" ht="15.75" customHeight="1">
      <c r="BK140" s="12"/>
      <c r="BL140" s="12"/>
      <c r="CL140" s="12"/>
      <c r="CM140" s="12"/>
    </row>
    <row r="141" ht="15.75" customHeight="1">
      <c r="BK141" s="12"/>
      <c r="BL141" s="12"/>
      <c r="CL141" s="12"/>
      <c r="CM141" s="12"/>
    </row>
    <row r="142" ht="15.75" customHeight="1">
      <c r="BK142" s="12"/>
      <c r="BL142" s="12"/>
      <c r="CL142" s="12"/>
      <c r="CM142" s="12"/>
    </row>
    <row r="143" ht="15.75" customHeight="1">
      <c r="BK143" s="12"/>
      <c r="BL143" s="12"/>
      <c r="CL143" s="12"/>
      <c r="CM143" s="12"/>
    </row>
    <row r="144" ht="15.75" customHeight="1">
      <c r="BK144" s="12"/>
      <c r="BL144" s="12"/>
      <c r="CL144" s="12"/>
      <c r="CM144" s="12"/>
    </row>
    <row r="145" ht="15.75" customHeight="1">
      <c r="BK145" s="12"/>
      <c r="BL145" s="12"/>
      <c r="CL145" s="12"/>
      <c r="CM145" s="12"/>
    </row>
    <row r="146" ht="15.75" customHeight="1">
      <c r="BK146" s="12"/>
      <c r="BL146" s="12"/>
      <c r="CL146" s="12"/>
      <c r="CM146" s="12"/>
    </row>
    <row r="147" ht="15.75" customHeight="1">
      <c r="BK147" s="12"/>
      <c r="BL147" s="12"/>
      <c r="CL147" s="12"/>
      <c r="CM147" s="12"/>
    </row>
    <row r="148" ht="15.75" customHeight="1">
      <c r="BK148" s="12"/>
      <c r="BL148" s="12"/>
      <c r="CL148" s="12"/>
      <c r="CM148" s="12"/>
    </row>
    <row r="149" ht="15.75" customHeight="1">
      <c r="BK149" s="12"/>
      <c r="BL149" s="12"/>
      <c r="CL149" s="12"/>
      <c r="CM149" s="12"/>
    </row>
    <row r="150" ht="15.75" customHeight="1">
      <c r="BK150" s="12"/>
      <c r="BL150" s="12"/>
      <c r="CL150" s="12"/>
      <c r="CM150" s="12"/>
    </row>
    <row r="151" ht="15.75" customHeight="1">
      <c r="BK151" s="12"/>
      <c r="BL151" s="12"/>
      <c r="CL151" s="12"/>
      <c r="CM151" s="12"/>
    </row>
    <row r="152" ht="15.75" customHeight="1">
      <c r="BK152" s="12"/>
      <c r="BL152" s="12"/>
      <c r="CL152" s="12"/>
      <c r="CM152" s="12"/>
    </row>
    <row r="153" ht="15.75" customHeight="1">
      <c r="BK153" s="12"/>
      <c r="BL153" s="12"/>
      <c r="CL153" s="12"/>
      <c r="CM153" s="12"/>
    </row>
    <row r="154" ht="15.75" customHeight="1">
      <c r="BK154" s="12"/>
      <c r="BL154" s="12"/>
      <c r="CL154" s="12"/>
      <c r="CM154" s="12"/>
    </row>
    <row r="155" ht="15.75" customHeight="1">
      <c r="BK155" s="12"/>
      <c r="BL155" s="12"/>
      <c r="CL155" s="12"/>
      <c r="CM155" s="12"/>
    </row>
    <row r="156" ht="15.75" customHeight="1">
      <c r="BK156" s="12"/>
      <c r="BL156" s="12"/>
      <c r="CL156" s="12"/>
      <c r="CM156" s="12"/>
    </row>
    <row r="157" ht="15.75" customHeight="1">
      <c r="BK157" s="12"/>
      <c r="BL157" s="12"/>
      <c r="CL157" s="12"/>
      <c r="CM157" s="12"/>
    </row>
    <row r="158" ht="15.75" customHeight="1">
      <c r="BK158" s="12"/>
      <c r="BL158" s="12"/>
      <c r="CL158" s="12"/>
      <c r="CM158" s="12"/>
    </row>
    <row r="159" ht="15.75" customHeight="1">
      <c r="BK159" s="12"/>
      <c r="BL159" s="12"/>
      <c r="CL159" s="12"/>
      <c r="CM159" s="12"/>
    </row>
    <row r="160" ht="15.75" customHeight="1">
      <c r="BK160" s="12"/>
      <c r="BL160" s="12"/>
      <c r="CL160" s="12"/>
      <c r="CM160" s="12"/>
    </row>
    <row r="161" ht="15.75" customHeight="1">
      <c r="BK161" s="12"/>
      <c r="BL161" s="12"/>
      <c r="CL161" s="12"/>
      <c r="CM161" s="12"/>
    </row>
    <row r="162" ht="15.75" customHeight="1">
      <c r="BK162" s="12"/>
      <c r="BL162" s="12"/>
      <c r="CL162" s="12"/>
      <c r="CM162" s="12"/>
    </row>
    <row r="163" ht="15.75" customHeight="1">
      <c r="BK163" s="12"/>
      <c r="BL163" s="12"/>
      <c r="CL163" s="12"/>
      <c r="CM163" s="12"/>
    </row>
    <row r="164" ht="15.75" customHeight="1">
      <c r="BK164" s="12"/>
      <c r="BL164" s="12"/>
      <c r="CL164" s="12"/>
      <c r="CM164" s="12"/>
    </row>
    <row r="165" ht="15.75" customHeight="1">
      <c r="BK165" s="12"/>
      <c r="BL165" s="12"/>
      <c r="CL165" s="12"/>
      <c r="CM165" s="12"/>
    </row>
    <row r="166" ht="15.75" customHeight="1">
      <c r="BK166" s="12"/>
      <c r="BL166" s="12"/>
      <c r="CL166" s="12"/>
      <c r="CM166" s="12"/>
    </row>
    <row r="167" ht="15.75" customHeight="1">
      <c r="BK167" s="12"/>
      <c r="BL167" s="12"/>
      <c r="CL167" s="12"/>
      <c r="CM167" s="12"/>
    </row>
    <row r="168" ht="15.75" customHeight="1">
      <c r="BK168" s="12"/>
      <c r="BL168" s="12"/>
      <c r="CL168" s="12"/>
      <c r="CM168" s="12"/>
    </row>
    <row r="169" ht="15.75" customHeight="1">
      <c r="BK169" s="12"/>
      <c r="BL169" s="12"/>
      <c r="CL169" s="12"/>
      <c r="CM169" s="12"/>
    </row>
    <row r="170" ht="15.75" customHeight="1">
      <c r="BK170" s="12"/>
      <c r="BL170" s="12"/>
      <c r="CL170" s="12"/>
      <c r="CM170" s="12"/>
    </row>
    <row r="171" ht="15.75" customHeight="1">
      <c r="BK171" s="12"/>
      <c r="BL171" s="12"/>
      <c r="CL171" s="12"/>
      <c r="CM171" s="12"/>
    </row>
    <row r="172" ht="15.75" customHeight="1">
      <c r="BK172" s="12"/>
      <c r="BL172" s="12"/>
      <c r="CL172" s="12"/>
      <c r="CM172" s="12"/>
    </row>
    <row r="173" ht="15.75" customHeight="1">
      <c r="BK173" s="12"/>
      <c r="BL173" s="12"/>
      <c r="CL173" s="12"/>
      <c r="CM173" s="12"/>
    </row>
    <row r="174" ht="15.75" customHeight="1">
      <c r="BK174" s="12"/>
      <c r="BL174" s="12"/>
      <c r="CL174" s="12"/>
      <c r="CM174" s="12"/>
    </row>
    <row r="175" ht="15.75" customHeight="1">
      <c r="BK175" s="12"/>
      <c r="BL175" s="12"/>
      <c r="CL175" s="12"/>
      <c r="CM175" s="12"/>
    </row>
    <row r="176" ht="15.75" customHeight="1">
      <c r="BK176" s="12"/>
      <c r="BL176" s="12"/>
      <c r="CL176" s="12"/>
      <c r="CM176" s="12"/>
    </row>
    <row r="177" ht="15.75" customHeight="1">
      <c r="BK177" s="12"/>
      <c r="BL177" s="12"/>
      <c r="CL177" s="12"/>
      <c r="CM177" s="12"/>
    </row>
    <row r="178" ht="15.75" customHeight="1">
      <c r="BK178" s="12"/>
      <c r="BL178" s="12"/>
      <c r="CL178" s="12"/>
      <c r="CM178" s="12"/>
    </row>
    <row r="179" ht="15.75" customHeight="1">
      <c r="BK179" s="12"/>
      <c r="BL179" s="12"/>
      <c r="CL179" s="12"/>
      <c r="CM179" s="12"/>
    </row>
    <row r="180" ht="15.75" customHeight="1">
      <c r="BK180" s="12"/>
      <c r="BL180" s="12"/>
      <c r="CL180" s="12"/>
      <c r="CM180" s="12"/>
    </row>
    <row r="181" ht="15.75" customHeight="1">
      <c r="BK181" s="12"/>
      <c r="BL181" s="12"/>
      <c r="CL181" s="12"/>
      <c r="CM181" s="12"/>
    </row>
    <row r="182" ht="15.75" customHeight="1">
      <c r="BK182" s="12"/>
      <c r="BL182" s="12"/>
      <c r="CL182" s="12"/>
      <c r="CM182" s="12"/>
    </row>
    <row r="183" ht="15.75" customHeight="1">
      <c r="BK183" s="12"/>
      <c r="BL183" s="12"/>
      <c r="CL183" s="12"/>
      <c r="CM183" s="12"/>
    </row>
    <row r="184" ht="15.75" customHeight="1">
      <c r="BK184" s="12"/>
      <c r="BL184" s="12"/>
      <c r="CL184" s="12"/>
      <c r="CM184" s="12"/>
    </row>
    <row r="185" ht="15.75" customHeight="1">
      <c r="BK185" s="12"/>
      <c r="BL185" s="12"/>
      <c r="CL185" s="12"/>
      <c r="CM185" s="12"/>
    </row>
    <row r="186" ht="15.75" customHeight="1">
      <c r="BK186" s="12"/>
      <c r="BL186" s="12"/>
      <c r="CL186" s="12"/>
      <c r="CM186" s="12"/>
    </row>
    <row r="187" ht="15.75" customHeight="1">
      <c r="BK187" s="12"/>
      <c r="BL187" s="12"/>
      <c r="CL187" s="12"/>
      <c r="CM187" s="12"/>
    </row>
    <row r="188" ht="15.75" customHeight="1">
      <c r="BK188" s="12"/>
      <c r="BL188" s="12"/>
      <c r="CL188" s="12"/>
      <c r="CM188" s="12"/>
    </row>
    <row r="189" ht="15.75" customHeight="1">
      <c r="BK189" s="12"/>
      <c r="BL189" s="12"/>
      <c r="CL189" s="12"/>
      <c r="CM189" s="12"/>
    </row>
    <row r="190" ht="15.75" customHeight="1">
      <c r="BK190" s="12"/>
      <c r="BL190" s="12"/>
      <c r="CL190" s="12"/>
      <c r="CM190" s="12"/>
    </row>
    <row r="191" ht="15.75" customHeight="1">
      <c r="BK191" s="12"/>
      <c r="BL191" s="12"/>
      <c r="CL191" s="12"/>
      <c r="CM191" s="12"/>
    </row>
    <row r="192" ht="15.75" customHeight="1">
      <c r="BK192" s="12"/>
      <c r="BL192" s="12"/>
      <c r="CL192" s="12"/>
      <c r="CM192" s="12"/>
    </row>
    <row r="193" ht="15.75" customHeight="1">
      <c r="BK193" s="12"/>
      <c r="BL193" s="12"/>
      <c r="CL193" s="12"/>
      <c r="CM193" s="12"/>
    </row>
    <row r="194" ht="15.75" customHeight="1">
      <c r="BK194" s="12"/>
      <c r="BL194" s="12"/>
      <c r="CL194" s="12"/>
      <c r="CM194" s="12"/>
    </row>
    <row r="195" ht="15.75" customHeight="1">
      <c r="BK195" s="12"/>
      <c r="BL195" s="12"/>
      <c r="CL195" s="12"/>
      <c r="CM195" s="12"/>
    </row>
    <row r="196" ht="15.75" customHeight="1">
      <c r="BK196" s="12"/>
      <c r="BL196" s="12"/>
      <c r="CL196" s="12"/>
      <c r="CM196" s="12"/>
    </row>
    <row r="197" ht="15.75" customHeight="1">
      <c r="BK197" s="12"/>
      <c r="BL197" s="12"/>
      <c r="CL197" s="12"/>
      <c r="CM197" s="12"/>
    </row>
    <row r="198" ht="15.75" customHeight="1">
      <c r="BK198" s="12"/>
      <c r="BL198" s="12"/>
      <c r="CL198" s="12"/>
      <c r="CM198" s="12"/>
    </row>
    <row r="199" ht="15.75" customHeight="1">
      <c r="BK199" s="12"/>
      <c r="BL199" s="12"/>
      <c r="CL199" s="12"/>
      <c r="CM199" s="12"/>
    </row>
    <row r="200" ht="15.75" customHeight="1">
      <c r="BK200" s="12"/>
      <c r="BL200" s="12"/>
      <c r="CL200" s="12"/>
      <c r="CM200" s="12"/>
    </row>
    <row r="201" ht="15.75" customHeight="1">
      <c r="BK201" s="12"/>
      <c r="BL201" s="12"/>
      <c r="CL201" s="12"/>
      <c r="CM201" s="12"/>
    </row>
    <row r="202" ht="15.75" customHeight="1">
      <c r="BK202" s="12"/>
      <c r="BL202" s="12"/>
      <c r="CL202" s="12"/>
      <c r="CM202" s="12"/>
    </row>
    <row r="203" ht="15.75" customHeight="1">
      <c r="BK203" s="12"/>
      <c r="BL203" s="12"/>
      <c r="CL203" s="12"/>
      <c r="CM203" s="12"/>
    </row>
    <row r="204" ht="15.75" customHeight="1">
      <c r="BK204" s="12"/>
      <c r="BL204" s="12"/>
      <c r="CL204" s="12"/>
      <c r="CM204" s="12"/>
    </row>
    <row r="205" ht="15.75" customHeight="1">
      <c r="BK205" s="12"/>
      <c r="BL205" s="12"/>
      <c r="CL205" s="12"/>
      <c r="CM205" s="12"/>
    </row>
    <row r="206" ht="15.75" customHeight="1">
      <c r="BK206" s="12"/>
      <c r="BL206" s="12"/>
      <c r="CL206" s="12"/>
      <c r="CM206" s="12"/>
    </row>
    <row r="207" ht="15.75" customHeight="1">
      <c r="BK207" s="12"/>
      <c r="BL207" s="12"/>
      <c r="CL207" s="12"/>
      <c r="CM207" s="12"/>
    </row>
    <row r="208" ht="15.75" customHeight="1">
      <c r="BK208" s="12"/>
      <c r="BL208" s="12"/>
      <c r="CL208" s="12"/>
      <c r="CM208" s="12"/>
    </row>
    <row r="209" ht="15.75" customHeight="1">
      <c r="BK209" s="12"/>
      <c r="BL209" s="12"/>
      <c r="CL209" s="12"/>
      <c r="CM209" s="12"/>
    </row>
    <row r="210" ht="15.75" customHeight="1">
      <c r="BK210" s="12"/>
      <c r="BL210" s="12"/>
      <c r="CL210" s="12"/>
      <c r="CM210" s="12"/>
    </row>
    <row r="211" ht="15.75" customHeight="1">
      <c r="BK211" s="12"/>
      <c r="BL211" s="12"/>
      <c r="CL211" s="12"/>
      <c r="CM211" s="12"/>
    </row>
    <row r="212" ht="15.75" customHeight="1">
      <c r="BK212" s="12"/>
      <c r="BL212" s="12"/>
      <c r="CL212" s="12"/>
      <c r="CM212" s="12"/>
    </row>
    <row r="213" ht="15.75" customHeight="1">
      <c r="BK213" s="12"/>
      <c r="BL213" s="12"/>
      <c r="CL213" s="12"/>
      <c r="CM213" s="12"/>
    </row>
    <row r="214" ht="15.75" customHeight="1">
      <c r="BK214" s="12"/>
      <c r="BL214" s="12"/>
      <c r="CL214" s="12"/>
      <c r="CM214" s="12"/>
    </row>
    <row r="215" ht="15.75" customHeight="1">
      <c r="BK215" s="12"/>
      <c r="BL215" s="12"/>
      <c r="CL215" s="12"/>
      <c r="CM215" s="12"/>
    </row>
    <row r="216" ht="15.75" customHeight="1">
      <c r="BK216" s="12"/>
      <c r="BL216" s="12"/>
      <c r="CL216" s="12"/>
      <c r="CM216" s="12"/>
    </row>
    <row r="217" ht="15.75" customHeight="1">
      <c r="BK217" s="12"/>
      <c r="BL217" s="12"/>
      <c r="CL217" s="12"/>
      <c r="CM217" s="12"/>
    </row>
    <row r="218" ht="15.75" customHeight="1">
      <c r="BK218" s="12"/>
      <c r="BL218" s="12"/>
      <c r="CL218" s="12"/>
      <c r="CM218" s="12"/>
    </row>
    <row r="219" ht="15.75" customHeight="1">
      <c r="BK219" s="12"/>
      <c r="BL219" s="12"/>
      <c r="CL219" s="12"/>
      <c r="CM219" s="12"/>
    </row>
    <row r="220" ht="15.75" customHeight="1">
      <c r="BK220" s="12"/>
      <c r="BL220" s="12"/>
      <c r="CL220" s="12"/>
      <c r="CM220" s="12"/>
    </row>
    <row r="221" ht="15.75" customHeight="1">
      <c r="BK221" s="12"/>
      <c r="BL221" s="12"/>
      <c r="CL221" s="12"/>
      <c r="CM221" s="12"/>
    </row>
    <row r="222" ht="15.75" customHeight="1">
      <c r="BK222" s="12"/>
      <c r="BL222" s="12"/>
      <c r="CL222" s="12"/>
      <c r="CM222" s="12"/>
    </row>
    <row r="223" ht="15.75" customHeight="1">
      <c r="BK223" s="12"/>
      <c r="BL223" s="12"/>
      <c r="CL223" s="12"/>
      <c r="CM223" s="12"/>
    </row>
    <row r="224" ht="15.75" customHeight="1">
      <c r="BK224" s="12"/>
      <c r="BL224" s="12"/>
      <c r="CL224" s="12"/>
      <c r="CM224" s="12"/>
    </row>
    <row r="225" ht="15.75" customHeight="1">
      <c r="BK225" s="12"/>
      <c r="BL225" s="12"/>
      <c r="CL225" s="12"/>
      <c r="CM225" s="12"/>
    </row>
    <row r="226" ht="15.75" customHeight="1">
      <c r="BK226" s="12"/>
      <c r="BL226" s="12"/>
      <c r="CL226" s="12"/>
      <c r="CM226" s="12"/>
    </row>
    <row r="227" ht="15.75" customHeight="1">
      <c r="BK227" s="12"/>
      <c r="BL227" s="12"/>
      <c r="CL227" s="12"/>
      <c r="CM227" s="12"/>
    </row>
    <row r="228" ht="15.75" customHeight="1">
      <c r="BK228" s="12"/>
      <c r="BL228" s="12"/>
      <c r="CL228" s="12"/>
      <c r="CM228" s="12"/>
    </row>
    <row r="229" ht="15.75" customHeight="1">
      <c r="BK229" s="12"/>
      <c r="BL229" s="12"/>
      <c r="CL229" s="12"/>
      <c r="CM229" s="12"/>
    </row>
    <row r="230" ht="15.75" customHeight="1">
      <c r="BK230" s="12"/>
      <c r="BL230" s="12"/>
      <c r="CL230" s="12"/>
      <c r="CM230" s="12"/>
    </row>
    <row r="231" ht="15.75" customHeight="1">
      <c r="BK231" s="12"/>
      <c r="BL231" s="12"/>
      <c r="CL231" s="12"/>
      <c r="CM231" s="12"/>
    </row>
    <row r="232" ht="15.75" customHeight="1">
      <c r="BK232" s="12"/>
      <c r="BL232" s="12"/>
      <c r="CL232" s="12"/>
      <c r="CM232" s="12"/>
    </row>
    <row r="233" ht="15.75" customHeight="1">
      <c r="BK233" s="12"/>
      <c r="BL233" s="12"/>
      <c r="CL233" s="12"/>
      <c r="CM233" s="12"/>
    </row>
    <row r="234" ht="15.75" customHeight="1">
      <c r="BK234" s="12"/>
      <c r="BL234" s="12"/>
      <c r="CL234" s="12"/>
      <c r="CM234" s="12"/>
    </row>
    <row r="235" ht="15.75" customHeight="1">
      <c r="BK235" s="12"/>
      <c r="BL235" s="12"/>
      <c r="CL235" s="12"/>
      <c r="CM235" s="12"/>
    </row>
    <row r="236" ht="15.75" customHeight="1">
      <c r="BK236" s="12"/>
      <c r="BL236" s="12"/>
      <c r="CL236" s="12"/>
      <c r="CM236" s="12"/>
    </row>
    <row r="237" ht="15.75" customHeight="1">
      <c r="BK237" s="12"/>
      <c r="BL237" s="12"/>
      <c r="CL237" s="12"/>
      <c r="CM237" s="12"/>
    </row>
    <row r="238" ht="15.75" customHeight="1">
      <c r="BK238" s="12"/>
      <c r="BL238" s="12"/>
      <c r="CL238" s="12"/>
      <c r="CM238" s="12"/>
    </row>
    <row r="239" ht="15.75" customHeight="1">
      <c r="BK239" s="12"/>
      <c r="BL239" s="12"/>
      <c r="CL239" s="12"/>
      <c r="CM239" s="12"/>
    </row>
    <row r="240" ht="15.75" customHeight="1">
      <c r="BK240" s="12"/>
      <c r="BL240" s="12"/>
      <c r="CL240" s="12"/>
      <c r="CM240" s="12"/>
    </row>
    <row r="241" ht="15.75" customHeight="1">
      <c r="BK241" s="12"/>
      <c r="BL241" s="12"/>
      <c r="CL241" s="12"/>
      <c r="CM241" s="12"/>
    </row>
    <row r="242" ht="15.75" customHeight="1">
      <c r="BK242" s="12"/>
      <c r="BL242" s="12"/>
      <c r="CL242" s="12"/>
      <c r="CM242" s="12"/>
    </row>
    <row r="243" ht="15.75" customHeight="1">
      <c r="BK243" s="12"/>
      <c r="BL243" s="12"/>
      <c r="CL243" s="12"/>
      <c r="CM243" s="12"/>
    </row>
    <row r="244" ht="15.75" customHeight="1">
      <c r="BK244" s="12"/>
      <c r="BL244" s="12"/>
      <c r="CL244" s="12"/>
      <c r="CM244" s="12"/>
    </row>
    <row r="245" ht="15.75" customHeight="1">
      <c r="BK245" s="12"/>
      <c r="BL245" s="12"/>
      <c r="CL245" s="12"/>
      <c r="CM245" s="12"/>
    </row>
    <row r="246" ht="15.75" customHeight="1">
      <c r="BK246" s="12"/>
      <c r="BL246" s="12"/>
      <c r="CL246" s="12"/>
      <c r="CM246" s="12"/>
    </row>
    <row r="247" ht="15.75" customHeight="1">
      <c r="BK247" s="12"/>
      <c r="BL247" s="12"/>
      <c r="CL247" s="12"/>
      <c r="CM247" s="12"/>
    </row>
    <row r="248" ht="15.75" customHeight="1">
      <c r="BK248" s="12"/>
      <c r="BL248" s="12"/>
      <c r="CL248" s="12"/>
      <c r="CM248" s="12"/>
    </row>
    <row r="249" ht="15.75" customHeight="1">
      <c r="BK249" s="12"/>
      <c r="BL249" s="12"/>
      <c r="CL249" s="12"/>
      <c r="CM249" s="12"/>
    </row>
    <row r="250" ht="15.75" customHeight="1">
      <c r="BK250" s="12"/>
      <c r="BL250" s="12"/>
      <c r="CL250" s="12"/>
      <c r="CM250" s="12"/>
    </row>
    <row r="251" ht="15.75" customHeight="1">
      <c r="BK251" s="12"/>
      <c r="BL251" s="12"/>
      <c r="CL251" s="12"/>
      <c r="CM251" s="12"/>
    </row>
    <row r="252" ht="15.75" customHeight="1">
      <c r="BK252" s="12"/>
      <c r="BL252" s="12"/>
      <c r="CL252" s="12"/>
      <c r="CM252" s="12"/>
    </row>
    <row r="253" ht="15.75" customHeight="1">
      <c r="BK253" s="12"/>
      <c r="BL253" s="12"/>
      <c r="CL253" s="12"/>
      <c r="CM253" s="12"/>
    </row>
    <row r="254" ht="15.75" customHeight="1">
      <c r="BK254" s="12"/>
      <c r="BL254" s="12"/>
      <c r="CL254" s="12"/>
      <c r="CM254" s="12"/>
    </row>
    <row r="255" ht="15.75" customHeight="1">
      <c r="BK255" s="12"/>
      <c r="BL255" s="12"/>
      <c r="CL255" s="12"/>
      <c r="CM255" s="12"/>
    </row>
    <row r="256" ht="15.75" customHeight="1">
      <c r="BK256" s="12"/>
      <c r="BL256" s="12"/>
      <c r="CL256" s="12"/>
      <c r="CM256" s="12"/>
    </row>
    <row r="257" ht="15.75" customHeight="1">
      <c r="BK257" s="12"/>
      <c r="BL257" s="12"/>
      <c r="CL257" s="12"/>
      <c r="CM257" s="12"/>
    </row>
    <row r="258" ht="15.75" customHeight="1">
      <c r="BK258" s="12"/>
      <c r="BL258" s="12"/>
      <c r="CL258" s="12"/>
      <c r="CM258" s="12"/>
    </row>
    <row r="259" ht="15.75" customHeight="1">
      <c r="BK259" s="12"/>
      <c r="BL259" s="12"/>
      <c r="CL259" s="12"/>
      <c r="CM259" s="12"/>
    </row>
    <row r="260" ht="15.75" customHeight="1">
      <c r="BK260" s="12"/>
      <c r="BL260" s="12"/>
      <c r="CL260" s="12"/>
      <c r="CM260" s="12"/>
    </row>
    <row r="261" ht="15.75" customHeight="1">
      <c r="BK261" s="12"/>
      <c r="BL261" s="12"/>
      <c r="CL261" s="12"/>
      <c r="CM261" s="12"/>
    </row>
    <row r="262" ht="15.75" customHeight="1">
      <c r="BK262" s="12"/>
      <c r="BL262" s="12"/>
      <c r="CL262" s="12"/>
      <c r="CM262" s="12"/>
    </row>
    <row r="263" ht="15.75" customHeight="1">
      <c r="BK263" s="12"/>
      <c r="BL263" s="12"/>
      <c r="CL263" s="12"/>
      <c r="CM263" s="12"/>
    </row>
    <row r="264" ht="15.75" customHeight="1">
      <c r="BK264" s="12"/>
      <c r="BL264" s="12"/>
      <c r="CL264" s="12"/>
      <c r="CM264" s="12"/>
    </row>
    <row r="265" ht="15.75" customHeight="1">
      <c r="BK265" s="12"/>
      <c r="BL265" s="12"/>
      <c r="CL265" s="12"/>
      <c r="CM265" s="12"/>
    </row>
    <row r="266" ht="15.75" customHeight="1">
      <c r="BK266" s="12"/>
      <c r="BL266" s="12"/>
      <c r="CL266" s="12"/>
      <c r="CM266" s="12"/>
    </row>
    <row r="267" ht="15.75" customHeight="1">
      <c r="BK267" s="12"/>
      <c r="BL267" s="12"/>
      <c r="CL267" s="12"/>
      <c r="CM267" s="12"/>
    </row>
    <row r="268" ht="15.75" customHeight="1">
      <c r="BK268" s="12"/>
      <c r="BL268" s="12"/>
      <c r="CL268" s="12"/>
      <c r="CM268" s="12"/>
    </row>
    <row r="269" ht="15.75" customHeight="1">
      <c r="BK269" s="12"/>
      <c r="BL269" s="12"/>
      <c r="CL269" s="12"/>
      <c r="CM269" s="12"/>
    </row>
    <row r="270" ht="15.75" customHeight="1">
      <c r="BK270" s="12"/>
      <c r="BL270" s="12"/>
      <c r="CL270" s="12"/>
      <c r="CM270" s="12"/>
    </row>
    <row r="271" ht="15.75" customHeight="1">
      <c r="BK271" s="12"/>
      <c r="BL271" s="12"/>
      <c r="CL271" s="12"/>
      <c r="CM271" s="12"/>
    </row>
    <row r="272" ht="15.75" customHeight="1">
      <c r="BK272" s="12"/>
      <c r="BL272" s="12"/>
      <c r="CL272" s="12"/>
      <c r="CM272" s="12"/>
    </row>
    <row r="273" ht="15.75" customHeight="1">
      <c r="BK273" s="12"/>
      <c r="BL273" s="12"/>
      <c r="CL273" s="12"/>
      <c r="CM273" s="12"/>
    </row>
    <row r="274" ht="15.75" customHeight="1">
      <c r="BK274" s="12"/>
      <c r="BL274" s="12"/>
      <c r="CL274" s="12"/>
      <c r="CM274" s="12"/>
    </row>
    <row r="275" ht="15.75" customHeight="1">
      <c r="BK275" s="12"/>
      <c r="BL275" s="12"/>
      <c r="CL275" s="12"/>
      <c r="CM275" s="12"/>
    </row>
    <row r="276" ht="15.75" customHeight="1">
      <c r="BK276" s="12"/>
      <c r="BL276" s="12"/>
      <c r="CL276" s="12"/>
      <c r="CM276" s="12"/>
    </row>
    <row r="277" ht="15.75" customHeight="1">
      <c r="BK277" s="12"/>
      <c r="BL277" s="12"/>
      <c r="CL277" s="12"/>
      <c r="CM277" s="12"/>
    </row>
    <row r="278" ht="15.75" customHeight="1">
      <c r="BK278" s="12"/>
      <c r="BL278" s="12"/>
      <c r="CL278" s="12"/>
      <c r="CM278" s="12"/>
    </row>
    <row r="279" ht="15.75" customHeight="1">
      <c r="BK279" s="12"/>
      <c r="BL279" s="12"/>
      <c r="CL279" s="12"/>
      <c r="CM279" s="12"/>
    </row>
    <row r="280" ht="15.75" customHeight="1">
      <c r="BK280" s="12"/>
      <c r="BL280" s="12"/>
      <c r="CL280" s="12"/>
      <c r="CM280" s="12"/>
    </row>
    <row r="281" ht="15.75" customHeight="1">
      <c r="BK281" s="12"/>
      <c r="BL281" s="12"/>
      <c r="CL281" s="12"/>
      <c r="CM281" s="12"/>
    </row>
    <row r="282" ht="15.75" customHeight="1">
      <c r="BK282" s="12"/>
      <c r="BL282" s="12"/>
      <c r="CL282" s="12"/>
      <c r="CM282" s="12"/>
    </row>
    <row r="283" ht="15.75" customHeight="1">
      <c r="BK283" s="12"/>
      <c r="BL283" s="12"/>
      <c r="CL283" s="12"/>
      <c r="CM283" s="12"/>
    </row>
    <row r="284" ht="15.75" customHeight="1">
      <c r="BK284" s="12"/>
      <c r="BL284" s="12"/>
      <c r="CL284" s="12"/>
      <c r="CM284" s="12"/>
    </row>
    <row r="285" ht="15.75" customHeight="1">
      <c r="BK285" s="12"/>
      <c r="BL285" s="12"/>
      <c r="CL285" s="12"/>
      <c r="CM285" s="12"/>
    </row>
    <row r="286" ht="15.75" customHeight="1">
      <c r="BK286" s="12"/>
      <c r="BL286" s="12"/>
      <c r="CL286" s="12"/>
      <c r="CM286" s="12"/>
    </row>
    <row r="287" ht="15.75" customHeight="1">
      <c r="BK287" s="12"/>
      <c r="BL287" s="12"/>
      <c r="CL287" s="12"/>
      <c r="CM287" s="12"/>
    </row>
    <row r="288" ht="15.75" customHeight="1">
      <c r="BK288" s="12"/>
      <c r="BL288" s="12"/>
      <c r="CL288" s="12"/>
      <c r="CM288" s="12"/>
    </row>
    <row r="289" ht="15.75" customHeight="1">
      <c r="BK289" s="12"/>
      <c r="BL289" s="12"/>
      <c r="CL289" s="12"/>
      <c r="CM289" s="12"/>
    </row>
    <row r="290" ht="15.75" customHeight="1">
      <c r="BK290" s="12"/>
      <c r="BL290" s="12"/>
      <c r="CL290" s="12"/>
      <c r="CM290" s="12"/>
    </row>
    <row r="291" ht="15.75" customHeight="1">
      <c r="BK291" s="12"/>
      <c r="BL291" s="12"/>
      <c r="CL291" s="12"/>
      <c r="CM291" s="12"/>
    </row>
    <row r="292" ht="15.75" customHeight="1">
      <c r="BK292" s="12"/>
      <c r="BL292" s="12"/>
      <c r="CL292" s="12"/>
      <c r="CM292" s="12"/>
    </row>
    <row r="293" ht="15.75" customHeight="1">
      <c r="BK293" s="12"/>
      <c r="BL293" s="12"/>
      <c r="CL293" s="12"/>
      <c r="CM293" s="12"/>
    </row>
    <row r="294" ht="15.75" customHeight="1">
      <c r="BK294" s="12"/>
      <c r="BL294" s="12"/>
      <c r="CL294" s="12"/>
      <c r="CM294" s="12"/>
    </row>
    <row r="295" ht="15.75" customHeight="1">
      <c r="BK295" s="12"/>
      <c r="BL295" s="12"/>
      <c r="CL295" s="12"/>
      <c r="CM295" s="12"/>
    </row>
    <row r="296" ht="15.75" customHeight="1">
      <c r="BK296" s="12"/>
      <c r="BL296" s="12"/>
      <c r="CL296" s="12"/>
      <c r="CM296" s="12"/>
    </row>
    <row r="297" ht="15.75" customHeight="1">
      <c r="BK297" s="12"/>
      <c r="BL297" s="12"/>
      <c r="CL297" s="12"/>
      <c r="CM297" s="12"/>
    </row>
    <row r="298" ht="15.75" customHeight="1">
      <c r="BK298" s="12"/>
      <c r="BL298" s="12"/>
      <c r="CL298" s="12"/>
      <c r="CM298" s="12"/>
    </row>
    <row r="299" ht="15.75" customHeight="1">
      <c r="BK299" s="12"/>
      <c r="BL299" s="12"/>
      <c r="CL299" s="12"/>
      <c r="CM299" s="12"/>
    </row>
    <row r="300" ht="15.75" customHeight="1">
      <c r="BK300" s="12"/>
      <c r="BL300" s="12"/>
      <c r="CL300" s="12"/>
      <c r="CM300" s="12"/>
    </row>
    <row r="301" ht="15.75" customHeight="1">
      <c r="BK301" s="12"/>
      <c r="BL301" s="12"/>
      <c r="CL301" s="12"/>
      <c r="CM301" s="12"/>
    </row>
    <row r="302" ht="15.75" customHeight="1">
      <c r="BK302" s="12"/>
      <c r="BL302" s="12"/>
      <c r="CL302" s="12"/>
      <c r="CM302" s="12"/>
    </row>
    <row r="303" ht="15.75" customHeight="1">
      <c r="BK303" s="12"/>
      <c r="BL303" s="12"/>
      <c r="CL303" s="12"/>
      <c r="CM303" s="12"/>
    </row>
    <row r="304" ht="15.75" customHeight="1">
      <c r="BK304" s="12"/>
      <c r="BL304" s="12"/>
      <c r="CL304" s="12"/>
      <c r="CM304" s="12"/>
    </row>
    <row r="305" ht="15.75" customHeight="1">
      <c r="BK305" s="12"/>
      <c r="BL305" s="12"/>
      <c r="CL305" s="12"/>
      <c r="CM305" s="12"/>
    </row>
    <row r="306" ht="15.75" customHeight="1">
      <c r="BK306" s="12"/>
      <c r="BL306" s="12"/>
      <c r="CL306" s="12"/>
      <c r="CM306" s="12"/>
    </row>
    <row r="307" ht="15.75" customHeight="1">
      <c r="BK307" s="12"/>
      <c r="BL307" s="12"/>
      <c r="CL307" s="12"/>
      <c r="CM307" s="12"/>
    </row>
    <row r="308" ht="15.75" customHeight="1">
      <c r="BK308" s="12"/>
      <c r="BL308" s="12"/>
      <c r="CL308" s="12"/>
      <c r="CM308" s="12"/>
    </row>
    <row r="309" ht="15.75" customHeight="1">
      <c r="BK309" s="12"/>
      <c r="BL309" s="12"/>
      <c r="CL309" s="12"/>
      <c r="CM309" s="12"/>
    </row>
    <row r="310" ht="15.75" customHeight="1">
      <c r="BK310" s="12"/>
      <c r="BL310" s="12"/>
      <c r="CL310" s="12"/>
      <c r="CM310" s="12"/>
    </row>
    <row r="311" ht="15.75" customHeight="1">
      <c r="BK311" s="12"/>
      <c r="BL311" s="12"/>
      <c r="CL311" s="12"/>
      <c r="CM311" s="12"/>
    </row>
    <row r="312" ht="15.75" customHeight="1">
      <c r="BK312" s="12"/>
      <c r="BL312" s="12"/>
      <c r="CL312" s="12"/>
      <c r="CM312" s="12"/>
    </row>
    <row r="313" ht="15.75" customHeight="1">
      <c r="BK313" s="12"/>
      <c r="BL313" s="12"/>
      <c r="CL313" s="12"/>
      <c r="CM313" s="12"/>
    </row>
    <row r="314" ht="15.75" customHeight="1">
      <c r="BK314" s="12"/>
      <c r="BL314" s="12"/>
      <c r="CL314" s="12"/>
      <c r="CM314" s="12"/>
    </row>
    <row r="315" ht="15.75" customHeight="1">
      <c r="BK315" s="12"/>
      <c r="BL315" s="12"/>
      <c r="CL315" s="12"/>
      <c r="CM315" s="12"/>
    </row>
    <row r="316" ht="15.75" customHeight="1">
      <c r="BK316" s="12"/>
      <c r="BL316" s="12"/>
      <c r="CL316" s="12"/>
      <c r="CM316" s="12"/>
    </row>
    <row r="317" ht="15.75" customHeight="1">
      <c r="BK317" s="12"/>
      <c r="BL317" s="12"/>
      <c r="CL317" s="12"/>
      <c r="CM317" s="12"/>
    </row>
    <row r="318" ht="15.75" customHeight="1">
      <c r="BK318" s="12"/>
      <c r="BL318" s="12"/>
      <c r="CL318" s="12"/>
      <c r="CM318" s="12"/>
    </row>
    <row r="319" ht="15.75" customHeight="1">
      <c r="BK319" s="12"/>
      <c r="BL319" s="12"/>
      <c r="CL319" s="12"/>
      <c r="CM319" s="12"/>
    </row>
    <row r="320" ht="15.75" customHeight="1">
      <c r="BK320" s="12"/>
      <c r="BL320" s="12"/>
      <c r="CL320" s="12"/>
      <c r="CM320" s="12"/>
    </row>
    <row r="321" ht="15.75" customHeight="1">
      <c r="BK321" s="12"/>
      <c r="BL321" s="12"/>
      <c r="CL321" s="12"/>
      <c r="CM321" s="12"/>
    </row>
    <row r="322" ht="15.75" customHeight="1">
      <c r="BK322" s="12"/>
      <c r="BL322" s="12"/>
      <c r="CL322" s="12"/>
      <c r="CM322" s="12"/>
    </row>
    <row r="323" ht="15.75" customHeight="1">
      <c r="BK323" s="12"/>
      <c r="BL323" s="12"/>
      <c r="CL323" s="12"/>
      <c r="CM323" s="12"/>
    </row>
    <row r="324" ht="15.75" customHeight="1">
      <c r="BK324" s="12"/>
      <c r="BL324" s="12"/>
      <c r="CL324" s="12"/>
      <c r="CM324" s="12"/>
    </row>
    <row r="325" ht="15.75" customHeight="1">
      <c r="BK325" s="12"/>
      <c r="BL325" s="12"/>
      <c r="CL325" s="12"/>
      <c r="CM325" s="12"/>
    </row>
    <row r="326" ht="15.75" customHeight="1">
      <c r="BK326" s="12"/>
      <c r="BL326" s="12"/>
      <c r="CL326" s="12"/>
      <c r="CM326" s="12"/>
    </row>
    <row r="327" ht="15.75" customHeight="1">
      <c r="BK327" s="12"/>
      <c r="BL327" s="12"/>
      <c r="CL327" s="12"/>
      <c r="CM327" s="12"/>
    </row>
    <row r="328" ht="15.75" customHeight="1">
      <c r="BK328" s="12"/>
      <c r="BL328" s="12"/>
      <c r="CL328" s="12"/>
      <c r="CM328" s="12"/>
    </row>
    <row r="329" ht="15.75" customHeight="1">
      <c r="BK329" s="12"/>
      <c r="BL329" s="12"/>
      <c r="CL329" s="12"/>
      <c r="CM329" s="12"/>
    </row>
    <row r="330" ht="15.75" customHeight="1">
      <c r="BK330" s="12"/>
      <c r="BL330" s="12"/>
      <c r="CL330" s="12"/>
      <c r="CM330" s="12"/>
    </row>
    <row r="331" ht="15.75" customHeight="1">
      <c r="BK331" s="12"/>
      <c r="BL331" s="12"/>
      <c r="CL331" s="12"/>
      <c r="CM331" s="12"/>
    </row>
    <row r="332" ht="15.75" customHeight="1">
      <c r="BK332" s="12"/>
      <c r="BL332" s="12"/>
      <c r="CL332" s="12"/>
      <c r="CM332" s="12"/>
    </row>
    <row r="333" ht="15.75" customHeight="1">
      <c r="BK333" s="12"/>
      <c r="BL333" s="12"/>
      <c r="CL333" s="12"/>
      <c r="CM333" s="12"/>
    </row>
    <row r="334" ht="15.75" customHeight="1">
      <c r="BK334" s="12"/>
      <c r="BL334" s="12"/>
      <c r="CL334" s="12"/>
      <c r="CM334" s="12"/>
    </row>
    <row r="335" ht="15.75" customHeight="1">
      <c r="BK335" s="12"/>
      <c r="BL335" s="12"/>
      <c r="CL335" s="12"/>
      <c r="CM335" s="12"/>
    </row>
    <row r="336" ht="15.75" customHeight="1">
      <c r="BK336" s="12"/>
      <c r="BL336" s="12"/>
      <c r="CL336" s="12"/>
      <c r="CM336" s="12"/>
    </row>
    <row r="337" ht="15.75" customHeight="1">
      <c r="BK337" s="12"/>
      <c r="BL337" s="12"/>
      <c r="CL337" s="12"/>
      <c r="CM337" s="12"/>
    </row>
    <row r="338" ht="15.75" customHeight="1">
      <c r="BK338" s="12"/>
      <c r="BL338" s="12"/>
      <c r="CL338" s="12"/>
      <c r="CM338" s="12"/>
    </row>
    <row r="339" ht="15.75" customHeight="1">
      <c r="BK339" s="12"/>
      <c r="BL339" s="12"/>
      <c r="CL339" s="12"/>
      <c r="CM339" s="12"/>
    </row>
    <row r="340" ht="15.75" customHeight="1">
      <c r="BK340" s="12"/>
      <c r="BL340" s="12"/>
      <c r="CL340" s="12"/>
      <c r="CM340" s="12"/>
    </row>
    <row r="341" ht="15.75" customHeight="1">
      <c r="BK341" s="12"/>
      <c r="BL341" s="12"/>
      <c r="CL341" s="12"/>
      <c r="CM341" s="12"/>
    </row>
    <row r="342" ht="15.75" customHeight="1">
      <c r="BK342" s="12"/>
      <c r="BL342" s="12"/>
      <c r="CL342" s="12"/>
      <c r="CM342" s="12"/>
    </row>
    <row r="343" ht="15.75" customHeight="1">
      <c r="BK343" s="12"/>
      <c r="BL343" s="12"/>
      <c r="CL343" s="12"/>
      <c r="CM343" s="12"/>
    </row>
    <row r="344" ht="15.75" customHeight="1">
      <c r="BK344" s="12"/>
      <c r="BL344" s="12"/>
      <c r="CL344" s="12"/>
      <c r="CM344" s="12"/>
    </row>
    <row r="345" ht="15.75" customHeight="1">
      <c r="BK345" s="12"/>
      <c r="BL345" s="12"/>
      <c r="CL345" s="12"/>
      <c r="CM345" s="12"/>
    </row>
    <row r="346" ht="15.75" customHeight="1">
      <c r="BK346" s="12"/>
      <c r="BL346" s="12"/>
      <c r="CL346" s="12"/>
      <c r="CM346" s="12"/>
    </row>
    <row r="347" ht="15.75" customHeight="1">
      <c r="BK347" s="12"/>
      <c r="BL347" s="12"/>
      <c r="CL347" s="12"/>
      <c r="CM347" s="12"/>
    </row>
    <row r="348" ht="15.75" customHeight="1">
      <c r="BK348" s="12"/>
      <c r="BL348" s="12"/>
      <c r="CL348" s="12"/>
      <c r="CM348" s="12"/>
    </row>
    <row r="349" ht="15.75" customHeight="1">
      <c r="BK349" s="12"/>
      <c r="BL349" s="12"/>
      <c r="CL349" s="12"/>
      <c r="CM349" s="12"/>
    </row>
    <row r="350" ht="15.75" customHeight="1">
      <c r="BK350" s="12"/>
      <c r="BL350" s="12"/>
      <c r="CL350" s="12"/>
      <c r="CM350" s="12"/>
    </row>
    <row r="351" ht="15.75" customHeight="1">
      <c r="BK351" s="12"/>
      <c r="BL351" s="12"/>
      <c r="CL351" s="12"/>
      <c r="CM351" s="12"/>
    </row>
    <row r="352" ht="15.75" customHeight="1">
      <c r="BK352" s="12"/>
      <c r="BL352" s="12"/>
      <c r="CL352" s="12"/>
      <c r="CM352" s="12"/>
    </row>
    <row r="353" ht="15.75" customHeight="1">
      <c r="BK353" s="12"/>
      <c r="BL353" s="12"/>
      <c r="CL353" s="12"/>
      <c r="CM353" s="12"/>
    </row>
    <row r="354" ht="15.75" customHeight="1">
      <c r="BK354" s="12"/>
      <c r="BL354" s="12"/>
      <c r="CL354" s="12"/>
      <c r="CM354" s="12"/>
    </row>
    <row r="355" ht="15.75" customHeight="1">
      <c r="BK355" s="12"/>
      <c r="BL355" s="12"/>
      <c r="CL355" s="12"/>
      <c r="CM355" s="12"/>
    </row>
    <row r="356" ht="15.75" customHeight="1">
      <c r="BK356" s="12"/>
      <c r="BL356" s="12"/>
      <c r="CL356" s="12"/>
      <c r="CM356" s="12"/>
    </row>
    <row r="357" ht="15.75" customHeight="1">
      <c r="BK357" s="12"/>
      <c r="BL357" s="12"/>
      <c r="CL357" s="12"/>
      <c r="CM357" s="12"/>
    </row>
    <row r="358" ht="15.75" customHeight="1">
      <c r="BK358" s="12"/>
      <c r="BL358" s="12"/>
      <c r="CL358" s="12"/>
      <c r="CM358" s="12"/>
    </row>
    <row r="359" ht="15.75" customHeight="1">
      <c r="BK359" s="12"/>
      <c r="BL359" s="12"/>
      <c r="CL359" s="12"/>
      <c r="CM359" s="12"/>
    </row>
    <row r="360" ht="15.75" customHeight="1">
      <c r="BK360" s="12"/>
      <c r="BL360" s="12"/>
      <c r="CL360" s="12"/>
      <c r="CM360" s="12"/>
    </row>
    <row r="361" ht="15.75" customHeight="1">
      <c r="BK361" s="12"/>
      <c r="BL361" s="12"/>
      <c r="CL361" s="12"/>
      <c r="CM361" s="12"/>
    </row>
    <row r="362" ht="15.75" customHeight="1">
      <c r="BK362" s="12"/>
      <c r="BL362" s="12"/>
      <c r="CL362" s="12"/>
      <c r="CM362" s="12"/>
    </row>
    <row r="363" ht="15.75" customHeight="1">
      <c r="BK363" s="12"/>
      <c r="BL363" s="12"/>
      <c r="CL363" s="12"/>
      <c r="CM363" s="12"/>
    </row>
    <row r="364" ht="15.75" customHeight="1">
      <c r="BK364" s="12"/>
      <c r="BL364" s="12"/>
      <c r="CL364" s="12"/>
      <c r="CM364" s="12"/>
    </row>
    <row r="365" ht="15.75" customHeight="1">
      <c r="BK365" s="12"/>
      <c r="BL365" s="12"/>
      <c r="CL365" s="12"/>
      <c r="CM365" s="12"/>
    </row>
    <row r="366" ht="15.75" customHeight="1">
      <c r="BK366" s="12"/>
      <c r="BL366" s="12"/>
      <c r="CL366" s="12"/>
      <c r="CM366" s="12"/>
    </row>
    <row r="367" ht="15.75" customHeight="1">
      <c r="BK367" s="12"/>
      <c r="BL367" s="12"/>
      <c r="CL367" s="12"/>
      <c r="CM367" s="12"/>
    </row>
    <row r="368" ht="15.75" customHeight="1">
      <c r="BK368" s="12"/>
      <c r="BL368" s="12"/>
      <c r="CL368" s="12"/>
      <c r="CM368" s="12"/>
    </row>
    <row r="369" ht="15.75" customHeight="1">
      <c r="BK369" s="12"/>
      <c r="BL369" s="12"/>
      <c r="CL369" s="12"/>
      <c r="CM369" s="12"/>
    </row>
    <row r="370" ht="15.75" customHeight="1">
      <c r="BK370" s="12"/>
      <c r="BL370" s="12"/>
      <c r="CL370" s="12"/>
      <c r="CM370" s="12"/>
    </row>
    <row r="371" ht="15.75" customHeight="1">
      <c r="BK371" s="12"/>
      <c r="BL371" s="12"/>
      <c r="CL371" s="12"/>
      <c r="CM371" s="12"/>
    </row>
    <row r="372" ht="15.75" customHeight="1">
      <c r="BK372" s="12"/>
      <c r="BL372" s="12"/>
      <c r="CL372" s="12"/>
      <c r="CM372" s="12"/>
    </row>
    <row r="373" ht="15.75" customHeight="1">
      <c r="BK373" s="12"/>
      <c r="BL373" s="12"/>
      <c r="CL373" s="12"/>
      <c r="CM373" s="12"/>
    </row>
    <row r="374" ht="15.75" customHeight="1">
      <c r="BK374" s="12"/>
      <c r="BL374" s="12"/>
      <c r="CL374" s="12"/>
      <c r="CM374" s="12"/>
    </row>
    <row r="375" ht="15.75" customHeight="1">
      <c r="BK375" s="12"/>
      <c r="BL375" s="12"/>
      <c r="CL375" s="12"/>
      <c r="CM375" s="12"/>
    </row>
    <row r="376" ht="15.75" customHeight="1">
      <c r="BK376" s="12"/>
      <c r="BL376" s="12"/>
      <c r="CL376" s="12"/>
      <c r="CM376" s="12"/>
    </row>
    <row r="377" ht="15.75" customHeight="1">
      <c r="BK377" s="12"/>
      <c r="BL377" s="12"/>
      <c r="CL377" s="12"/>
      <c r="CM377" s="12"/>
    </row>
    <row r="378" ht="15.75" customHeight="1">
      <c r="BK378" s="12"/>
      <c r="BL378" s="12"/>
      <c r="CL378" s="12"/>
      <c r="CM378" s="12"/>
    </row>
    <row r="379" ht="15.75" customHeight="1">
      <c r="BK379" s="12"/>
      <c r="BL379" s="12"/>
      <c r="CL379" s="12"/>
      <c r="CM379" s="12"/>
    </row>
    <row r="380" ht="15.75" customHeight="1">
      <c r="BK380" s="12"/>
      <c r="BL380" s="12"/>
      <c r="CL380" s="12"/>
      <c r="CM380" s="12"/>
    </row>
    <row r="381" ht="15.75" customHeight="1">
      <c r="BK381" s="12"/>
      <c r="BL381" s="12"/>
      <c r="CL381" s="12"/>
      <c r="CM381" s="12"/>
    </row>
    <row r="382" ht="15.75" customHeight="1">
      <c r="BK382" s="12"/>
      <c r="BL382" s="12"/>
      <c r="CL382" s="12"/>
      <c r="CM382" s="12"/>
    </row>
    <row r="383" ht="15.75" customHeight="1">
      <c r="BK383" s="12"/>
      <c r="BL383" s="12"/>
      <c r="CL383" s="12"/>
      <c r="CM383" s="12"/>
    </row>
    <row r="384" ht="15.75" customHeight="1">
      <c r="BK384" s="12"/>
      <c r="BL384" s="12"/>
      <c r="CL384" s="12"/>
      <c r="CM384" s="12"/>
    </row>
    <row r="385" ht="15.75" customHeight="1">
      <c r="BK385" s="12"/>
      <c r="BL385" s="12"/>
      <c r="CL385" s="12"/>
      <c r="CM385" s="12"/>
    </row>
    <row r="386" ht="15.75" customHeight="1">
      <c r="BK386" s="12"/>
      <c r="BL386" s="12"/>
      <c r="CL386" s="12"/>
      <c r="CM386" s="12"/>
    </row>
    <row r="387" ht="15.75" customHeight="1">
      <c r="BK387" s="12"/>
      <c r="BL387" s="12"/>
      <c r="CL387" s="12"/>
      <c r="CM387" s="12"/>
    </row>
    <row r="388" ht="15.75" customHeight="1">
      <c r="BK388" s="12"/>
      <c r="BL388" s="12"/>
      <c r="CL388" s="12"/>
      <c r="CM388" s="12"/>
    </row>
    <row r="389" ht="15.75" customHeight="1">
      <c r="BK389" s="12"/>
      <c r="BL389" s="12"/>
      <c r="CL389" s="12"/>
      <c r="CM389" s="12"/>
    </row>
    <row r="390" ht="15.75" customHeight="1">
      <c r="BK390" s="12"/>
      <c r="BL390" s="12"/>
      <c r="CL390" s="12"/>
      <c r="CM390" s="12"/>
    </row>
    <row r="391" ht="15.75" customHeight="1">
      <c r="BK391" s="12"/>
      <c r="BL391" s="12"/>
      <c r="CL391" s="12"/>
      <c r="CM391" s="12"/>
    </row>
    <row r="392" ht="15.75" customHeight="1">
      <c r="BK392" s="12"/>
      <c r="BL392" s="12"/>
      <c r="CL392" s="12"/>
      <c r="CM392" s="12"/>
    </row>
    <row r="393" ht="15.75" customHeight="1">
      <c r="BK393" s="12"/>
      <c r="BL393" s="12"/>
      <c r="CL393" s="12"/>
      <c r="CM393" s="12"/>
    </row>
    <row r="394" ht="15.75" customHeight="1">
      <c r="BK394" s="12"/>
      <c r="BL394" s="12"/>
      <c r="CL394" s="12"/>
      <c r="CM394" s="12"/>
    </row>
    <row r="395" ht="15.75" customHeight="1">
      <c r="BK395" s="12"/>
      <c r="BL395" s="12"/>
      <c r="CL395" s="12"/>
      <c r="CM395" s="12"/>
    </row>
    <row r="396" ht="15.75" customHeight="1">
      <c r="BK396" s="12"/>
      <c r="BL396" s="12"/>
      <c r="CL396" s="12"/>
      <c r="CM396" s="12"/>
    </row>
    <row r="397" ht="15.75" customHeight="1">
      <c r="BK397" s="12"/>
      <c r="BL397" s="12"/>
      <c r="CL397" s="12"/>
      <c r="CM397" s="12"/>
    </row>
    <row r="398" ht="15.75" customHeight="1">
      <c r="BK398" s="12"/>
      <c r="BL398" s="12"/>
      <c r="CL398" s="12"/>
      <c r="CM398" s="12"/>
    </row>
    <row r="399" ht="15.75" customHeight="1">
      <c r="BK399" s="12"/>
      <c r="BL399" s="12"/>
      <c r="CL399" s="12"/>
      <c r="CM399" s="12"/>
    </row>
    <row r="400" ht="15.75" customHeight="1">
      <c r="BK400" s="12"/>
      <c r="BL400" s="12"/>
      <c r="CL400" s="12"/>
      <c r="CM400" s="12"/>
    </row>
    <row r="401" ht="15.75" customHeight="1">
      <c r="BK401" s="12"/>
      <c r="BL401" s="12"/>
      <c r="CL401" s="12"/>
      <c r="CM401" s="12"/>
    </row>
    <row r="402" ht="15.75" customHeight="1">
      <c r="BK402" s="12"/>
      <c r="BL402" s="12"/>
      <c r="CL402" s="12"/>
      <c r="CM402" s="12"/>
    </row>
    <row r="403" ht="15.75" customHeight="1">
      <c r="BK403" s="12"/>
      <c r="BL403" s="12"/>
      <c r="CL403" s="12"/>
      <c r="CM403" s="12"/>
    </row>
    <row r="404" ht="15.75" customHeight="1">
      <c r="BK404" s="12"/>
      <c r="BL404" s="12"/>
      <c r="CL404" s="12"/>
      <c r="CM404" s="12"/>
    </row>
    <row r="405" ht="15.75" customHeight="1">
      <c r="BK405" s="12"/>
      <c r="BL405" s="12"/>
      <c r="CL405" s="12"/>
      <c r="CM405" s="12"/>
    </row>
    <row r="406" ht="15.75" customHeight="1">
      <c r="BK406" s="12"/>
      <c r="BL406" s="12"/>
      <c r="CL406" s="12"/>
      <c r="CM406" s="12"/>
    </row>
    <row r="407" ht="15.75" customHeight="1">
      <c r="BK407" s="12"/>
      <c r="BL407" s="12"/>
      <c r="CL407" s="12"/>
      <c r="CM407" s="12"/>
    </row>
    <row r="408" ht="15.75" customHeight="1">
      <c r="BK408" s="12"/>
      <c r="BL408" s="12"/>
      <c r="CL408" s="12"/>
      <c r="CM408" s="12"/>
    </row>
    <row r="409" ht="15.75" customHeight="1">
      <c r="BK409" s="12"/>
      <c r="BL409" s="12"/>
      <c r="CL409" s="12"/>
      <c r="CM409" s="12"/>
    </row>
    <row r="410" ht="15.75" customHeight="1">
      <c r="BK410" s="12"/>
      <c r="BL410" s="12"/>
      <c r="CL410" s="12"/>
      <c r="CM410" s="12"/>
    </row>
    <row r="411" ht="15.75" customHeight="1">
      <c r="BK411" s="12"/>
      <c r="BL411" s="12"/>
      <c r="CL411" s="12"/>
      <c r="CM411" s="12"/>
    </row>
    <row r="412" ht="15.75" customHeight="1">
      <c r="BK412" s="12"/>
      <c r="BL412" s="12"/>
      <c r="CL412" s="12"/>
      <c r="CM412" s="12"/>
    </row>
    <row r="413" ht="15.75" customHeight="1">
      <c r="BK413" s="12"/>
      <c r="BL413" s="12"/>
      <c r="CL413" s="12"/>
      <c r="CM413" s="12"/>
    </row>
    <row r="414" ht="15.75" customHeight="1">
      <c r="BK414" s="12"/>
      <c r="BL414" s="12"/>
      <c r="CL414" s="12"/>
      <c r="CM414" s="12"/>
    </row>
    <row r="415" ht="15.75" customHeight="1">
      <c r="BK415" s="12"/>
      <c r="BL415" s="12"/>
      <c r="CL415" s="12"/>
      <c r="CM415" s="12"/>
    </row>
    <row r="416" ht="15.75" customHeight="1">
      <c r="BK416" s="12"/>
      <c r="BL416" s="12"/>
      <c r="CL416" s="12"/>
      <c r="CM416" s="12"/>
    </row>
    <row r="417" ht="15.75" customHeight="1">
      <c r="BK417" s="12"/>
      <c r="BL417" s="12"/>
      <c r="CL417" s="12"/>
      <c r="CM417" s="12"/>
    </row>
    <row r="418" ht="15.75" customHeight="1">
      <c r="BK418" s="12"/>
      <c r="BL418" s="12"/>
      <c r="CL418" s="12"/>
      <c r="CM418" s="12"/>
    </row>
    <row r="419" ht="15.75" customHeight="1">
      <c r="BK419" s="12"/>
      <c r="BL419" s="12"/>
      <c r="CL419" s="12"/>
      <c r="CM419" s="12"/>
    </row>
    <row r="420" ht="15.75" customHeight="1">
      <c r="BK420" s="12"/>
      <c r="BL420" s="12"/>
      <c r="CL420" s="12"/>
      <c r="CM420" s="12"/>
    </row>
    <row r="421" ht="15.75" customHeight="1">
      <c r="BK421" s="12"/>
      <c r="BL421" s="12"/>
      <c r="CL421" s="12"/>
      <c r="CM421" s="12"/>
    </row>
    <row r="422" ht="15.75" customHeight="1">
      <c r="BK422" s="12"/>
      <c r="BL422" s="12"/>
      <c r="CL422" s="12"/>
      <c r="CM422" s="12"/>
    </row>
    <row r="423" ht="15.75" customHeight="1">
      <c r="BK423" s="12"/>
      <c r="BL423" s="12"/>
      <c r="CL423" s="12"/>
      <c r="CM423" s="12"/>
    </row>
    <row r="424" ht="15.75" customHeight="1">
      <c r="BK424" s="12"/>
      <c r="BL424" s="12"/>
      <c r="CL424" s="12"/>
      <c r="CM424" s="12"/>
    </row>
    <row r="425" ht="15.75" customHeight="1">
      <c r="BK425" s="12"/>
      <c r="BL425" s="12"/>
      <c r="CL425" s="12"/>
      <c r="CM425" s="12"/>
    </row>
    <row r="426" ht="15.75" customHeight="1">
      <c r="BK426" s="12"/>
      <c r="BL426" s="12"/>
      <c r="CL426" s="12"/>
      <c r="CM426" s="12"/>
    </row>
    <row r="427" ht="15.75" customHeight="1">
      <c r="BK427" s="12"/>
      <c r="BL427" s="12"/>
      <c r="CL427" s="12"/>
      <c r="CM427" s="12"/>
    </row>
    <row r="428" ht="15.75" customHeight="1">
      <c r="BK428" s="12"/>
      <c r="BL428" s="12"/>
      <c r="CL428" s="12"/>
      <c r="CM428" s="12"/>
    </row>
    <row r="429" ht="15.75" customHeight="1">
      <c r="BK429" s="12"/>
      <c r="BL429" s="12"/>
      <c r="CL429" s="12"/>
      <c r="CM429" s="12"/>
    </row>
    <row r="430" ht="15.75" customHeight="1">
      <c r="BK430" s="12"/>
      <c r="BL430" s="12"/>
      <c r="CL430" s="12"/>
      <c r="CM430" s="12"/>
    </row>
    <row r="431" ht="15.75" customHeight="1">
      <c r="BK431" s="12"/>
      <c r="BL431" s="12"/>
      <c r="CL431" s="12"/>
      <c r="CM431" s="12"/>
    </row>
    <row r="432" ht="15.75" customHeight="1">
      <c r="BK432" s="12"/>
      <c r="BL432" s="12"/>
      <c r="CL432" s="12"/>
      <c r="CM432" s="12"/>
    </row>
    <row r="433" ht="15.75" customHeight="1">
      <c r="BK433" s="12"/>
      <c r="BL433" s="12"/>
      <c r="CL433" s="12"/>
      <c r="CM433" s="12"/>
    </row>
    <row r="434" ht="15.75" customHeight="1">
      <c r="BK434" s="12"/>
      <c r="BL434" s="12"/>
      <c r="CL434" s="12"/>
      <c r="CM434" s="12"/>
    </row>
    <row r="435" ht="15.75" customHeight="1">
      <c r="BK435" s="12"/>
      <c r="BL435" s="12"/>
      <c r="CL435" s="12"/>
      <c r="CM435" s="12"/>
    </row>
    <row r="436" ht="15.75" customHeight="1">
      <c r="BK436" s="12"/>
      <c r="BL436" s="12"/>
      <c r="CL436" s="12"/>
      <c r="CM436" s="12"/>
    </row>
    <row r="437" ht="15.75" customHeight="1">
      <c r="BK437" s="12"/>
      <c r="BL437" s="12"/>
      <c r="CL437" s="12"/>
      <c r="CM437" s="12"/>
    </row>
    <row r="438" ht="15.75" customHeight="1">
      <c r="BK438" s="12"/>
      <c r="BL438" s="12"/>
      <c r="CL438" s="12"/>
      <c r="CM438" s="12"/>
    </row>
    <row r="439" ht="15.75" customHeight="1">
      <c r="BK439" s="12"/>
      <c r="BL439" s="12"/>
      <c r="CL439" s="12"/>
      <c r="CM439" s="12"/>
    </row>
    <row r="440" ht="15.75" customHeight="1">
      <c r="BK440" s="12"/>
      <c r="BL440" s="12"/>
      <c r="CL440" s="12"/>
      <c r="CM440" s="12"/>
    </row>
    <row r="441" ht="15.75" customHeight="1">
      <c r="BK441" s="12"/>
      <c r="BL441" s="12"/>
      <c r="CL441" s="12"/>
      <c r="CM441" s="12"/>
    </row>
    <row r="442" ht="15.75" customHeight="1">
      <c r="BK442" s="12"/>
      <c r="BL442" s="12"/>
      <c r="CL442" s="12"/>
      <c r="CM442" s="12"/>
    </row>
    <row r="443" ht="15.75" customHeight="1">
      <c r="BK443" s="12"/>
      <c r="BL443" s="12"/>
      <c r="CL443" s="12"/>
      <c r="CM443" s="12"/>
    </row>
    <row r="444" ht="15.75" customHeight="1">
      <c r="BK444" s="12"/>
      <c r="BL444" s="12"/>
      <c r="CL444" s="12"/>
      <c r="CM444" s="12"/>
    </row>
    <row r="445" ht="15.75" customHeight="1">
      <c r="BK445" s="12"/>
      <c r="BL445" s="12"/>
      <c r="CL445" s="12"/>
      <c r="CM445" s="12"/>
    </row>
    <row r="446" ht="15.75" customHeight="1">
      <c r="BK446" s="12"/>
      <c r="BL446" s="12"/>
      <c r="CL446" s="12"/>
      <c r="CM446" s="12"/>
    </row>
    <row r="447" ht="15.75" customHeight="1">
      <c r="BK447" s="12"/>
      <c r="BL447" s="12"/>
      <c r="CL447" s="12"/>
      <c r="CM447" s="12"/>
    </row>
    <row r="448" ht="15.75" customHeight="1">
      <c r="BK448" s="12"/>
      <c r="BL448" s="12"/>
      <c r="CL448" s="12"/>
      <c r="CM448" s="12"/>
    </row>
    <row r="449" ht="15.75" customHeight="1">
      <c r="BK449" s="12"/>
      <c r="BL449" s="12"/>
      <c r="CL449" s="12"/>
      <c r="CM449" s="12"/>
    </row>
    <row r="450" ht="15.75" customHeight="1">
      <c r="BK450" s="12"/>
      <c r="BL450" s="12"/>
      <c r="CL450" s="12"/>
      <c r="CM450" s="12"/>
    </row>
    <row r="451" ht="15.75" customHeight="1">
      <c r="BK451" s="12"/>
      <c r="BL451" s="12"/>
      <c r="CL451" s="12"/>
      <c r="CM451" s="12"/>
    </row>
    <row r="452" ht="15.75" customHeight="1">
      <c r="BK452" s="12"/>
      <c r="BL452" s="12"/>
      <c r="CL452" s="12"/>
      <c r="CM452" s="12"/>
    </row>
    <row r="453" ht="15.75" customHeight="1">
      <c r="BK453" s="12"/>
      <c r="BL453" s="12"/>
      <c r="CL453" s="12"/>
      <c r="CM453" s="12"/>
    </row>
    <row r="454" ht="15.75" customHeight="1">
      <c r="BK454" s="12"/>
      <c r="BL454" s="12"/>
      <c r="CL454" s="12"/>
      <c r="CM454" s="12"/>
    </row>
    <row r="455" ht="15.75" customHeight="1">
      <c r="BK455" s="12"/>
      <c r="BL455" s="12"/>
      <c r="CL455" s="12"/>
      <c r="CM455" s="12"/>
    </row>
    <row r="456" ht="15.75" customHeight="1">
      <c r="BK456" s="12"/>
      <c r="BL456" s="12"/>
      <c r="CL456" s="12"/>
      <c r="CM456" s="12"/>
    </row>
    <row r="457" ht="15.75" customHeight="1">
      <c r="BK457" s="12"/>
      <c r="BL457" s="12"/>
      <c r="CL457" s="12"/>
      <c r="CM457" s="12"/>
    </row>
    <row r="458" ht="15.75" customHeight="1">
      <c r="BK458" s="12"/>
      <c r="BL458" s="12"/>
      <c r="CL458" s="12"/>
      <c r="CM458" s="12"/>
    </row>
    <row r="459" ht="15.75" customHeight="1">
      <c r="BK459" s="12"/>
      <c r="BL459" s="12"/>
      <c r="CL459" s="12"/>
      <c r="CM459" s="12"/>
    </row>
    <row r="460" ht="15.75" customHeight="1">
      <c r="BK460" s="12"/>
      <c r="BL460" s="12"/>
      <c r="CL460" s="12"/>
      <c r="CM460" s="12"/>
    </row>
    <row r="461" ht="15.75" customHeight="1">
      <c r="BK461" s="12"/>
      <c r="BL461" s="12"/>
      <c r="CL461" s="12"/>
      <c r="CM461" s="12"/>
    </row>
    <row r="462" ht="15.75" customHeight="1">
      <c r="BK462" s="12"/>
      <c r="BL462" s="12"/>
      <c r="CL462" s="12"/>
      <c r="CM462" s="12"/>
    </row>
    <row r="463" ht="15.75" customHeight="1">
      <c r="BK463" s="12"/>
      <c r="BL463" s="12"/>
      <c r="CL463" s="12"/>
      <c r="CM463" s="12"/>
    </row>
    <row r="464" ht="15.75" customHeight="1">
      <c r="BK464" s="12"/>
      <c r="BL464" s="12"/>
      <c r="CL464" s="12"/>
      <c r="CM464" s="12"/>
    </row>
    <row r="465" ht="15.75" customHeight="1">
      <c r="BK465" s="12"/>
      <c r="BL465" s="12"/>
      <c r="CL465" s="12"/>
      <c r="CM465" s="12"/>
    </row>
    <row r="466" ht="15.75" customHeight="1">
      <c r="BK466" s="12"/>
      <c r="BL466" s="12"/>
      <c r="CL466" s="12"/>
      <c r="CM466" s="12"/>
    </row>
    <row r="467" ht="15.75" customHeight="1">
      <c r="BK467" s="12"/>
      <c r="BL467" s="12"/>
      <c r="CL467" s="12"/>
      <c r="CM467" s="12"/>
    </row>
    <row r="468" ht="15.75" customHeight="1">
      <c r="BK468" s="12"/>
      <c r="BL468" s="12"/>
      <c r="CL468" s="12"/>
      <c r="CM468" s="12"/>
    </row>
    <row r="469" ht="15.75" customHeight="1">
      <c r="BK469" s="12"/>
      <c r="BL469" s="12"/>
      <c r="CL469" s="12"/>
      <c r="CM469" s="12"/>
    </row>
    <row r="470" ht="15.75" customHeight="1">
      <c r="BK470" s="12"/>
      <c r="BL470" s="12"/>
      <c r="CL470" s="12"/>
      <c r="CM470" s="12"/>
    </row>
    <row r="471" ht="15.75" customHeight="1">
      <c r="BK471" s="12"/>
      <c r="BL471" s="12"/>
      <c r="CL471" s="12"/>
      <c r="CM471" s="12"/>
    </row>
    <row r="472" ht="15.75" customHeight="1">
      <c r="BK472" s="12"/>
      <c r="BL472" s="12"/>
      <c r="CL472" s="12"/>
      <c r="CM472" s="12"/>
    </row>
    <row r="473" ht="15.75" customHeight="1">
      <c r="BK473" s="12"/>
      <c r="BL473" s="12"/>
      <c r="CL473" s="12"/>
      <c r="CM473" s="12"/>
    </row>
    <row r="474" ht="15.75" customHeight="1">
      <c r="BK474" s="12"/>
      <c r="BL474" s="12"/>
      <c r="CL474" s="12"/>
      <c r="CM474" s="12"/>
    </row>
    <row r="475" ht="15.75" customHeight="1">
      <c r="BK475" s="12"/>
      <c r="BL475" s="12"/>
      <c r="CL475" s="12"/>
      <c r="CM475" s="12"/>
    </row>
    <row r="476" ht="15.75" customHeight="1">
      <c r="BK476" s="12"/>
      <c r="BL476" s="12"/>
      <c r="CL476" s="12"/>
      <c r="CM476" s="12"/>
    </row>
    <row r="477" ht="15.75" customHeight="1">
      <c r="BK477" s="12"/>
      <c r="BL477" s="12"/>
      <c r="CL477" s="12"/>
      <c r="CM477" s="12"/>
    </row>
    <row r="478" ht="15.75" customHeight="1">
      <c r="BK478" s="12"/>
      <c r="BL478" s="12"/>
      <c r="CL478" s="12"/>
      <c r="CM478" s="12"/>
    </row>
    <row r="479" ht="15.75" customHeight="1">
      <c r="BK479" s="12"/>
      <c r="BL479" s="12"/>
      <c r="CL479" s="12"/>
      <c r="CM479" s="12"/>
    </row>
    <row r="480" ht="15.75" customHeight="1">
      <c r="BK480" s="12"/>
      <c r="BL480" s="12"/>
      <c r="CL480" s="12"/>
      <c r="CM480" s="12"/>
    </row>
    <row r="481" ht="15.75" customHeight="1">
      <c r="BK481" s="12"/>
      <c r="BL481" s="12"/>
      <c r="CL481" s="12"/>
      <c r="CM481" s="12"/>
    </row>
    <row r="482" ht="15.75" customHeight="1">
      <c r="BK482" s="12"/>
      <c r="BL482" s="12"/>
      <c r="CL482" s="12"/>
      <c r="CM482" s="12"/>
    </row>
    <row r="483" ht="15.75" customHeight="1">
      <c r="BK483" s="12"/>
      <c r="BL483" s="12"/>
      <c r="CL483" s="12"/>
      <c r="CM483" s="12"/>
    </row>
    <row r="484" ht="15.75" customHeight="1">
      <c r="BK484" s="12"/>
      <c r="BL484" s="12"/>
      <c r="CL484" s="12"/>
      <c r="CM484" s="12"/>
    </row>
    <row r="485" ht="15.75" customHeight="1">
      <c r="BK485" s="12"/>
      <c r="BL485" s="12"/>
      <c r="CL485" s="12"/>
      <c r="CM485" s="12"/>
    </row>
    <row r="486" ht="15.75" customHeight="1">
      <c r="BK486" s="12"/>
      <c r="BL486" s="12"/>
      <c r="CL486" s="12"/>
      <c r="CM486" s="12"/>
    </row>
    <row r="487" ht="15.75" customHeight="1">
      <c r="BK487" s="12"/>
      <c r="BL487" s="12"/>
      <c r="CL487" s="12"/>
      <c r="CM487" s="12"/>
    </row>
    <row r="488" ht="15.75" customHeight="1">
      <c r="BK488" s="12"/>
      <c r="BL488" s="12"/>
      <c r="CL488" s="12"/>
      <c r="CM488" s="12"/>
    </row>
    <row r="489" ht="15.75" customHeight="1">
      <c r="BK489" s="12"/>
      <c r="BL489" s="12"/>
      <c r="CL489" s="12"/>
      <c r="CM489" s="12"/>
    </row>
    <row r="490" ht="15.75" customHeight="1">
      <c r="BK490" s="12"/>
      <c r="BL490" s="12"/>
      <c r="CL490" s="12"/>
      <c r="CM490" s="12"/>
    </row>
    <row r="491" ht="15.75" customHeight="1">
      <c r="BK491" s="12"/>
      <c r="BL491" s="12"/>
      <c r="CL491" s="12"/>
      <c r="CM491" s="12"/>
    </row>
    <row r="492" ht="15.75" customHeight="1">
      <c r="BK492" s="12"/>
      <c r="BL492" s="12"/>
      <c r="CL492" s="12"/>
      <c r="CM492" s="12"/>
    </row>
    <row r="493" ht="15.75" customHeight="1">
      <c r="BK493" s="12"/>
      <c r="BL493" s="12"/>
      <c r="CL493" s="12"/>
      <c r="CM493" s="12"/>
    </row>
    <row r="494" ht="15.75" customHeight="1">
      <c r="BK494" s="12"/>
      <c r="BL494" s="12"/>
      <c r="CL494" s="12"/>
      <c r="CM494" s="12"/>
    </row>
    <row r="495" ht="15.75" customHeight="1">
      <c r="BK495" s="12"/>
      <c r="BL495" s="12"/>
      <c r="CL495" s="12"/>
      <c r="CM495" s="12"/>
    </row>
    <row r="496" ht="15.75" customHeight="1">
      <c r="BK496" s="12"/>
      <c r="BL496" s="12"/>
      <c r="CL496" s="12"/>
      <c r="CM496" s="12"/>
    </row>
    <row r="497" ht="15.75" customHeight="1">
      <c r="BK497" s="12"/>
      <c r="BL497" s="12"/>
      <c r="CL497" s="12"/>
      <c r="CM497" s="12"/>
    </row>
    <row r="498" ht="15.75" customHeight="1">
      <c r="BK498" s="12"/>
      <c r="BL498" s="12"/>
      <c r="CL498" s="12"/>
      <c r="CM498" s="12"/>
    </row>
    <row r="499" ht="15.75" customHeight="1">
      <c r="BK499" s="12"/>
      <c r="BL499" s="12"/>
      <c r="CL499" s="12"/>
      <c r="CM499" s="12"/>
    </row>
    <row r="500" ht="15.75" customHeight="1">
      <c r="BK500" s="12"/>
      <c r="BL500" s="12"/>
      <c r="CL500" s="12"/>
      <c r="CM500" s="12"/>
    </row>
    <row r="501" ht="15.75" customHeight="1">
      <c r="BK501" s="12"/>
      <c r="BL501" s="12"/>
      <c r="CL501" s="12"/>
      <c r="CM501" s="12"/>
    </row>
    <row r="502" ht="15.75" customHeight="1">
      <c r="BK502" s="12"/>
      <c r="BL502" s="12"/>
      <c r="CL502" s="12"/>
      <c r="CM502" s="12"/>
    </row>
    <row r="503" ht="15.75" customHeight="1">
      <c r="BK503" s="12"/>
      <c r="BL503" s="12"/>
      <c r="CL503" s="12"/>
      <c r="CM503" s="12"/>
    </row>
    <row r="504" ht="15.75" customHeight="1">
      <c r="BK504" s="12"/>
      <c r="BL504" s="12"/>
      <c r="CL504" s="12"/>
      <c r="CM504" s="12"/>
    </row>
    <row r="505" ht="15.75" customHeight="1">
      <c r="BK505" s="12"/>
      <c r="BL505" s="12"/>
      <c r="CL505" s="12"/>
      <c r="CM505" s="12"/>
    </row>
    <row r="506" ht="15.75" customHeight="1">
      <c r="BK506" s="12"/>
      <c r="BL506" s="12"/>
      <c r="CL506" s="12"/>
      <c r="CM506" s="12"/>
    </row>
    <row r="507" ht="15.75" customHeight="1">
      <c r="BK507" s="12"/>
      <c r="BL507" s="12"/>
      <c r="CL507" s="12"/>
      <c r="CM507" s="12"/>
    </row>
    <row r="508" ht="15.75" customHeight="1">
      <c r="BK508" s="12"/>
      <c r="BL508" s="12"/>
      <c r="CL508" s="12"/>
      <c r="CM508" s="12"/>
    </row>
    <row r="509" ht="15.75" customHeight="1">
      <c r="BK509" s="12"/>
      <c r="BL509" s="12"/>
      <c r="CL509" s="12"/>
      <c r="CM509" s="12"/>
    </row>
    <row r="510" ht="15.75" customHeight="1">
      <c r="BK510" s="12"/>
      <c r="BL510" s="12"/>
      <c r="CL510" s="12"/>
      <c r="CM510" s="12"/>
    </row>
    <row r="511" ht="15.75" customHeight="1">
      <c r="BK511" s="12"/>
      <c r="BL511" s="12"/>
      <c r="CL511" s="12"/>
      <c r="CM511" s="12"/>
    </row>
    <row r="512" ht="15.75" customHeight="1">
      <c r="BK512" s="12"/>
      <c r="BL512" s="12"/>
      <c r="CL512" s="12"/>
      <c r="CM512" s="12"/>
    </row>
    <row r="513" ht="15.75" customHeight="1">
      <c r="BK513" s="12"/>
      <c r="BL513" s="12"/>
      <c r="CL513" s="12"/>
      <c r="CM513" s="12"/>
    </row>
    <row r="514" ht="15.75" customHeight="1">
      <c r="BK514" s="12"/>
      <c r="BL514" s="12"/>
      <c r="CL514" s="12"/>
      <c r="CM514" s="12"/>
    </row>
    <row r="515" ht="15.75" customHeight="1">
      <c r="BK515" s="12"/>
      <c r="BL515" s="12"/>
      <c r="CL515" s="12"/>
      <c r="CM515" s="12"/>
    </row>
    <row r="516" ht="15.75" customHeight="1">
      <c r="BK516" s="12"/>
      <c r="BL516" s="12"/>
      <c r="CL516" s="12"/>
      <c r="CM516" s="12"/>
    </row>
    <row r="517" ht="15.75" customHeight="1">
      <c r="BK517" s="12"/>
      <c r="BL517" s="12"/>
      <c r="CL517" s="12"/>
      <c r="CM517" s="12"/>
    </row>
    <row r="518" ht="15.75" customHeight="1">
      <c r="BK518" s="12"/>
      <c r="BL518" s="12"/>
      <c r="CL518" s="12"/>
      <c r="CM518" s="12"/>
    </row>
    <row r="519" ht="15.75" customHeight="1">
      <c r="BK519" s="12"/>
      <c r="BL519" s="12"/>
      <c r="CL519" s="12"/>
      <c r="CM519" s="12"/>
    </row>
    <row r="520" ht="15.75" customHeight="1">
      <c r="BK520" s="12"/>
      <c r="BL520" s="12"/>
      <c r="CL520" s="12"/>
      <c r="CM520" s="12"/>
    </row>
    <row r="521" ht="15.75" customHeight="1">
      <c r="BK521" s="12"/>
      <c r="BL521" s="12"/>
      <c r="CL521" s="12"/>
      <c r="CM521" s="12"/>
    </row>
    <row r="522" ht="15.75" customHeight="1">
      <c r="BK522" s="12"/>
      <c r="BL522" s="12"/>
      <c r="CL522" s="12"/>
      <c r="CM522" s="12"/>
    </row>
    <row r="523" ht="15.75" customHeight="1">
      <c r="BK523" s="12"/>
      <c r="BL523" s="12"/>
      <c r="CL523" s="12"/>
      <c r="CM523" s="12"/>
    </row>
    <row r="524" ht="15.75" customHeight="1">
      <c r="BK524" s="12"/>
      <c r="BL524" s="12"/>
      <c r="CL524" s="12"/>
      <c r="CM524" s="12"/>
    </row>
    <row r="525" ht="15.75" customHeight="1">
      <c r="BK525" s="12"/>
      <c r="BL525" s="12"/>
      <c r="CL525" s="12"/>
      <c r="CM525" s="12"/>
    </row>
    <row r="526" ht="15.75" customHeight="1">
      <c r="BK526" s="12"/>
      <c r="BL526" s="12"/>
      <c r="CL526" s="12"/>
      <c r="CM526" s="12"/>
    </row>
    <row r="527" ht="15.75" customHeight="1">
      <c r="BK527" s="12"/>
      <c r="BL527" s="12"/>
      <c r="CL527" s="12"/>
      <c r="CM527" s="12"/>
    </row>
    <row r="528" ht="15.75" customHeight="1">
      <c r="BK528" s="12"/>
      <c r="BL528" s="12"/>
      <c r="CL528" s="12"/>
      <c r="CM528" s="12"/>
    </row>
    <row r="529" ht="15.75" customHeight="1">
      <c r="BK529" s="12"/>
      <c r="BL529" s="12"/>
      <c r="CL529" s="12"/>
      <c r="CM529" s="12"/>
    </row>
    <row r="530" ht="15.75" customHeight="1">
      <c r="BK530" s="12"/>
      <c r="BL530" s="12"/>
      <c r="CL530" s="12"/>
      <c r="CM530" s="12"/>
    </row>
    <row r="531" ht="15.75" customHeight="1">
      <c r="BK531" s="12"/>
      <c r="BL531" s="12"/>
      <c r="CL531" s="12"/>
      <c r="CM531" s="12"/>
    </row>
    <row r="532" ht="15.75" customHeight="1">
      <c r="BK532" s="12"/>
      <c r="BL532" s="12"/>
      <c r="CL532" s="12"/>
      <c r="CM532" s="12"/>
    </row>
    <row r="533" ht="15.75" customHeight="1">
      <c r="BK533" s="12"/>
      <c r="BL533" s="12"/>
      <c r="CL533" s="12"/>
      <c r="CM533" s="12"/>
    </row>
    <row r="534" ht="15.75" customHeight="1">
      <c r="BK534" s="12"/>
      <c r="BL534" s="12"/>
      <c r="CL534" s="12"/>
      <c r="CM534" s="12"/>
    </row>
    <row r="535" ht="15.75" customHeight="1">
      <c r="BK535" s="12"/>
      <c r="BL535" s="12"/>
      <c r="CL535" s="12"/>
      <c r="CM535" s="12"/>
    </row>
    <row r="536" ht="15.75" customHeight="1">
      <c r="BK536" s="12"/>
      <c r="BL536" s="12"/>
      <c r="CL536" s="12"/>
      <c r="CM536" s="12"/>
    </row>
    <row r="537" ht="15.75" customHeight="1">
      <c r="BK537" s="12"/>
      <c r="BL537" s="12"/>
      <c r="CL537" s="12"/>
      <c r="CM537" s="12"/>
    </row>
    <row r="538" ht="15.75" customHeight="1">
      <c r="BK538" s="12"/>
      <c r="BL538" s="12"/>
      <c r="CL538" s="12"/>
      <c r="CM538" s="12"/>
    </row>
    <row r="539" ht="15.75" customHeight="1">
      <c r="BK539" s="12"/>
      <c r="BL539" s="12"/>
      <c r="CL539" s="12"/>
      <c r="CM539" s="12"/>
    </row>
    <row r="540" ht="15.75" customHeight="1">
      <c r="BK540" s="12"/>
      <c r="BL540" s="12"/>
      <c r="CL540" s="12"/>
      <c r="CM540" s="12"/>
    </row>
    <row r="541" ht="15.75" customHeight="1">
      <c r="BK541" s="12"/>
      <c r="BL541" s="12"/>
      <c r="CL541" s="12"/>
      <c r="CM541" s="12"/>
    </row>
    <row r="542" ht="15.75" customHeight="1">
      <c r="BK542" s="12"/>
      <c r="BL542" s="12"/>
      <c r="CL542" s="12"/>
      <c r="CM542" s="12"/>
    </row>
    <row r="543" ht="15.75" customHeight="1">
      <c r="BK543" s="12"/>
      <c r="BL543" s="12"/>
      <c r="CL543" s="12"/>
      <c r="CM543" s="12"/>
    </row>
    <row r="544" ht="15.75" customHeight="1">
      <c r="BK544" s="12"/>
      <c r="BL544" s="12"/>
      <c r="CL544" s="12"/>
      <c r="CM544" s="12"/>
    </row>
    <row r="545" ht="15.75" customHeight="1">
      <c r="BK545" s="12"/>
      <c r="BL545" s="12"/>
      <c r="CL545" s="12"/>
      <c r="CM545" s="12"/>
    </row>
    <row r="546" ht="15.75" customHeight="1">
      <c r="BK546" s="12"/>
      <c r="BL546" s="12"/>
      <c r="CL546" s="12"/>
      <c r="CM546" s="12"/>
    </row>
    <row r="547" ht="15.75" customHeight="1">
      <c r="BK547" s="12"/>
      <c r="BL547" s="12"/>
      <c r="CL547" s="12"/>
      <c r="CM547" s="12"/>
    </row>
    <row r="548" ht="15.75" customHeight="1">
      <c r="BK548" s="12"/>
      <c r="BL548" s="12"/>
      <c r="CL548" s="12"/>
      <c r="CM548" s="12"/>
    </row>
    <row r="549" ht="15.75" customHeight="1">
      <c r="BK549" s="12"/>
      <c r="BL549" s="12"/>
      <c r="CL549" s="12"/>
      <c r="CM549" s="12"/>
    </row>
    <row r="550" ht="15.75" customHeight="1">
      <c r="BK550" s="12"/>
      <c r="BL550" s="12"/>
      <c r="CL550" s="12"/>
      <c r="CM550" s="12"/>
    </row>
    <row r="551" ht="15.75" customHeight="1">
      <c r="BK551" s="12"/>
      <c r="BL551" s="12"/>
      <c r="CL551" s="12"/>
      <c r="CM551" s="12"/>
    </row>
    <row r="552" ht="15.75" customHeight="1">
      <c r="BK552" s="12"/>
      <c r="BL552" s="12"/>
      <c r="CL552" s="12"/>
      <c r="CM552" s="12"/>
    </row>
    <row r="553" ht="15.75" customHeight="1">
      <c r="BK553" s="12"/>
      <c r="BL553" s="12"/>
      <c r="CL553" s="12"/>
      <c r="CM553" s="12"/>
    </row>
    <row r="554" ht="15.75" customHeight="1">
      <c r="BK554" s="12"/>
      <c r="BL554" s="12"/>
      <c r="CL554" s="12"/>
      <c r="CM554" s="12"/>
    </row>
    <row r="555" ht="15.75" customHeight="1">
      <c r="BK555" s="12"/>
      <c r="BL555" s="12"/>
      <c r="CL555" s="12"/>
      <c r="CM555" s="12"/>
    </row>
    <row r="556" ht="15.75" customHeight="1">
      <c r="BK556" s="12"/>
      <c r="BL556" s="12"/>
      <c r="CL556" s="12"/>
      <c r="CM556" s="12"/>
    </row>
    <row r="557" ht="15.75" customHeight="1">
      <c r="BK557" s="12"/>
      <c r="BL557" s="12"/>
      <c r="CL557" s="12"/>
      <c r="CM557" s="12"/>
    </row>
    <row r="558" ht="15.75" customHeight="1">
      <c r="BK558" s="12"/>
      <c r="BL558" s="12"/>
      <c r="CL558" s="12"/>
      <c r="CM558" s="12"/>
    </row>
    <row r="559" ht="15.75" customHeight="1">
      <c r="BK559" s="12"/>
      <c r="BL559" s="12"/>
      <c r="CL559" s="12"/>
      <c r="CM559" s="12"/>
    </row>
    <row r="560" ht="15.75" customHeight="1">
      <c r="BK560" s="12"/>
      <c r="BL560" s="12"/>
      <c r="CL560" s="12"/>
      <c r="CM560" s="12"/>
    </row>
    <row r="561" ht="15.75" customHeight="1">
      <c r="BK561" s="12"/>
      <c r="BL561" s="12"/>
      <c r="CL561" s="12"/>
      <c r="CM561" s="12"/>
    </row>
    <row r="562" ht="15.75" customHeight="1">
      <c r="BK562" s="12"/>
      <c r="BL562" s="12"/>
      <c r="CL562" s="12"/>
      <c r="CM562" s="12"/>
    </row>
    <row r="563" ht="15.75" customHeight="1">
      <c r="BK563" s="12"/>
      <c r="BL563" s="12"/>
      <c r="CL563" s="12"/>
      <c r="CM563" s="12"/>
    </row>
    <row r="564" ht="15.75" customHeight="1">
      <c r="BK564" s="12"/>
      <c r="BL564" s="12"/>
      <c r="CL564" s="12"/>
      <c r="CM564" s="12"/>
    </row>
    <row r="565" ht="15.75" customHeight="1">
      <c r="BK565" s="12"/>
      <c r="BL565" s="12"/>
      <c r="CL565" s="12"/>
      <c r="CM565" s="12"/>
    </row>
    <row r="566" ht="15.75" customHeight="1">
      <c r="BK566" s="12"/>
      <c r="BL566" s="12"/>
      <c r="CL566" s="12"/>
      <c r="CM566" s="12"/>
    </row>
    <row r="567" ht="15.75" customHeight="1">
      <c r="BK567" s="12"/>
      <c r="BL567" s="12"/>
      <c r="CL567" s="12"/>
      <c r="CM567" s="12"/>
    </row>
    <row r="568" ht="15.75" customHeight="1">
      <c r="BK568" s="12"/>
      <c r="BL568" s="12"/>
      <c r="CL568" s="12"/>
      <c r="CM568" s="12"/>
    </row>
    <row r="569" ht="15.75" customHeight="1">
      <c r="BK569" s="12"/>
      <c r="BL569" s="12"/>
      <c r="CL569" s="12"/>
      <c r="CM569" s="12"/>
    </row>
    <row r="570" ht="15.75" customHeight="1">
      <c r="BK570" s="12"/>
      <c r="BL570" s="12"/>
      <c r="CL570" s="12"/>
      <c r="CM570" s="12"/>
    </row>
    <row r="571" ht="15.75" customHeight="1">
      <c r="BK571" s="12"/>
      <c r="BL571" s="12"/>
      <c r="CL571" s="12"/>
      <c r="CM571" s="12"/>
    </row>
    <row r="572" ht="15.75" customHeight="1">
      <c r="BK572" s="12"/>
      <c r="BL572" s="12"/>
      <c r="CL572" s="12"/>
      <c r="CM572" s="12"/>
    </row>
    <row r="573" ht="15.75" customHeight="1">
      <c r="BK573" s="12"/>
      <c r="BL573" s="12"/>
      <c r="CL573" s="12"/>
      <c r="CM573" s="12"/>
    </row>
    <row r="574" ht="15.75" customHeight="1">
      <c r="BK574" s="12"/>
      <c r="BL574" s="12"/>
      <c r="CL574" s="12"/>
      <c r="CM574" s="12"/>
    </row>
    <row r="575" ht="15.75" customHeight="1">
      <c r="BK575" s="12"/>
      <c r="BL575" s="12"/>
      <c r="CL575" s="12"/>
      <c r="CM575" s="12"/>
    </row>
    <row r="576" ht="15.75" customHeight="1">
      <c r="BK576" s="12"/>
      <c r="BL576" s="12"/>
      <c r="CL576" s="12"/>
      <c r="CM576" s="12"/>
    </row>
    <row r="577" ht="15.75" customHeight="1">
      <c r="BK577" s="12"/>
      <c r="BL577" s="12"/>
      <c r="CL577" s="12"/>
      <c r="CM577" s="12"/>
    </row>
    <row r="578" ht="15.75" customHeight="1">
      <c r="BK578" s="12"/>
      <c r="BL578" s="12"/>
      <c r="CL578" s="12"/>
      <c r="CM578" s="12"/>
    </row>
    <row r="579" ht="15.75" customHeight="1">
      <c r="BK579" s="12"/>
      <c r="BL579" s="12"/>
      <c r="CL579" s="12"/>
      <c r="CM579" s="12"/>
    </row>
    <row r="580" ht="15.75" customHeight="1">
      <c r="BK580" s="12"/>
      <c r="BL580" s="12"/>
      <c r="CL580" s="12"/>
      <c r="CM580" s="12"/>
    </row>
    <row r="581" ht="15.75" customHeight="1">
      <c r="BK581" s="12"/>
      <c r="BL581" s="12"/>
      <c r="CL581" s="12"/>
      <c r="CM581" s="12"/>
    </row>
    <row r="582" ht="15.75" customHeight="1">
      <c r="BK582" s="12"/>
      <c r="BL582" s="12"/>
      <c r="CL582" s="12"/>
      <c r="CM582" s="12"/>
    </row>
    <row r="583" ht="15.75" customHeight="1">
      <c r="BK583" s="12"/>
      <c r="BL583" s="12"/>
      <c r="CL583" s="12"/>
      <c r="CM583" s="12"/>
    </row>
    <row r="584" ht="15.75" customHeight="1">
      <c r="BK584" s="12"/>
      <c r="BL584" s="12"/>
      <c r="CL584" s="12"/>
      <c r="CM584" s="12"/>
    </row>
    <row r="585" ht="15.75" customHeight="1">
      <c r="BK585" s="12"/>
      <c r="BL585" s="12"/>
      <c r="CL585" s="12"/>
      <c r="CM585" s="12"/>
    </row>
    <row r="586" ht="15.75" customHeight="1">
      <c r="BK586" s="12"/>
      <c r="BL586" s="12"/>
      <c r="CL586" s="12"/>
      <c r="CM586" s="12"/>
    </row>
    <row r="587" ht="15.75" customHeight="1">
      <c r="BK587" s="12"/>
      <c r="BL587" s="12"/>
      <c r="CL587" s="12"/>
      <c r="CM587" s="12"/>
    </row>
    <row r="588" ht="15.75" customHeight="1">
      <c r="BK588" s="12"/>
      <c r="BL588" s="12"/>
      <c r="CL588" s="12"/>
      <c r="CM588" s="12"/>
    </row>
    <row r="589" ht="15.75" customHeight="1">
      <c r="BK589" s="12"/>
      <c r="BL589" s="12"/>
      <c r="CL589" s="12"/>
      <c r="CM589" s="12"/>
    </row>
    <row r="590" ht="15.75" customHeight="1">
      <c r="BK590" s="12"/>
      <c r="BL590" s="12"/>
      <c r="CL590" s="12"/>
      <c r="CM590" s="12"/>
    </row>
    <row r="591" ht="15.75" customHeight="1">
      <c r="BK591" s="12"/>
      <c r="BL591" s="12"/>
      <c r="CL591" s="12"/>
      <c r="CM591" s="12"/>
    </row>
    <row r="592" ht="15.75" customHeight="1">
      <c r="BK592" s="12"/>
      <c r="BL592" s="12"/>
      <c r="CL592" s="12"/>
      <c r="CM592" s="12"/>
    </row>
    <row r="593" ht="15.75" customHeight="1">
      <c r="BK593" s="12"/>
      <c r="BL593" s="12"/>
      <c r="CL593" s="12"/>
      <c r="CM593" s="12"/>
    </row>
    <row r="594" ht="15.75" customHeight="1">
      <c r="BK594" s="12"/>
      <c r="BL594" s="12"/>
      <c r="CL594" s="12"/>
      <c r="CM594" s="12"/>
    </row>
    <row r="595" ht="15.75" customHeight="1">
      <c r="BK595" s="12"/>
      <c r="BL595" s="12"/>
      <c r="CL595" s="12"/>
      <c r="CM595" s="12"/>
    </row>
    <row r="596" ht="15.75" customHeight="1">
      <c r="BK596" s="12"/>
      <c r="BL596" s="12"/>
      <c r="CL596" s="12"/>
      <c r="CM596" s="12"/>
    </row>
    <row r="597" ht="15.75" customHeight="1">
      <c r="BK597" s="12"/>
      <c r="BL597" s="12"/>
      <c r="CL597" s="12"/>
      <c r="CM597" s="12"/>
    </row>
    <row r="598" ht="15.75" customHeight="1">
      <c r="BK598" s="12"/>
      <c r="BL598" s="12"/>
      <c r="CL598" s="12"/>
      <c r="CM598" s="12"/>
    </row>
    <row r="599" ht="15.75" customHeight="1">
      <c r="BK599" s="12"/>
      <c r="BL599" s="12"/>
      <c r="CL599" s="12"/>
      <c r="CM599" s="12"/>
    </row>
    <row r="600" ht="15.75" customHeight="1">
      <c r="BK600" s="12"/>
      <c r="BL600" s="12"/>
      <c r="CL600" s="12"/>
      <c r="CM600" s="12"/>
    </row>
    <row r="601" ht="15.75" customHeight="1">
      <c r="BK601" s="12"/>
      <c r="BL601" s="12"/>
      <c r="CL601" s="12"/>
      <c r="CM601" s="12"/>
    </row>
    <row r="602" ht="15.75" customHeight="1">
      <c r="BK602" s="12"/>
      <c r="BL602" s="12"/>
      <c r="CL602" s="12"/>
      <c r="CM602" s="12"/>
    </row>
    <row r="603" ht="15.75" customHeight="1">
      <c r="BK603" s="12"/>
      <c r="BL603" s="12"/>
      <c r="CL603" s="12"/>
      <c r="CM603" s="12"/>
    </row>
    <row r="604" ht="15.75" customHeight="1">
      <c r="BK604" s="12"/>
      <c r="BL604" s="12"/>
      <c r="CL604" s="12"/>
      <c r="CM604" s="12"/>
    </row>
    <row r="605" ht="15.75" customHeight="1">
      <c r="BK605" s="12"/>
      <c r="BL605" s="12"/>
      <c r="CL605" s="12"/>
      <c r="CM605" s="12"/>
    </row>
    <row r="606" ht="15.75" customHeight="1">
      <c r="BK606" s="12"/>
      <c r="BL606" s="12"/>
      <c r="CL606" s="12"/>
      <c r="CM606" s="12"/>
    </row>
    <row r="607" ht="15.75" customHeight="1">
      <c r="BK607" s="12"/>
      <c r="BL607" s="12"/>
      <c r="CL607" s="12"/>
      <c r="CM607" s="12"/>
    </row>
    <row r="608" ht="15.75" customHeight="1">
      <c r="BK608" s="12"/>
      <c r="BL608" s="12"/>
      <c r="CL608" s="12"/>
      <c r="CM608" s="12"/>
    </row>
    <row r="609" ht="15.75" customHeight="1">
      <c r="BK609" s="12"/>
      <c r="BL609" s="12"/>
      <c r="CL609" s="12"/>
      <c r="CM609" s="12"/>
    </row>
    <row r="610" ht="15.75" customHeight="1">
      <c r="BK610" s="12"/>
      <c r="BL610" s="12"/>
      <c r="CL610" s="12"/>
      <c r="CM610" s="12"/>
    </row>
    <row r="611" ht="15.75" customHeight="1">
      <c r="BK611" s="12"/>
      <c r="BL611" s="12"/>
      <c r="CL611" s="12"/>
      <c r="CM611" s="12"/>
    </row>
    <row r="612" ht="15.75" customHeight="1">
      <c r="BK612" s="12"/>
      <c r="BL612" s="12"/>
      <c r="CL612" s="12"/>
      <c r="CM612" s="12"/>
    </row>
    <row r="613" ht="15.75" customHeight="1">
      <c r="BK613" s="12"/>
      <c r="BL613" s="12"/>
      <c r="CL613" s="12"/>
      <c r="CM613" s="12"/>
    </row>
    <row r="614" ht="15.75" customHeight="1">
      <c r="BK614" s="12"/>
      <c r="BL614" s="12"/>
      <c r="CL614" s="12"/>
      <c r="CM614" s="12"/>
    </row>
    <row r="615" ht="15.75" customHeight="1">
      <c r="BK615" s="12"/>
      <c r="BL615" s="12"/>
      <c r="CL615" s="12"/>
      <c r="CM615" s="12"/>
    </row>
    <row r="616" ht="15.75" customHeight="1">
      <c r="BK616" s="12"/>
      <c r="BL616" s="12"/>
      <c r="CL616" s="12"/>
      <c r="CM616" s="12"/>
    </row>
    <row r="617" ht="15.75" customHeight="1">
      <c r="BK617" s="12"/>
      <c r="BL617" s="12"/>
      <c r="CL617" s="12"/>
      <c r="CM617" s="12"/>
    </row>
    <row r="618" ht="15.75" customHeight="1">
      <c r="BK618" s="12"/>
      <c r="BL618" s="12"/>
      <c r="CL618" s="12"/>
      <c r="CM618" s="12"/>
    </row>
    <row r="619" ht="15.75" customHeight="1">
      <c r="BK619" s="12"/>
      <c r="BL619" s="12"/>
      <c r="CL619" s="12"/>
      <c r="CM619" s="12"/>
    </row>
    <row r="620" ht="15.75" customHeight="1">
      <c r="BK620" s="12"/>
      <c r="BL620" s="12"/>
      <c r="CL620" s="12"/>
      <c r="CM620" s="12"/>
    </row>
    <row r="621" ht="15.75" customHeight="1">
      <c r="BK621" s="12"/>
      <c r="BL621" s="12"/>
      <c r="CL621" s="12"/>
      <c r="CM621" s="12"/>
    </row>
    <row r="622" ht="15.75" customHeight="1">
      <c r="BK622" s="12"/>
      <c r="BL622" s="12"/>
      <c r="CL622" s="12"/>
      <c r="CM622" s="12"/>
    </row>
    <row r="623" ht="15.75" customHeight="1">
      <c r="BK623" s="12"/>
      <c r="BL623" s="12"/>
      <c r="CL623" s="12"/>
      <c r="CM623" s="12"/>
    </row>
    <row r="624" ht="15.75" customHeight="1">
      <c r="BK624" s="12"/>
      <c r="BL624" s="12"/>
      <c r="CL624" s="12"/>
      <c r="CM624" s="12"/>
    </row>
    <row r="625" ht="15.75" customHeight="1">
      <c r="BK625" s="12"/>
      <c r="BL625" s="12"/>
      <c r="CL625" s="12"/>
      <c r="CM625" s="12"/>
    </row>
    <row r="626" ht="15.75" customHeight="1">
      <c r="BK626" s="12"/>
      <c r="BL626" s="12"/>
      <c r="CL626" s="12"/>
      <c r="CM626" s="12"/>
    </row>
    <row r="627" ht="15.75" customHeight="1">
      <c r="BK627" s="12"/>
      <c r="BL627" s="12"/>
      <c r="CL627" s="12"/>
      <c r="CM627" s="12"/>
    </row>
    <row r="628" ht="15.75" customHeight="1">
      <c r="BK628" s="12"/>
      <c r="BL628" s="12"/>
      <c r="CL628" s="12"/>
      <c r="CM628" s="12"/>
    </row>
    <row r="629" ht="15.75" customHeight="1">
      <c r="BK629" s="12"/>
      <c r="BL629" s="12"/>
      <c r="CL629" s="12"/>
      <c r="CM629" s="12"/>
    </row>
    <row r="630" ht="15.75" customHeight="1">
      <c r="BK630" s="12"/>
      <c r="BL630" s="12"/>
      <c r="CL630" s="12"/>
      <c r="CM630" s="12"/>
    </row>
    <row r="631" ht="15.75" customHeight="1">
      <c r="BK631" s="12"/>
      <c r="BL631" s="12"/>
      <c r="CL631" s="12"/>
      <c r="CM631" s="12"/>
    </row>
    <row r="632" ht="15.75" customHeight="1">
      <c r="BK632" s="12"/>
      <c r="BL632" s="12"/>
      <c r="CL632" s="12"/>
      <c r="CM632" s="12"/>
    </row>
    <row r="633" ht="15.75" customHeight="1">
      <c r="BK633" s="12"/>
      <c r="BL633" s="12"/>
      <c r="CL633" s="12"/>
      <c r="CM633" s="12"/>
    </row>
    <row r="634" ht="15.75" customHeight="1">
      <c r="BK634" s="12"/>
      <c r="BL634" s="12"/>
      <c r="CL634" s="12"/>
      <c r="CM634" s="12"/>
    </row>
    <row r="635" ht="15.75" customHeight="1">
      <c r="BK635" s="12"/>
      <c r="BL635" s="12"/>
      <c r="CL635" s="12"/>
      <c r="CM635" s="12"/>
    </row>
    <row r="636" ht="15.75" customHeight="1">
      <c r="BK636" s="12"/>
      <c r="BL636" s="12"/>
      <c r="CL636" s="12"/>
      <c r="CM636" s="12"/>
    </row>
    <row r="637" ht="15.75" customHeight="1">
      <c r="BK637" s="12"/>
      <c r="BL637" s="12"/>
      <c r="CL637" s="12"/>
      <c r="CM637" s="12"/>
    </row>
    <row r="638" ht="15.75" customHeight="1">
      <c r="BK638" s="12"/>
      <c r="BL638" s="12"/>
      <c r="CL638" s="12"/>
      <c r="CM638" s="12"/>
    </row>
    <row r="639" ht="15.75" customHeight="1">
      <c r="BK639" s="12"/>
      <c r="BL639" s="12"/>
      <c r="CL639" s="12"/>
      <c r="CM639" s="12"/>
    </row>
    <row r="640" ht="15.75" customHeight="1">
      <c r="BK640" s="12"/>
      <c r="BL640" s="12"/>
      <c r="CL640" s="12"/>
      <c r="CM640" s="12"/>
    </row>
    <row r="641" ht="15.75" customHeight="1">
      <c r="BK641" s="12"/>
      <c r="BL641" s="12"/>
      <c r="CL641" s="12"/>
      <c r="CM641" s="12"/>
    </row>
    <row r="642" ht="15.75" customHeight="1">
      <c r="BK642" s="12"/>
      <c r="BL642" s="12"/>
      <c r="CL642" s="12"/>
      <c r="CM642" s="12"/>
    </row>
    <row r="643" ht="15.75" customHeight="1">
      <c r="BK643" s="12"/>
      <c r="BL643" s="12"/>
      <c r="CL643" s="12"/>
      <c r="CM643" s="12"/>
    </row>
    <row r="644" ht="15.75" customHeight="1">
      <c r="BK644" s="12"/>
      <c r="BL644" s="12"/>
      <c r="CL644" s="12"/>
      <c r="CM644" s="12"/>
    </row>
    <row r="645" ht="15.75" customHeight="1">
      <c r="BK645" s="12"/>
      <c r="BL645" s="12"/>
      <c r="CL645" s="12"/>
      <c r="CM645" s="12"/>
    </row>
    <row r="646" ht="15.75" customHeight="1">
      <c r="BK646" s="12"/>
      <c r="BL646" s="12"/>
      <c r="CL646" s="12"/>
      <c r="CM646" s="12"/>
    </row>
    <row r="647" ht="15.75" customHeight="1">
      <c r="BK647" s="12"/>
      <c r="BL647" s="12"/>
      <c r="CL647" s="12"/>
      <c r="CM647" s="12"/>
    </row>
    <row r="648" ht="15.75" customHeight="1">
      <c r="BK648" s="12"/>
      <c r="BL648" s="12"/>
      <c r="CL648" s="12"/>
      <c r="CM648" s="12"/>
    </row>
    <row r="649" ht="15.75" customHeight="1">
      <c r="BK649" s="12"/>
      <c r="BL649" s="12"/>
      <c r="CL649" s="12"/>
      <c r="CM649" s="12"/>
    </row>
    <row r="650" ht="15.75" customHeight="1">
      <c r="BK650" s="12"/>
      <c r="BL650" s="12"/>
      <c r="CL650" s="12"/>
      <c r="CM650" s="12"/>
    </row>
    <row r="651" ht="15.75" customHeight="1">
      <c r="BK651" s="12"/>
      <c r="BL651" s="12"/>
      <c r="CL651" s="12"/>
      <c r="CM651" s="12"/>
    </row>
    <row r="652" ht="15.75" customHeight="1">
      <c r="BK652" s="12"/>
      <c r="BL652" s="12"/>
      <c r="CL652" s="12"/>
      <c r="CM652" s="12"/>
    </row>
    <row r="653" ht="15.75" customHeight="1">
      <c r="BK653" s="12"/>
      <c r="BL653" s="12"/>
      <c r="CL653" s="12"/>
      <c r="CM653" s="12"/>
    </row>
    <row r="654" ht="15.75" customHeight="1">
      <c r="BK654" s="12"/>
      <c r="BL654" s="12"/>
      <c r="CL654" s="12"/>
      <c r="CM654" s="12"/>
    </row>
    <row r="655" ht="15.75" customHeight="1">
      <c r="BK655" s="12"/>
      <c r="BL655" s="12"/>
      <c r="CL655" s="12"/>
      <c r="CM655" s="12"/>
    </row>
    <row r="656" ht="15.75" customHeight="1">
      <c r="BK656" s="12"/>
      <c r="BL656" s="12"/>
      <c r="CL656" s="12"/>
      <c r="CM656" s="12"/>
    </row>
    <row r="657" ht="15.75" customHeight="1">
      <c r="BK657" s="12"/>
      <c r="BL657" s="12"/>
      <c r="CL657" s="12"/>
      <c r="CM657" s="12"/>
    </row>
    <row r="658" ht="15.75" customHeight="1">
      <c r="BK658" s="12"/>
      <c r="BL658" s="12"/>
      <c r="CL658" s="12"/>
      <c r="CM658" s="12"/>
    </row>
    <row r="659" ht="15.75" customHeight="1">
      <c r="BK659" s="12"/>
      <c r="BL659" s="12"/>
      <c r="CL659" s="12"/>
      <c r="CM659" s="12"/>
    </row>
    <row r="660" ht="15.75" customHeight="1">
      <c r="BK660" s="12"/>
      <c r="BL660" s="12"/>
      <c r="CL660" s="12"/>
      <c r="CM660" s="12"/>
    </row>
    <row r="661" ht="15.75" customHeight="1">
      <c r="BK661" s="12"/>
      <c r="BL661" s="12"/>
      <c r="CL661" s="12"/>
      <c r="CM661" s="12"/>
    </row>
    <row r="662" ht="15.75" customHeight="1">
      <c r="BK662" s="12"/>
      <c r="BL662" s="12"/>
      <c r="CL662" s="12"/>
      <c r="CM662" s="12"/>
    </row>
    <row r="663" ht="15.75" customHeight="1">
      <c r="BK663" s="12"/>
      <c r="BL663" s="12"/>
      <c r="CL663" s="12"/>
      <c r="CM663" s="12"/>
    </row>
    <row r="664" ht="15.75" customHeight="1">
      <c r="BK664" s="12"/>
      <c r="BL664" s="12"/>
      <c r="CL664" s="12"/>
      <c r="CM664" s="12"/>
    </row>
    <row r="665" ht="15.75" customHeight="1">
      <c r="BK665" s="12"/>
      <c r="BL665" s="12"/>
      <c r="CL665" s="12"/>
      <c r="CM665" s="12"/>
    </row>
    <row r="666" ht="15.75" customHeight="1">
      <c r="BK666" s="12"/>
      <c r="BL666" s="12"/>
      <c r="CL666" s="12"/>
      <c r="CM666" s="12"/>
    </row>
    <row r="667" ht="15.75" customHeight="1">
      <c r="BK667" s="12"/>
      <c r="BL667" s="12"/>
      <c r="CL667" s="12"/>
      <c r="CM667" s="12"/>
    </row>
    <row r="668" ht="15.75" customHeight="1">
      <c r="BK668" s="12"/>
      <c r="BL668" s="12"/>
      <c r="CL668" s="12"/>
      <c r="CM668" s="12"/>
    </row>
    <row r="669" ht="15.75" customHeight="1">
      <c r="BK669" s="12"/>
      <c r="BL669" s="12"/>
      <c r="CL669" s="12"/>
      <c r="CM669" s="12"/>
    </row>
    <row r="670" ht="15.75" customHeight="1">
      <c r="BK670" s="12"/>
      <c r="BL670" s="12"/>
      <c r="CL670" s="12"/>
      <c r="CM670" s="12"/>
    </row>
    <row r="671" ht="15.75" customHeight="1">
      <c r="BK671" s="12"/>
      <c r="BL671" s="12"/>
      <c r="CL671" s="12"/>
      <c r="CM671" s="12"/>
    </row>
    <row r="672" ht="15.75" customHeight="1">
      <c r="BK672" s="12"/>
      <c r="BL672" s="12"/>
      <c r="CL672" s="12"/>
      <c r="CM672" s="12"/>
    </row>
    <row r="673" ht="15.75" customHeight="1">
      <c r="BK673" s="12"/>
      <c r="BL673" s="12"/>
      <c r="CL673" s="12"/>
      <c r="CM673" s="12"/>
    </row>
    <row r="674" ht="15.75" customHeight="1">
      <c r="BK674" s="12"/>
      <c r="BL674" s="12"/>
      <c r="CL674" s="12"/>
      <c r="CM674" s="12"/>
    </row>
    <row r="675" ht="15.75" customHeight="1">
      <c r="BK675" s="12"/>
      <c r="BL675" s="12"/>
      <c r="CL675" s="12"/>
      <c r="CM675" s="12"/>
    </row>
    <row r="676" ht="15.75" customHeight="1">
      <c r="BK676" s="12"/>
      <c r="BL676" s="12"/>
      <c r="CL676" s="12"/>
      <c r="CM676" s="12"/>
    </row>
    <row r="677" ht="15.75" customHeight="1">
      <c r="BK677" s="12"/>
      <c r="BL677" s="12"/>
      <c r="CL677" s="12"/>
      <c r="CM677" s="12"/>
    </row>
    <row r="678" ht="15.75" customHeight="1">
      <c r="BK678" s="12"/>
      <c r="BL678" s="12"/>
      <c r="CL678" s="12"/>
      <c r="CM678" s="12"/>
    </row>
    <row r="679" ht="15.75" customHeight="1">
      <c r="BK679" s="12"/>
      <c r="BL679" s="12"/>
      <c r="CL679" s="12"/>
      <c r="CM679" s="12"/>
    </row>
    <row r="680" ht="15.75" customHeight="1">
      <c r="BK680" s="12"/>
      <c r="BL680" s="12"/>
      <c r="CL680" s="12"/>
      <c r="CM680" s="12"/>
    </row>
    <row r="681" ht="15.75" customHeight="1">
      <c r="BK681" s="12"/>
      <c r="BL681" s="12"/>
      <c r="CL681" s="12"/>
      <c r="CM681" s="12"/>
    </row>
    <row r="682" ht="15.75" customHeight="1">
      <c r="BK682" s="12"/>
      <c r="BL682" s="12"/>
      <c r="CL682" s="12"/>
      <c r="CM682" s="12"/>
    </row>
    <row r="683" ht="15.75" customHeight="1">
      <c r="BK683" s="12"/>
      <c r="BL683" s="12"/>
      <c r="CL683" s="12"/>
      <c r="CM683" s="12"/>
    </row>
    <row r="684" ht="15.75" customHeight="1">
      <c r="BK684" s="12"/>
      <c r="BL684" s="12"/>
      <c r="CL684" s="12"/>
      <c r="CM684" s="12"/>
    </row>
    <row r="685" ht="15.75" customHeight="1">
      <c r="BK685" s="12"/>
      <c r="BL685" s="12"/>
      <c r="CL685" s="12"/>
      <c r="CM685" s="12"/>
    </row>
    <row r="686" ht="15.75" customHeight="1">
      <c r="BK686" s="12"/>
      <c r="BL686" s="12"/>
      <c r="CL686" s="12"/>
      <c r="CM686" s="12"/>
    </row>
    <row r="687" ht="15.75" customHeight="1">
      <c r="BK687" s="12"/>
      <c r="BL687" s="12"/>
      <c r="CL687" s="12"/>
      <c r="CM687" s="12"/>
    </row>
    <row r="688" ht="15.75" customHeight="1">
      <c r="BK688" s="12"/>
      <c r="BL688" s="12"/>
      <c r="CL688" s="12"/>
      <c r="CM688" s="12"/>
    </row>
    <row r="689" ht="15.75" customHeight="1">
      <c r="BK689" s="12"/>
      <c r="BL689" s="12"/>
      <c r="CL689" s="12"/>
      <c r="CM689" s="12"/>
    </row>
    <row r="690" ht="15.75" customHeight="1">
      <c r="BK690" s="12"/>
      <c r="BL690" s="12"/>
      <c r="CL690" s="12"/>
      <c r="CM690" s="12"/>
    </row>
    <row r="691" ht="15.75" customHeight="1">
      <c r="BK691" s="12"/>
      <c r="BL691" s="12"/>
      <c r="CL691" s="12"/>
      <c r="CM691" s="12"/>
    </row>
    <row r="692" ht="15.75" customHeight="1">
      <c r="BK692" s="12"/>
      <c r="BL692" s="12"/>
      <c r="CL692" s="12"/>
      <c r="CM692" s="12"/>
    </row>
    <row r="693" ht="15.75" customHeight="1">
      <c r="BK693" s="12"/>
      <c r="BL693" s="12"/>
      <c r="CL693" s="12"/>
      <c r="CM693" s="12"/>
    </row>
    <row r="694" ht="15.75" customHeight="1">
      <c r="BK694" s="12"/>
      <c r="BL694" s="12"/>
      <c r="CL694" s="12"/>
      <c r="CM694" s="12"/>
    </row>
    <row r="695" ht="15.75" customHeight="1">
      <c r="BK695" s="12"/>
      <c r="BL695" s="12"/>
      <c r="CL695" s="12"/>
      <c r="CM695" s="12"/>
    </row>
    <row r="696" ht="15.75" customHeight="1">
      <c r="BK696" s="12"/>
      <c r="BL696" s="12"/>
      <c r="CL696" s="12"/>
      <c r="CM696" s="12"/>
    </row>
    <row r="697" ht="15.75" customHeight="1">
      <c r="BK697" s="12"/>
      <c r="BL697" s="12"/>
      <c r="CL697" s="12"/>
      <c r="CM697" s="12"/>
    </row>
    <row r="698" ht="15.75" customHeight="1">
      <c r="BK698" s="12"/>
      <c r="BL698" s="12"/>
      <c r="CL698" s="12"/>
      <c r="CM698" s="12"/>
    </row>
    <row r="699" ht="15.75" customHeight="1">
      <c r="BK699" s="12"/>
      <c r="BL699" s="12"/>
      <c r="CL699" s="12"/>
      <c r="CM699" s="12"/>
    </row>
    <row r="700" ht="15.75" customHeight="1">
      <c r="BK700" s="12"/>
      <c r="BL700" s="12"/>
      <c r="CL700" s="12"/>
      <c r="CM700" s="12"/>
    </row>
    <row r="701" ht="15.75" customHeight="1">
      <c r="BK701" s="12"/>
      <c r="BL701" s="12"/>
      <c r="CL701" s="12"/>
      <c r="CM701" s="12"/>
    </row>
    <row r="702" ht="15.75" customHeight="1">
      <c r="BK702" s="12"/>
      <c r="BL702" s="12"/>
      <c r="CL702" s="12"/>
      <c r="CM702" s="12"/>
    </row>
    <row r="703" ht="15.75" customHeight="1">
      <c r="BK703" s="12"/>
      <c r="BL703" s="12"/>
      <c r="CL703" s="12"/>
      <c r="CM703" s="12"/>
    </row>
    <row r="704" ht="15.75" customHeight="1">
      <c r="BK704" s="12"/>
      <c r="BL704" s="12"/>
      <c r="CL704" s="12"/>
      <c r="CM704" s="12"/>
    </row>
    <row r="705" ht="15.75" customHeight="1">
      <c r="BK705" s="12"/>
      <c r="BL705" s="12"/>
      <c r="CL705" s="12"/>
      <c r="CM705" s="12"/>
    </row>
    <row r="706" ht="15.75" customHeight="1">
      <c r="BK706" s="12"/>
      <c r="BL706" s="12"/>
      <c r="CL706" s="12"/>
      <c r="CM706" s="12"/>
    </row>
    <row r="707" ht="15.75" customHeight="1">
      <c r="BK707" s="12"/>
      <c r="BL707" s="12"/>
      <c r="CL707" s="12"/>
      <c r="CM707" s="12"/>
    </row>
    <row r="708" ht="15.75" customHeight="1">
      <c r="BK708" s="12"/>
      <c r="BL708" s="12"/>
      <c r="CL708" s="12"/>
      <c r="CM708" s="12"/>
    </row>
    <row r="709" ht="15.75" customHeight="1">
      <c r="BK709" s="12"/>
      <c r="BL709" s="12"/>
      <c r="CL709" s="12"/>
      <c r="CM709" s="12"/>
    </row>
    <row r="710" ht="15.75" customHeight="1">
      <c r="BK710" s="12"/>
      <c r="BL710" s="12"/>
      <c r="CL710" s="12"/>
      <c r="CM710" s="12"/>
    </row>
    <row r="711" ht="15.75" customHeight="1">
      <c r="BK711" s="12"/>
      <c r="BL711" s="12"/>
      <c r="CL711" s="12"/>
      <c r="CM711" s="12"/>
    </row>
    <row r="712" ht="15.75" customHeight="1">
      <c r="BK712" s="12"/>
      <c r="BL712" s="12"/>
      <c r="CL712" s="12"/>
      <c r="CM712" s="12"/>
    </row>
    <row r="713" ht="15.75" customHeight="1">
      <c r="BK713" s="12"/>
      <c r="BL713" s="12"/>
      <c r="CL713" s="12"/>
      <c r="CM713" s="12"/>
    </row>
    <row r="714" ht="15.75" customHeight="1">
      <c r="BK714" s="12"/>
      <c r="BL714" s="12"/>
      <c r="CL714" s="12"/>
      <c r="CM714" s="12"/>
    </row>
    <row r="715" ht="15.75" customHeight="1">
      <c r="BK715" s="12"/>
      <c r="BL715" s="12"/>
      <c r="CL715" s="12"/>
      <c r="CM715" s="12"/>
    </row>
    <row r="716" ht="15.75" customHeight="1">
      <c r="BK716" s="12"/>
      <c r="BL716" s="12"/>
      <c r="CL716" s="12"/>
      <c r="CM716" s="12"/>
    </row>
    <row r="717" ht="15.75" customHeight="1">
      <c r="BK717" s="12"/>
      <c r="BL717" s="12"/>
      <c r="CL717" s="12"/>
      <c r="CM717" s="12"/>
    </row>
    <row r="718" ht="15.75" customHeight="1">
      <c r="BK718" s="12"/>
      <c r="BL718" s="12"/>
      <c r="CL718" s="12"/>
      <c r="CM718" s="12"/>
    </row>
    <row r="719" ht="15.75" customHeight="1">
      <c r="BK719" s="12"/>
      <c r="BL719" s="12"/>
      <c r="CL719" s="12"/>
      <c r="CM719" s="12"/>
    </row>
    <row r="720" ht="15.75" customHeight="1">
      <c r="BK720" s="12"/>
      <c r="BL720" s="12"/>
      <c r="CL720" s="12"/>
      <c r="CM720" s="12"/>
    </row>
    <row r="721" ht="15.75" customHeight="1">
      <c r="BK721" s="12"/>
      <c r="BL721" s="12"/>
      <c r="CL721" s="12"/>
      <c r="CM721" s="12"/>
    </row>
    <row r="722" ht="15.75" customHeight="1">
      <c r="BK722" s="12"/>
      <c r="BL722" s="12"/>
      <c r="CL722" s="12"/>
      <c r="CM722" s="12"/>
    </row>
    <row r="723" ht="15.75" customHeight="1">
      <c r="BK723" s="12"/>
      <c r="BL723" s="12"/>
      <c r="CL723" s="12"/>
      <c r="CM723" s="12"/>
    </row>
    <row r="724" ht="15.75" customHeight="1">
      <c r="BK724" s="12"/>
      <c r="BL724" s="12"/>
      <c r="CL724" s="12"/>
      <c r="CM724" s="12"/>
    </row>
    <row r="725" ht="15.75" customHeight="1">
      <c r="BK725" s="12"/>
      <c r="BL725" s="12"/>
      <c r="CL725" s="12"/>
      <c r="CM725" s="12"/>
    </row>
    <row r="726" ht="15.75" customHeight="1">
      <c r="BK726" s="12"/>
      <c r="BL726" s="12"/>
      <c r="CL726" s="12"/>
      <c r="CM726" s="12"/>
    </row>
    <row r="727" ht="15.75" customHeight="1">
      <c r="BK727" s="12"/>
      <c r="BL727" s="12"/>
      <c r="CL727" s="12"/>
      <c r="CM727" s="12"/>
    </row>
    <row r="728" ht="15.75" customHeight="1">
      <c r="BK728" s="12"/>
      <c r="BL728" s="12"/>
      <c r="CL728" s="12"/>
      <c r="CM728" s="12"/>
    </row>
    <row r="729" ht="15.75" customHeight="1">
      <c r="BK729" s="12"/>
      <c r="BL729" s="12"/>
      <c r="CL729" s="12"/>
      <c r="CM729" s="12"/>
    </row>
    <row r="730" ht="15.75" customHeight="1">
      <c r="BK730" s="12"/>
      <c r="BL730" s="12"/>
      <c r="CL730" s="12"/>
      <c r="CM730" s="12"/>
    </row>
    <row r="731" ht="15.75" customHeight="1">
      <c r="BK731" s="12"/>
      <c r="BL731" s="12"/>
      <c r="CL731" s="12"/>
      <c r="CM731" s="12"/>
    </row>
    <row r="732" ht="15.75" customHeight="1">
      <c r="BK732" s="12"/>
      <c r="BL732" s="12"/>
      <c r="CL732" s="12"/>
      <c r="CM732" s="12"/>
    </row>
    <row r="733" ht="15.75" customHeight="1">
      <c r="BK733" s="12"/>
      <c r="BL733" s="12"/>
      <c r="CL733" s="12"/>
      <c r="CM733" s="12"/>
    </row>
    <row r="734" ht="15.75" customHeight="1">
      <c r="BK734" s="12"/>
      <c r="BL734" s="12"/>
      <c r="CL734" s="12"/>
      <c r="CM734" s="12"/>
    </row>
    <row r="735" ht="15.75" customHeight="1">
      <c r="BK735" s="12"/>
      <c r="BL735" s="12"/>
      <c r="CL735" s="12"/>
      <c r="CM735" s="12"/>
    </row>
    <row r="736" ht="15.75" customHeight="1">
      <c r="BK736" s="12"/>
      <c r="BL736" s="12"/>
      <c r="CL736" s="12"/>
      <c r="CM736" s="12"/>
    </row>
    <row r="737" ht="15.75" customHeight="1">
      <c r="BK737" s="12"/>
      <c r="BL737" s="12"/>
      <c r="CL737" s="12"/>
      <c r="CM737" s="12"/>
    </row>
    <row r="738" ht="15.75" customHeight="1">
      <c r="BK738" s="12"/>
      <c r="BL738" s="12"/>
      <c r="CL738" s="12"/>
      <c r="CM738" s="12"/>
    </row>
    <row r="739" ht="15.75" customHeight="1">
      <c r="BK739" s="12"/>
      <c r="BL739" s="12"/>
      <c r="CL739" s="12"/>
      <c r="CM739" s="12"/>
    </row>
    <row r="740" ht="15.75" customHeight="1">
      <c r="BK740" s="12"/>
      <c r="BL740" s="12"/>
      <c r="CL740" s="12"/>
      <c r="CM740" s="12"/>
    </row>
    <row r="741" ht="15.75" customHeight="1">
      <c r="BK741" s="12"/>
      <c r="BL741" s="12"/>
      <c r="CL741" s="12"/>
      <c r="CM741" s="12"/>
    </row>
    <row r="742" ht="15.75" customHeight="1">
      <c r="BK742" s="12"/>
      <c r="BL742" s="12"/>
      <c r="CL742" s="12"/>
      <c r="CM742" s="12"/>
    </row>
    <row r="743" ht="15.75" customHeight="1">
      <c r="BK743" s="12"/>
      <c r="BL743" s="12"/>
      <c r="CL743" s="12"/>
      <c r="CM743" s="12"/>
    </row>
    <row r="744" ht="15.75" customHeight="1">
      <c r="BK744" s="12"/>
      <c r="BL744" s="12"/>
      <c r="CL744" s="12"/>
      <c r="CM744" s="12"/>
    </row>
    <row r="745" ht="15.75" customHeight="1">
      <c r="BK745" s="12"/>
      <c r="BL745" s="12"/>
      <c r="CL745" s="12"/>
      <c r="CM745" s="12"/>
    </row>
    <row r="746" ht="15.75" customHeight="1">
      <c r="BK746" s="12"/>
      <c r="BL746" s="12"/>
      <c r="CL746" s="12"/>
      <c r="CM746" s="12"/>
    </row>
    <row r="747" ht="15.75" customHeight="1">
      <c r="BK747" s="12"/>
      <c r="BL747" s="12"/>
      <c r="CL747" s="12"/>
      <c r="CM747" s="12"/>
    </row>
    <row r="748" ht="15.75" customHeight="1">
      <c r="BK748" s="12"/>
      <c r="BL748" s="12"/>
      <c r="CL748" s="12"/>
      <c r="CM748" s="12"/>
    </row>
    <row r="749" ht="15.75" customHeight="1">
      <c r="BK749" s="12"/>
      <c r="BL749" s="12"/>
      <c r="CL749" s="12"/>
      <c r="CM749" s="12"/>
    </row>
    <row r="750" ht="15.75" customHeight="1">
      <c r="BK750" s="12"/>
      <c r="BL750" s="12"/>
      <c r="CL750" s="12"/>
      <c r="CM750" s="12"/>
    </row>
    <row r="751" ht="15.75" customHeight="1">
      <c r="BK751" s="12"/>
      <c r="BL751" s="12"/>
      <c r="CL751" s="12"/>
      <c r="CM751" s="12"/>
    </row>
    <row r="752" ht="15.75" customHeight="1">
      <c r="BK752" s="12"/>
      <c r="BL752" s="12"/>
      <c r="CL752" s="12"/>
      <c r="CM752" s="12"/>
    </row>
    <row r="753" ht="15.75" customHeight="1">
      <c r="BK753" s="12"/>
      <c r="BL753" s="12"/>
      <c r="CL753" s="12"/>
      <c r="CM753" s="12"/>
    </row>
    <row r="754" ht="15.75" customHeight="1">
      <c r="BK754" s="12"/>
      <c r="BL754" s="12"/>
      <c r="CL754" s="12"/>
      <c r="CM754" s="12"/>
    </row>
    <row r="755" ht="15.75" customHeight="1">
      <c r="BK755" s="12"/>
      <c r="BL755" s="12"/>
      <c r="CL755" s="12"/>
      <c r="CM755" s="12"/>
    </row>
    <row r="756" ht="15.75" customHeight="1">
      <c r="BK756" s="12"/>
      <c r="BL756" s="12"/>
      <c r="CL756" s="12"/>
      <c r="CM756" s="12"/>
    </row>
    <row r="757" ht="15.75" customHeight="1">
      <c r="BK757" s="12"/>
      <c r="BL757" s="12"/>
      <c r="CL757" s="12"/>
      <c r="CM757" s="12"/>
    </row>
    <row r="758" ht="15.75" customHeight="1">
      <c r="BK758" s="12"/>
      <c r="BL758" s="12"/>
      <c r="CL758" s="12"/>
      <c r="CM758" s="12"/>
    </row>
    <row r="759" ht="15.75" customHeight="1">
      <c r="BK759" s="12"/>
      <c r="BL759" s="12"/>
      <c r="CL759" s="12"/>
      <c r="CM759" s="12"/>
    </row>
    <row r="760" ht="15.75" customHeight="1">
      <c r="BK760" s="12"/>
      <c r="BL760" s="12"/>
      <c r="CL760" s="12"/>
      <c r="CM760" s="12"/>
    </row>
    <row r="761" ht="15.75" customHeight="1">
      <c r="BK761" s="12"/>
      <c r="BL761" s="12"/>
      <c r="CL761" s="12"/>
      <c r="CM761" s="12"/>
    </row>
    <row r="762" ht="15.75" customHeight="1">
      <c r="BK762" s="12"/>
      <c r="BL762" s="12"/>
      <c r="CL762" s="12"/>
      <c r="CM762" s="12"/>
    </row>
    <row r="763" ht="15.75" customHeight="1">
      <c r="BK763" s="12"/>
      <c r="BL763" s="12"/>
      <c r="CL763" s="12"/>
      <c r="CM763" s="12"/>
    </row>
    <row r="764" ht="15.75" customHeight="1">
      <c r="BK764" s="12"/>
      <c r="BL764" s="12"/>
      <c r="CL764" s="12"/>
      <c r="CM764" s="12"/>
    </row>
    <row r="765" ht="15.75" customHeight="1">
      <c r="BK765" s="12"/>
      <c r="BL765" s="12"/>
      <c r="CL765" s="12"/>
      <c r="CM765" s="12"/>
    </row>
    <row r="766" ht="15.75" customHeight="1">
      <c r="BK766" s="12"/>
      <c r="BL766" s="12"/>
      <c r="CL766" s="12"/>
      <c r="CM766" s="12"/>
    </row>
    <row r="767" ht="15.75" customHeight="1">
      <c r="BK767" s="12"/>
      <c r="BL767" s="12"/>
      <c r="CL767" s="12"/>
      <c r="CM767" s="12"/>
    </row>
    <row r="768" ht="15.75" customHeight="1">
      <c r="BK768" s="12"/>
      <c r="BL768" s="12"/>
      <c r="CL768" s="12"/>
      <c r="CM768" s="12"/>
    </row>
    <row r="769" ht="15.75" customHeight="1">
      <c r="BK769" s="12"/>
      <c r="BL769" s="12"/>
      <c r="CL769" s="12"/>
      <c r="CM769" s="12"/>
    </row>
    <row r="770" ht="15.75" customHeight="1">
      <c r="BK770" s="12"/>
      <c r="BL770" s="12"/>
      <c r="CL770" s="12"/>
      <c r="CM770" s="12"/>
    </row>
    <row r="771" ht="15.75" customHeight="1">
      <c r="BK771" s="12"/>
      <c r="BL771" s="12"/>
      <c r="CL771" s="12"/>
      <c r="CM771" s="12"/>
    </row>
    <row r="772" ht="15.75" customHeight="1">
      <c r="BK772" s="12"/>
      <c r="BL772" s="12"/>
      <c r="CL772" s="12"/>
      <c r="CM772" s="12"/>
    </row>
    <row r="773" ht="15.75" customHeight="1">
      <c r="BK773" s="12"/>
      <c r="BL773" s="12"/>
      <c r="CL773" s="12"/>
      <c r="CM773" s="12"/>
    </row>
    <row r="774" ht="15.75" customHeight="1">
      <c r="BK774" s="12"/>
      <c r="BL774" s="12"/>
      <c r="CL774" s="12"/>
      <c r="CM774" s="12"/>
    </row>
    <row r="775" ht="15.75" customHeight="1">
      <c r="BK775" s="12"/>
      <c r="BL775" s="12"/>
      <c r="CL775" s="12"/>
      <c r="CM775" s="12"/>
    </row>
    <row r="776" ht="15.75" customHeight="1">
      <c r="BK776" s="12"/>
      <c r="BL776" s="12"/>
      <c r="CL776" s="12"/>
      <c r="CM776" s="12"/>
    </row>
    <row r="777" ht="15.75" customHeight="1">
      <c r="BK777" s="12"/>
      <c r="BL777" s="12"/>
      <c r="CL777" s="12"/>
      <c r="CM777" s="12"/>
    </row>
    <row r="778" ht="15.75" customHeight="1">
      <c r="BK778" s="12"/>
      <c r="BL778" s="12"/>
      <c r="CL778" s="12"/>
      <c r="CM778" s="12"/>
    </row>
    <row r="779" ht="15.75" customHeight="1">
      <c r="BK779" s="12"/>
      <c r="BL779" s="12"/>
      <c r="CL779" s="12"/>
      <c r="CM779" s="12"/>
    </row>
    <row r="780" ht="15.75" customHeight="1">
      <c r="BK780" s="12"/>
      <c r="BL780" s="12"/>
      <c r="CL780" s="12"/>
      <c r="CM780" s="12"/>
    </row>
    <row r="781" ht="15.75" customHeight="1">
      <c r="BK781" s="12"/>
      <c r="BL781" s="12"/>
      <c r="CL781" s="12"/>
      <c r="CM781" s="12"/>
    </row>
    <row r="782" ht="15.75" customHeight="1">
      <c r="BK782" s="12"/>
      <c r="BL782" s="12"/>
      <c r="CL782" s="12"/>
      <c r="CM782" s="12"/>
    </row>
    <row r="783" ht="15.75" customHeight="1">
      <c r="BK783" s="12"/>
      <c r="BL783" s="12"/>
      <c r="CL783" s="12"/>
      <c r="CM783" s="12"/>
    </row>
    <row r="784" ht="15.75" customHeight="1">
      <c r="BK784" s="12"/>
      <c r="BL784" s="12"/>
      <c r="CL784" s="12"/>
      <c r="CM784" s="12"/>
    </row>
    <row r="785" ht="15.75" customHeight="1">
      <c r="BK785" s="12"/>
      <c r="BL785" s="12"/>
      <c r="CL785" s="12"/>
      <c r="CM785" s="12"/>
    </row>
    <row r="786" ht="15.75" customHeight="1">
      <c r="BK786" s="12"/>
      <c r="BL786" s="12"/>
      <c r="CL786" s="12"/>
      <c r="CM786" s="12"/>
    </row>
    <row r="787" ht="15.75" customHeight="1">
      <c r="BK787" s="12"/>
      <c r="BL787" s="12"/>
      <c r="CL787" s="12"/>
      <c r="CM787" s="12"/>
    </row>
    <row r="788" ht="15.75" customHeight="1">
      <c r="BK788" s="12"/>
      <c r="BL788" s="12"/>
      <c r="CL788" s="12"/>
      <c r="CM788" s="12"/>
    </row>
    <row r="789" ht="15.75" customHeight="1">
      <c r="BK789" s="12"/>
      <c r="BL789" s="12"/>
      <c r="CL789" s="12"/>
      <c r="CM789" s="12"/>
    </row>
    <row r="790" ht="15.75" customHeight="1">
      <c r="BK790" s="12"/>
      <c r="BL790" s="12"/>
      <c r="CL790" s="12"/>
      <c r="CM790" s="12"/>
    </row>
    <row r="791" ht="15.75" customHeight="1">
      <c r="BK791" s="12"/>
      <c r="BL791" s="12"/>
      <c r="CL791" s="12"/>
      <c r="CM791" s="12"/>
    </row>
    <row r="792" ht="15.75" customHeight="1">
      <c r="BK792" s="12"/>
      <c r="BL792" s="12"/>
      <c r="CL792" s="12"/>
      <c r="CM792" s="12"/>
    </row>
    <row r="793" ht="15.75" customHeight="1">
      <c r="BK793" s="12"/>
      <c r="BL793" s="12"/>
      <c r="CL793" s="12"/>
      <c r="CM793" s="12"/>
    </row>
    <row r="794" ht="15.75" customHeight="1">
      <c r="BK794" s="12"/>
      <c r="BL794" s="12"/>
      <c r="CL794" s="12"/>
      <c r="CM794" s="12"/>
    </row>
    <row r="795" ht="15.75" customHeight="1">
      <c r="BK795" s="12"/>
      <c r="BL795" s="12"/>
      <c r="CL795" s="12"/>
      <c r="CM795" s="12"/>
    </row>
    <row r="796" ht="15.75" customHeight="1">
      <c r="BK796" s="12"/>
      <c r="BL796" s="12"/>
      <c r="CL796" s="12"/>
      <c r="CM796" s="12"/>
    </row>
    <row r="797" ht="15.75" customHeight="1">
      <c r="BK797" s="12"/>
      <c r="BL797" s="12"/>
      <c r="CL797" s="12"/>
      <c r="CM797" s="12"/>
    </row>
    <row r="798" ht="15.75" customHeight="1">
      <c r="BK798" s="12"/>
      <c r="BL798" s="12"/>
      <c r="CL798" s="12"/>
      <c r="CM798" s="12"/>
    </row>
    <row r="799" ht="15.75" customHeight="1">
      <c r="BK799" s="12"/>
      <c r="BL799" s="12"/>
      <c r="CL799" s="12"/>
      <c r="CM799" s="12"/>
    </row>
    <row r="800" ht="15.75" customHeight="1">
      <c r="BK800" s="12"/>
      <c r="BL800" s="12"/>
      <c r="CL800" s="12"/>
      <c r="CM800" s="12"/>
    </row>
    <row r="801" ht="15.75" customHeight="1">
      <c r="BK801" s="12"/>
      <c r="BL801" s="12"/>
      <c r="CL801" s="12"/>
      <c r="CM801" s="12"/>
    </row>
    <row r="802" ht="15.75" customHeight="1">
      <c r="BK802" s="12"/>
      <c r="BL802" s="12"/>
      <c r="CL802" s="12"/>
      <c r="CM802" s="12"/>
    </row>
    <row r="803" ht="15.75" customHeight="1">
      <c r="BK803" s="12"/>
      <c r="BL803" s="12"/>
      <c r="CL803" s="12"/>
      <c r="CM803" s="12"/>
    </row>
    <row r="804" ht="15.75" customHeight="1">
      <c r="BK804" s="12"/>
      <c r="BL804" s="12"/>
      <c r="CL804" s="12"/>
      <c r="CM804" s="12"/>
    </row>
    <row r="805" ht="15.75" customHeight="1">
      <c r="BK805" s="12"/>
      <c r="BL805" s="12"/>
      <c r="CL805" s="12"/>
      <c r="CM805" s="12"/>
    </row>
    <row r="806" ht="15.75" customHeight="1">
      <c r="BK806" s="12"/>
      <c r="BL806" s="12"/>
      <c r="CL806" s="12"/>
      <c r="CM806" s="12"/>
    </row>
    <row r="807" ht="15.75" customHeight="1">
      <c r="BK807" s="12"/>
      <c r="BL807" s="12"/>
      <c r="CL807" s="12"/>
      <c r="CM807" s="12"/>
    </row>
    <row r="808" ht="15.75" customHeight="1">
      <c r="BK808" s="12"/>
      <c r="BL808" s="12"/>
      <c r="CL808" s="12"/>
      <c r="CM808" s="12"/>
    </row>
    <row r="809" ht="15.75" customHeight="1">
      <c r="BK809" s="12"/>
      <c r="BL809" s="12"/>
      <c r="CL809" s="12"/>
      <c r="CM809" s="12"/>
    </row>
    <row r="810" ht="15.75" customHeight="1">
      <c r="BK810" s="12"/>
      <c r="BL810" s="12"/>
      <c r="CL810" s="12"/>
      <c r="CM810" s="12"/>
    </row>
    <row r="811" ht="15.75" customHeight="1">
      <c r="BK811" s="12"/>
      <c r="BL811" s="12"/>
      <c r="CL811" s="12"/>
      <c r="CM811" s="12"/>
    </row>
    <row r="812" ht="15.75" customHeight="1">
      <c r="BK812" s="12"/>
      <c r="BL812" s="12"/>
      <c r="CL812" s="12"/>
      <c r="CM812" s="12"/>
    </row>
    <row r="813" ht="15.75" customHeight="1">
      <c r="BK813" s="12"/>
      <c r="BL813" s="12"/>
      <c r="CL813" s="12"/>
      <c r="CM813" s="12"/>
    </row>
    <row r="814" ht="15.75" customHeight="1">
      <c r="BK814" s="12"/>
      <c r="BL814" s="12"/>
      <c r="CL814" s="12"/>
      <c r="CM814" s="12"/>
    </row>
    <row r="815" ht="15.75" customHeight="1">
      <c r="BK815" s="12"/>
      <c r="BL815" s="12"/>
      <c r="CL815" s="12"/>
      <c r="CM815" s="12"/>
    </row>
    <row r="816" ht="15.75" customHeight="1">
      <c r="BK816" s="12"/>
      <c r="BL816" s="12"/>
      <c r="CL816" s="12"/>
      <c r="CM816" s="12"/>
    </row>
    <row r="817" ht="15.75" customHeight="1">
      <c r="BK817" s="12"/>
      <c r="BL817" s="12"/>
      <c r="CL817" s="12"/>
      <c r="CM817" s="12"/>
    </row>
    <row r="818" ht="15.75" customHeight="1">
      <c r="BK818" s="12"/>
      <c r="BL818" s="12"/>
      <c r="CL818" s="12"/>
      <c r="CM818" s="12"/>
    </row>
    <row r="819" ht="15.75" customHeight="1">
      <c r="BK819" s="12"/>
      <c r="BL819" s="12"/>
      <c r="CL819" s="12"/>
      <c r="CM819" s="12"/>
    </row>
    <row r="820" ht="15.75" customHeight="1">
      <c r="BK820" s="12"/>
      <c r="BL820" s="12"/>
      <c r="CL820" s="12"/>
      <c r="CM820" s="12"/>
    </row>
    <row r="821" ht="15.75" customHeight="1">
      <c r="BK821" s="12"/>
      <c r="BL821" s="12"/>
      <c r="CL821" s="12"/>
      <c r="CM821" s="12"/>
    </row>
    <row r="822" ht="15.75" customHeight="1">
      <c r="BK822" s="12"/>
      <c r="BL822" s="12"/>
      <c r="CL822" s="12"/>
      <c r="CM822" s="12"/>
    </row>
    <row r="823" ht="15.75" customHeight="1">
      <c r="BK823" s="12"/>
      <c r="BL823" s="12"/>
      <c r="CL823" s="12"/>
      <c r="CM823" s="12"/>
    </row>
    <row r="824" ht="15.75" customHeight="1">
      <c r="BK824" s="12"/>
      <c r="BL824" s="12"/>
      <c r="CL824" s="12"/>
      <c r="CM824" s="12"/>
    </row>
    <row r="825" ht="15.75" customHeight="1">
      <c r="BK825" s="12"/>
      <c r="BL825" s="12"/>
      <c r="CL825" s="12"/>
      <c r="CM825" s="12"/>
    </row>
    <row r="826" ht="15.75" customHeight="1">
      <c r="BK826" s="12"/>
      <c r="BL826" s="12"/>
      <c r="CL826" s="12"/>
      <c r="CM826" s="12"/>
    </row>
    <row r="827" ht="15.75" customHeight="1">
      <c r="BK827" s="12"/>
      <c r="BL827" s="12"/>
      <c r="CL827" s="12"/>
      <c r="CM827" s="12"/>
    </row>
    <row r="828" ht="15.75" customHeight="1">
      <c r="BK828" s="12"/>
      <c r="BL828" s="12"/>
      <c r="CL828" s="12"/>
      <c r="CM828" s="12"/>
    </row>
    <row r="829" ht="15.75" customHeight="1">
      <c r="BK829" s="12"/>
      <c r="BL829" s="12"/>
      <c r="CL829" s="12"/>
      <c r="CM829" s="12"/>
    </row>
    <row r="830" ht="15.75" customHeight="1">
      <c r="BK830" s="12"/>
      <c r="BL830" s="12"/>
      <c r="CL830" s="12"/>
      <c r="CM830" s="12"/>
    </row>
    <row r="831" ht="15.75" customHeight="1">
      <c r="BK831" s="12"/>
      <c r="BL831" s="12"/>
      <c r="CL831" s="12"/>
      <c r="CM831" s="12"/>
    </row>
    <row r="832" ht="15.75" customHeight="1">
      <c r="BK832" s="12"/>
      <c r="BL832" s="12"/>
      <c r="CL832" s="12"/>
      <c r="CM832" s="12"/>
    </row>
    <row r="833" ht="15.75" customHeight="1">
      <c r="BK833" s="12"/>
      <c r="BL833" s="12"/>
      <c r="CL833" s="12"/>
      <c r="CM833" s="12"/>
    </row>
    <row r="834" ht="15.75" customHeight="1">
      <c r="BK834" s="12"/>
      <c r="BL834" s="12"/>
      <c r="CL834" s="12"/>
      <c r="CM834" s="12"/>
    </row>
    <row r="835" ht="15.75" customHeight="1">
      <c r="BK835" s="12"/>
      <c r="BL835" s="12"/>
      <c r="CL835" s="12"/>
      <c r="CM835" s="12"/>
    </row>
    <row r="836" ht="15.75" customHeight="1">
      <c r="BK836" s="12"/>
      <c r="BL836" s="12"/>
      <c r="CL836" s="12"/>
      <c r="CM836" s="12"/>
    </row>
    <row r="837" ht="15.75" customHeight="1">
      <c r="BK837" s="12"/>
      <c r="BL837" s="12"/>
      <c r="CL837" s="12"/>
      <c r="CM837" s="12"/>
    </row>
    <row r="838" ht="15.75" customHeight="1">
      <c r="BK838" s="12"/>
      <c r="BL838" s="12"/>
      <c r="CL838" s="12"/>
      <c r="CM838" s="12"/>
    </row>
    <row r="839" ht="15.75" customHeight="1">
      <c r="BK839" s="12"/>
      <c r="BL839" s="12"/>
      <c r="CL839" s="12"/>
      <c r="CM839" s="12"/>
    </row>
    <row r="840" ht="15.75" customHeight="1">
      <c r="BK840" s="12"/>
      <c r="BL840" s="12"/>
      <c r="CL840" s="12"/>
      <c r="CM840" s="12"/>
    </row>
    <row r="841" ht="15.75" customHeight="1">
      <c r="BK841" s="12"/>
      <c r="BL841" s="12"/>
      <c r="CL841" s="12"/>
      <c r="CM841" s="12"/>
    </row>
    <row r="842" ht="15.75" customHeight="1">
      <c r="BK842" s="12"/>
      <c r="BL842" s="12"/>
      <c r="CL842" s="12"/>
      <c r="CM842" s="12"/>
    </row>
    <row r="843" ht="15.75" customHeight="1">
      <c r="BK843" s="12"/>
      <c r="BL843" s="12"/>
      <c r="CL843" s="12"/>
      <c r="CM843" s="12"/>
    </row>
    <row r="844" ht="15.75" customHeight="1">
      <c r="BK844" s="12"/>
      <c r="BL844" s="12"/>
      <c r="CL844" s="12"/>
      <c r="CM844" s="12"/>
    </row>
    <row r="845" ht="15.75" customHeight="1">
      <c r="BK845" s="12"/>
      <c r="BL845" s="12"/>
      <c r="CL845" s="12"/>
      <c r="CM845" s="12"/>
    </row>
    <row r="846" ht="15.75" customHeight="1">
      <c r="BK846" s="12"/>
      <c r="BL846" s="12"/>
      <c r="CL846" s="12"/>
      <c r="CM846" s="12"/>
    </row>
    <row r="847" ht="15.75" customHeight="1">
      <c r="BK847" s="12"/>
      <c r="BL847" s="12"/>
      <c r="CL847" s="12"/>
      <c r="CM847" s="12"/>
    </row>
    <row r="848" ht="15.75" customHeight="1">
      <c r="BK848" s="12"/>
      <c r="BL848" s="12"/>
      <c r="CL848" s="12"/>
      <c r="CM848" s="12"/>
    </row>
    <row r="849" ht="15.75" customHeight="1">
      <c r="BK849" s="12"/>
      <c r="BL849" s="12"/>
      <c r="CL849" s="12"/>
      <c r="CM849" s="12"/>
    </row>
    <row r="850" ht="15.75" customHeight="1">
      <c r="BK850" s="12"/>
      <c r="BL850" s="12"/>
      <c r="CL850" s="12"/>
      <c r="CM850" s="12"/>
    </row>
    <row r="851" ht="15.75" customHeight="1">
      <c r="BK851" s="12"/>
      <c r="BL851" s="12"/>
      <c r="CL851" s="12"/>
      <c r="CM851" s="12"/>
    </row>
    <row r="852" ht="15.75" customHeight="1">
      <c r="BK852" s="12"/>
      <c r="BL852" s="12"/>
      <c r="CL852" s="12"/>
      <c r="CM852" s="12"/>
    </row>
    <row r="853" ht="15.75" customHeight="1">
      <c r="BK853" s="12"/>
      <c r="BL853" s="12"/>
      <c r="CL853" s="12"/>
      <c r="CM853" s="12"/>
    </row>
    <row r="854" ht="15.75" customHeight="1">
      <c r="BK854" s="12"/>
      <c r="BL854" s="12"/>
      <c r="CL854" s="12"/>
      <c r="CM854" s="12"/>
    </row>
    <row r="855" ht="15.75" customHeight="1">
      <c r="BK855" s="12"/>
      <c r="BL855" s="12"/>
      <c r="CL855" s="12"/>
      <c r="CM855" s="12"/>
    </row>
    <row r="856" ht="15.75" customHeight="1">
      <c r="BK856" s="12"/>
      <c r="BL856" s="12"/>
      <c r="CL856" s="12"/>
      <c r="CM856" s="12"/>
    </row>
    <row r="857" ht="15.75" customHeight="1">
      <c r="BK857" s="12"/>
      <c r="BL857" s="12"/>
      <c r="CL857" s="12"/>
      <c r="CM857" s="12"/>
    </row>
    <row r="858" ht="15.75" customHeight="1">
      <c r="BK858" s="12"/>
      <c r="BL858" s="12"/>
      <c r="CL858" s="12"/>
      <c r="CM858" s="12"/>
    </row>
    <row r="859" ht="15.75" customHeight="1">
      <c r="BK859" s="12"/>
      <c r="BL859" s="12"/>
      <c r="CL859" s="12"/>
      <c r="CM859" s="12"/>
    </row>
    <row r="860" ht="15.75" customHeight="1">
      <c r="BK860" s="12"/>
      <c r="BL860" s="12"/>
      <c r="CL860" s="12"/>
      <c r="CM860" s="12"/>
    </row>
    <row r="861" ht="15.75" customHeight="1">
      <c r="BK861" s="12"/>
      <c r="BL861" s="12"/>
      <c r="CL861" s="12"/>
      <c r="CM861" s="12"/>
    </row>
    <row r="862" ht="15.75" customHeight="1">
      <c r="BK862" s="12"/>
      <c r="BL862" s="12"/>
      <c r="CL862" s="12"/>
      <c r="CM862" s="12"/>
    </row>
    <row r="863" ht="15.75" customHeight="1">
      <c r="BK863" s="12"/>
      <c r="BL863" s="12"/>
      <c r="CL863" s="12"/>
      <c r="CM863" s="12"/>
    </row>
    <row r="864" ht="15.75" customHeight="1">
      <c r="BK864" s="12"/>
      <c r="BL864" s="12"/>
      <c r="CL864" s="12"/>
      <c r="CM864" s="12"/>
    </row>
    <row r="865" ht="15.75" customHeight="1">
      <c r="BK865" s="12"/>
      <c r="BL865" s="12"/>
      <c r="CL865" s="12"/>
      <c r="CM865" s="12"/>
    </row>
    <row r="866" ht="15.75" customHeight="1">
      <c r="BK866" s="12"/>
      <c r="BL866" s="12"/>
      <c r="CL866" s="12"/>
      <c r="CM866" s="12"/>
    </row>
    <row r="867" ht="15.75" customHeight="1">
      <c r="BK867" s="12"/>
      <c r="BL867" s="12"/>
      <c r="CL867" s="12"/>
      <c r="CM867" s="12"/>
    </row>
    <row r="868" ht="15.75" customHeight="1">
      <c r="BK868" s="12"/>
      <c r="BL868" s="12"/>
      <c r="CL868" s="12"/>
      <c r="CM868" s="12"/>
    </row>
    <row r="869" ht="15.75" customHeight="1">
      <c r="BK869" s="12"/>
      <c r="BL869" s="12"/>
      <c r="CL869" s="12"/>
      <c r="CM869" s="12"/>
    </row>
    <row r="870" ht="15.75" customHeight="1">
      <c r="BK870" s="12"/>
      <c r="BL870" s="12"/>
      <c r="CL870" s="12"/>
      <c r="CM870" s="12"/>
    </row>
    <row r="871" ht="15.75" customHeight="1">
      <c r="BK871" s="12"/>
      <c r="BL871" s="12"/>
      <c r="CL871" s="12"/>
      <c r="CM871" s="12"/>
    </row>
    <row r="872" ht="15.75" customHeight="1">
      <c r="BK872" s="12"/>
      <c r="BL872" s="12"/>
      <c r="CL872" s="12"/>
      <c r="CM872" s="12"/>
    </row>
    <row r="873" ht="15.75" customHeight="1">
      <c r="BK873" s="12"/>
      <c r="BL873" s="12"/>
      <c r="CL873" s="12"/>
      <c r="CM873" s="12"/>
    </row>
    <row r="874" ht="15.75" customHeight="1">
      <c r="BK874" s="12"/>
      <c r="BL874" s="12"/>
      <c r="CL874" s="12"/>
      <c r="CM874" s="12"/>
    </row>
    <row r="875" ht="15.75" customHeight="1">
      <c r="BK875" s="12"/>
      <c r="BL875" s="12"/>
      <c r="CL875" s="12"/>
      <c r="CM875" s="12"/>
    </row>
    <row r="876" ht="15.75" customHeight="1">
      <c r="BK876" s="12"/>
      <c r="BL876" s="12"/>
      <c r="CL876" s="12"/>
      <c r="CM876" s="12"/>
    </row>
    <row r="877" ht="15.75" customHeight="1">
      <c r="BK877" s="12"/>
      <c r="BL877" s="12"/>
      <c r="CL877" s="12"/>
      <c r="CM877" s="12"/>
    </row>
    <row r="878" ht="15.75" customHeight="1">
      <c r="BK878" s="12"/>
      <c r="BL878" s="12"/>
      <c r="CL878" s="12"/>
      <c r="CM878" s="12"/>
    </row>
    <row r="879" ht="15.75" customHeight="1">
      <c r="BK879" s="12"/>
      <c r="BL879" s="12"/>
      <c r="CL879" s="12"/>
      <c r="CM879" s="12"/>
    </row>
    <row r="880" ht="15.75" customHeight="1">
      <c r="BK880" s="12"/>
      <c r="BL880" s="12"/>
      <c r="CL880" s="12"/>
      <c r="CM880" s="12"/>
    </row>
    <row r="881" ht="15.75" customHeight="1">
      <c r="BK881" s="12"/>
      <c r="BL881" s="12"/>
      <c r="CL881" s="12"/>
      <c r="CM881" s="12"/>
    </row>
    <row r="882" ht="15.75" customHeight="1">
      <c r="BK882" s="12"/>
      <c r="BL882" s="12"/>
      <c r="CL882" s="12"/>
      <c r="CM882" s="12"/>
    </row>
    <row r="883" ht="15.75" customHeight="1">
      <c r="BK883" s="12"/>
      <c r="BL883" s="12"/>
      <c r="CL883" s="12"/>
      <c r="CM883" s="12"/>
    </row>
    <row r="884" ht="15.75" customHeight="1">
      <c r="BK884" s="12"/>
      <c r="BL884" s="12"/>
      <c r="CL884" s="12"/>
      <c r="CM884" s="12"/>
    </row>
    <row r="885" ht="15.75" customHeight="1">
      <c r="BK885" s="12"/>
      <c r="BL885" s="12"/>
      <c r="CL885" s="12"/>
      <c r="CM885" s="12"/>
    </row>
    <row r="886" ht="15.75" customHeight="1">
      <c r="BK886" s="12"/>
      <c r="BL886" s="12"/>
      <c r="CL886" s="12"/>
      <c r="CM886" s="12"/>
    </row>
    <row r="887" ht="15.75" customHeight="1">
      <c r="BK887" s="12"/>
      <c r="BL887" s="12"/>
      <c r="CL887" s="12"/>
      <c r="CM887" s="12"/>
    </row>
    <row r="888" ht="15.75" customHeight="1">
      <c r="BK888" s="12"/>
      <c r="BL888" s="12"/>
      <c r="CL888" s="12"/>
      <c r="CM888" s="12"/>
    </row>
    <row r="889" ht="15.75" customHeight="1">
      <c r="BK889" s="12"/>
      <c r="BL889" s="12"/>
      <c r="CL889" s="12"/>
      <c r="CM889" s="12"/>
    </row>
    <row r="890" ht="15.75" customHeight="1">
      <c r="BK890" s="12"/>
      <c r="BL890" s="12"/>
      <c r="CL890" s="12"/>
      <c r="CM890" s="12"/>
    </row>
    <row r="891" ht="15.75" customHeight="1">
      <c r="BK891" s="12"/>
      <c r="BL891" s="12"/>
      <c r="CL891" s="12"/>
      <c r="CM891" s="12"/>
    </row>
    <row r="892" ht="15.75" customHeight="1">
      <c r="BK892" s="12"/>
      <c r="BL892" s="12"/>
      <c r="CL892" s="12"/>
      <c r="CM892" s="12"/>
    </row>
    <row r="893" ht="15.75" customHeight="1">
      <c r="BK893" s="12"/>
      <c r="BL893" s="12"/>
      <c r="CL893" s="12"/>
      <c r="CM893" s="12"/>
    </row>
    <row r="894" ht="15.75" customHeight="1">
      <c r="BK894" s="12"/>
      <c r="BL894" s="12"/>
      <c r="CL894" s="12"/>
      <c r="CM894" s="12"/>
    </row>
    <row r="895" ht="15.75" customHeight="1">
      <c r="BK895" s="12"/>
      <c r="BL895" s="12"/>
      <c r="CL895" s="12"/>
      <c r="CM895" s="12"/>
    </row>
    <row r="896" ht="15.75" customHeight="1">
      <c r="BK896" s="12"/>
      <c r="BL896" s="12"/>
      <c r="CL896" s="12"/>
      <c r="CM896" s="12"/>
    </row>
    <row r="897" ht="15.75" customHeight="1">
      <c r="BK897" s="12"/>
      <c r="BL897" s="12"/>
      <c r="CL897" s="12"/>
      <c r="CM897" s="12"/>
    </row>
    <row r="898" ht="15.75" customHeight="1">
      <c r="BK898" s="12"/>
      <c r="BL898" s="12"/>
      <c r="CL898" s="12"/>
      <c r="CM898" s="12"/>
    </row>
    <row r="899" ht="15.75" customHeight="1">
      <c r="BK899" s="12"/>
      <c r="BL899" s="12"/>
      <c r="CL899" s="12"/>
      <c r="CM899" s="12"/>
    </row>
    <row r="900" ht="15.75" customHeight="1">
      <c r="BK900" s="12"/>
      <c r="BL900" s="12"/>
      <c r="CL900" s="12"/>
      <c r="CM900" s="12"/>
    </row>
    <row r="901" ht="15.75" customHeight="1">
      <c r="BK901" s="12"/>
      <c r="BL901" s="12"/>
      <c r="CL901" s="12"/>
      <c r="CM901" s="12"/>
    </row>
    <row r="902" ht="15.75" customHeight="1">
      <c r="BK902" s="12"/>
      <c r="BL902" s="12"/>
      <c r="CL902" s="12"/>
      <c r="CM902" s="12"/>
    </row>
    <row r="903" ht="15.75" customHeight="1">
      <c r="BK903" s="12"/>
      <c r="BL903" s="12"/>
      <c r="CL903" s="12"/>
      <c r="CM903" s="12"/>
    </row>
    <row r="904" ht="15.75" customHeight="1">
      <c r="BK904" s="12"/>
      <c r="BL904" s="12"/>
      <c r="CL904" s="12"/>
      <c r="CM904" s="12"/>
    </row>
    <row r="905" ht="15.75" customHeight="1">
      <c r="BK905" s="12"/>
      <c r="BL905" s="12"/>
      <c r="CL905" s="12"/>
      <c r="CM905" s="12"/>
    </row>
    <row r="906" ht="15.75" customHeight="1">
      <c r="BK906" s="12"/>
      <c r="BL906" s="12"/>
      <c r="CL906" s="12"/>
      <c r="CM906" s="12"/>
    </row>
    <row r="907" ht="15.75" customHeight="1">
      <c r="BK907" s="12"/>
      <c r="BL907" s="12"/>
      <c r="CL907" s="12"/>
      <c r="CM907" s="12"/>
    </row>
    <row r="908" ht="15.75" customHeight="1">
      <c r="BK908" s="12"/>
      <c r="BL908" s="12"/>
      <c r="CL908" s="12"/>
      <c r="CM908" s="12"/>
    </row>
    <row r="909" ht="15.75" customHeight="1">
      <c r="BK909" s="12"/>
      <c r="BL909" s="12"/>
      <c r="CL909" s="12"/>
      <c r="CM909" s="12"/>
    </row>
    <row r="910" ht="15.75" customHeight="1">
      <c r="BK910" s="12"/>
      <c r="BL910" s="12"/>
      <c r="CL910" s="12"/>
      <c r="CM910" s="12"/>
    </row>
    <row r="911" ht="15.75" customHeight="1">
      <c r="BK911" s="12"/>
      <c r="BL911" s="12"/>
      <c r="CL911" s="12"/>
      <c r="CM911" s="12"/>
    </row>
    <row r="912" ht="15.75" customHeight="1">
      <c r="BK912" s="12"/>
      <c r="BL912" s="12"/>
      <c r="CL912" s="12"/>
      <c r="CM912" s="12"/>
    </row>
    <row r="913" ht="15.75" customHeight="1">
      <c r="BK913" s="12"/>
      <c r="BL913" s="12"/>
      <c r="CL913" s="12"/>
      <c r="CM913" s="12"/>
    </row>
    <row r="914" ht="15.75" customHeight="1">
      <c r="BK914" s="12"/>
      <c r="BL914" s="12"/>
      <c r="CL914" s="12"/>
      <c r="CM914" s="12"/>
    </row>
    <row r="915" ht="15.75" customHeight="1">
      <c r="BK915" s="12"/>
      <c r="BL915" s="12"/>
      <c r="CL915" s="12"/>
      <c r="CM915" s="12"/>
    </row>
    <row r="916" ht="15.75" customHeight="1">
      <c r="BK916" s="12"/>
      <c r="BL916" s="12"/>
      <c r="CL916" s="12"/>
      <c r="CM916" s="12"/>
    </row>
    <row r="917" ht="15.75" customHeight="1">
      <c r="BK917" s="12"/>
      <c r="BL917" s="12"/>
      <c r="CL917" s="12"/>
      <c r="CM917" s="12"/>
    </row>
    <row r="918" ht="15.75" customHeight="1">
      <c r="BK918" s="12"/>
      <c r="BL918" s="12"/>
      <c r="CL918" s="12"/>
      <c r="CM918" s="12"/>
    </row>
    <row r="919" ht="15.75" customHeight="1">
      <c r="BK919" s="12"/>
      <c r="BL919" s="12"/>
      <c r="CL919" s="12"/>
      <c r="CM919" s="12"/>
    </row>
    <row r="920" ht="15.75" customHeight="1">
      <c r="BK920" s="12"/>
      <c r="BL920" s="12"/>
      <c r="CL920" s="12"/>
      <c r="CM920" s="12"/>
    </row>
    <row r="921" ht="15.75" customHeight="1">
      <c r="BK921" s="12"/>
      <c r="BL921" s="12"/>
      <c r="CL921" s="12"/>
      <c r="CM921" s="12"/>
    </row>
    <row r="922" ht="15.75" customHeight="1">
      <c r="BK922" s="12"/>
      <c r="BL922" s="12"/>
      <c r="CL922" s="12"/>
      <c r="CM922" s="12"/>
    </row>
    <row r="923" ht="15.75" customHeight="1">
      <c r="BK923" s="12"/>
      <c r="BL923" s="12"/>
      <c r="CL923" s="12"/>
      <c r="CM923" s="12"/>
    </row>
    <row r="924" ht="15.75" customHeight="1">
      <c r="BK924" s="12"/>
      <c r="BL924" s="12"/>
      <c r="CL924" s="12"/>
      <c r="CM924" s="12"/>
    </row>
    <row r="925" ht="15.75" customHeight="1">
      <c r="BK925" s="12"/>
      <c r="BL925" s="12"/>
      <c r="CL925" s="12"/>
      <c r="CM925" s="12"/>
    </row>
    <row r="926" ht="15.75" customHeight="1">
      <c r="BK926" s="12"/>
      <c r="BL926" s="12"/>
      <c r="CL926" s="12"/>
      <c r="CM926" s="12"/>
    </row>
    <row r="927" ht="15.75" customHeight="1">
      <c r="BK927" s="12"/>
      <c r="BL927" s="12"/>
      <c r="CL927" s="12"/>
      <c r="CM927" s="12"/>
    </row>
    <row r="928" ht="15.75" customHeight="1">
      <c r="BK928" s="12"/>
      <c r="BL928" s="12"/>
      <c r="CL928" s="12"/>
      <c r="CM928" s="12"/>
    </row>
    <row r="929" ht="15.75" customHeight="1">
      <c r="BK929" s="12"/>
      <c r="BL929" s="12"/>
      <c r="CL929" s="12"/>
      <c r="CM929" s="12"/>
    </row>
    <row r="930" ht="15.75" customHeight="1">
      <c r="BK930" s="12"/>
      <c r="BL930" s="12"/>
      <c r="CL930" s="12"/>
      <c r="CM930" s="12"/>
    </row>
    <row r="931" ht="15.75" customHeight="1">
      <c r="BK931" s="12"/>
      <c r="BL931" s="12"/>
      <c r="CL931" s="12"/>
      <c r="CM931" s="12"/>
    </row>
    <row r="932" ht="15.75" customHeight="1">
      <c r="BK932" s="12"/>
      <c r="BL932" s="12"/>
      <c r="CL932" s="12"/>
      <c r="CM932" s="12"/>
    </row>
    <row r="933" ht="15.75" customHeight="1">
      <c r="BK933" s="12"/>
      <c r="BL933" s="12"/>
      <c r="CL933" s="12"/>
      <c r="CM933" s="12"/>
    </row>
    <row r="934" ht="15.75" customHeight="1">
      <c r="BK934" s="12"/>
      <c r="BL934" s="12"/>
      <c r="CL934" s="12"/>
      <c r="CM934" s="12"/>
    </row>
    <row r="935" ht="15.75" customHeight="1">
      <c r="BK935" s="12"/>
      <c r="BL935" s="12"/>
      <c r="CL935" s="12"/>
      <c r="CM935" s="12"/>
    </row>
    <row r="936" ht="15.75" customHeight="1">
      <c r="BK936" s="12"/>
      <c r="BL936" s="12"/>
      <c r="CL936" s="12"/>
      <c r="CM936" s="12"/>
    </row>
    <row r="937" ht="15.75" customHeight="1">
      <c r="BK937" s="12"/>
      <c r="BL937" s="12"/>
      <c r="CL937" s="12"/>
      <c r="CM937" s="12"/>
    </row>
    <row r="938" ht="15.75" customHeight="1">
      <c r="BK938" s="12"/>
      <c r="BL938" s="12"/>
      <c r="CL938" s="12"/>
      <c r="CM938" s="12"/>
    </row>
    <row r="939" ht="15.75" customHeight="1">
      <c r="BK939" s="12"/>
      <c r="BL939" s="12"/>
      <c r="CL939" s="12"/>
      <c r="CM939" s="12"/>
    </row>
    <row r="940" ht="15.75" customHeight="1">
      <c r="BK940" s="12"/>
      <c r="BL940" s="12"/>
      <c r="CL940" s="12"/>
      <c r="CM940" s="12"/>
    </row>
    <row r="941" ht="15.75" customHeight="1">
      <c r="BK941" s="12"/>
      <c r="BL941" s="12"/>
      <c r="CL941" s="12"/>
      <c r="CM941" s="12"/>
    </row>
    <row r="942" ht="15.75" customHeight="1">
      <c r="BK942" s="12"/>
      <c r="BL942" s="12"/>
      <c r="CL942" s="12"/>
      <c r="CM942" s="12"/>
    </row>
    <row r="943" ht="15.75" customHeight="1">
      <c r="BK943" s="12"/>
      <c r="BL943" s="12"/>
      <c r="CL943" s="12"/>
      <c r="CM943" s="12"/>
    </row>
    <row r="944" ht="15.75" customHeight="1">
      <c r="BK944" s="12"/>
      <c r="BL944" s="12"/>
      <c r="CL944" s="12"/>
      <c r="CM944" s="12"/>
    </row>
    <row r="945" ht="15.75" customHeight="1">
      <c r="BK945" s="12"/>
      <c r="BL945" s="12"/>
      <c r="CL945" s="12"/>
      <c r="CM945" s="12"/>
    </row>
    <row r="946" ht="15.75" customHeight="1">
      <c r="BK946" s="12"/>
      <c r="BL946" s="12"/>
      <c r="CL946" s="12"/>
      <c r="CM946" s="12"/>
    </row>
    <row r="947" ht="15.75" customHeight="1">
      <c r="BK947" s="12"/>
      <c r="BL947" s="12"/>
      <c r="CL947" s="12"/>
      <c r="CM947" s="12"/>
    </row>
    <row r="948" ht="15.75" customHeight="1">
      <c r="BK948" s="12"/>
      <c r="BL948" s="12"/>
      <c r="CL948" s="12"/>
      <c r="CM948" s="12"/>
    </row>
    <row r="949" ht="15.75" customHeight="1">
      <c r="BK949" s="12"/>
      <c r="BL949" s="12"/>
      <c r="CL949" s="12"/>
      <c r="CM949" s="12"/>
    </row>
    <row r="950" ht="15.75" customHeight="1">
      <c r="BK950" s="12"/>
      <c r="BL950" s="12"/>
      <c r="CL950" s="12"/>
      <c r="CM950" s="12"/>
    </row>
    <row r="951" ht="15.75" customHeight="1">
      <c r="BK951" s="12"/>
      <c r="BL951" s="12"/>
      <c r="CL951" s="12"/>
      <c r="CM951" s="12"/>
    </row>
    <row r="952" ht="15.75" customHeight="1">
      <c r="BK952" s="12"/>
      <c r="BL952" s="12"/>
      <c r="CL952" s="12"/>
      <c r="CM952" s="12"/>
    </row>
    <row r="953" ht="15.75" customHeight="1">
      <c r="BK953" s="12"/>
      <c r="BL953" s="12"/>
      <c r="CL953" s="12"/>
      <c r="CM953" s="12"/>
    </row>
    <row r="954" ht="15.75" customHeight="1">
      <c r="BK954" s="12"/>
      <c r="BL954" s="12"/>
      <c r="CL954" s="12"/>
      <c r="CM954" s="12"/>
    </row>
    <row r="955" ht="15.75" customHeight="1">
      <c r="BK955" s="12"/>
      <c r="BL955" s="12"/>
      <c r="CL955" s="12"/>
      <c r="CM955" s="12"/>
    </row>
    <row r="956" ht="15.75" customHeight="1">
      <c r="BK956" s="12"/>
      <c r="BL956" s="12"/>
      <c r="CL956" s="12"/>
      <c r="CM956" s="12"/>
    </row>
    <row r="957" ht="15.75" customHeight="1">
      <c r="BK957" s="12"/>
      <c r="BL957" s="12"/>
      <c r="CL957" s="12"/>
      <c r="CM957" s="12"/>
    </row>
    <row r="958" ht="15.75" customHeight="1">
      <c r="BK958" s="12"/>
      <c r="BL958" s="12"/>
      <c r="CL958" s="12"/>
      <c r="CM958" s="12"/>
    </row>
    <row r="959" ht="15.75" customHeight="1">
      <c r="BK959" s="12"/>
      <c r="BL959" s="12"/>
      <c r="CL959" s="12"/>
      <c r="CM959" s="12"/>
    </row>
    <row r="960" ht="15.75" customHeight="1">
      <c r="BK960" s="12"/>
      <c r="BL960" s="12"/>
      <c r="CL960" s="12"/>
      <c r="CM960" s="12"/>
    </row>
    <row r="961" ht="15.75" customHeight="1">
      <c r="BK961" s="12"/>
      <c r="BL961" s="12"/>
      <c r="CL961" s="12"/>
      <c r="CM961" s="12"/>
    </row>
    <row r="962" ht="15.75" customHeight="1">
      <c r="BK962" s="12"/>
      <c r="BL962" s="12"/>
      <c r="CL962" s="12"/>
      <c r="CM962" s="12"/>
    </row>
    <row r="963" ht="15.75" customHeight="1">
      <c r="BK963" s="12"/>
      <c r="BL963" s="12"/>
      <c r="CL963" s="12"/>
      <c r="CM963" s="12"/>
    </row>
    <row r="964" ht="15.75" customHeight="1">
      <c r="BK964" s="12"/>
      <c r="BL964" s="12"/>
      <c r="CL964" s="12"/>
      <c r="CM964" s="12"/>
    </row>
    <row r="965" ht="15.75" customHeight="1">
      <c r="BK965" s="12"/>
      <c r="BL965" s="12"/>
      <c r="CL965" s="12"/>
      <c r="CM965" s="12"/>
    </row>
    <row r="966" ht="15.75" customHeight="1">
      <c r="BK966" s="12"/>
      <c r="BL966" s="12"/>
      <c r="CL966" s="12"/>
      <c r="CM966" s="12"/>
    </row>
    <row r="967" ht="15.75" customHeight="1">
      <c r="BK967" s="12"/>
      <c r="BL967" s="12"/>
      <c r="CL967" s="12"/>
      <c r="CM967" s="12"/>
    </row>
    <row r="968" ht="15.75" customHeight="1">
      <c r="BK968" s="12"/>
      <c r="BL968" s="12"/>
      <c r="CL968" s="12"/>
      <c r="CM968" s="12"/>
    </row>
    <row r="969" ht="15.75" customHeight="1">
      <c r="BK969" s="12"/>
      <c r="BL969" s="12"/>
      <c r="CL969" s="12"/>
      <c r="CM969" s="12"/>
    </row>
    <row r="970" ht="15.75" customHeight="1">
      <c r="BK970" s="12"/>
      <c r="BL970" s="12"/>
      <c r="CL970" s="12"/>
      <c r="CM970" s="12"/>
    </row>
    <row r="971" ht="15.75" customHeight="1">
      <c r="BK971" s="12"/>
      <c r="BL971" s="12"/>
      <c r="CL971" s="12"/>
      <c r="CM971" s="12"/>
    </row>
    <row r="972" ht="15.75" customHeight="1">
      <c r="BK972" s="12"/>
      <c r="BL972" s="12"/>
      <c r="CL972" s="12"/>
      <c r="CM972" s="12"/>
    </row>
    <row r="973" ht="15.75" customHeight="1">
      <c r="BK973" s="12"/>
      <c r="BL973" s="12"/>
      <c r="CL973" s="12"/>
      <c r="CM973" s="12"/>
    </row>
    <row r="974" ht="15.75" customHeight="1">
      <c r="BK974" s="12"/>
      <c r="BL974" s="12"/>
      <c r="CL974" s="12"/>
      <c r="CM974" s="12"/>
    </row>
    <row r="975" ht="15.75" customHeight="1">
      <c r="BK975" s="12"/>
      <c r="BL975" s="12"/>
      <c r="CL975" s="12"/>
      <c r="CM975" s="12"/>
    </row>
    <row r="976" ht="15.75" customHeight="1">
      <c r="BK976" s="12"/>
      <c r="BL976" s="12"/>
      <c r="CL976" s="12"/>
      <c r="CM976" s="12"/>
    </row>
    <row r="977" ht="15.75" customHeight="1">
      <c r="BK977" s="12"/>
      <c r="BL977" s="12"/>
      <c r="CL977" s="12"/>
      <c r="CM977" s="12"/>
    </row>
    <row r="978" ht="15.75" customHeight="1">
      <c r="BK978" s="12"/>
      <c r="BL978" s="12"/>
      <c r="CL978" s="12"/>
      <c r="CM978" s="12"/>
    </row>
    <row r="979" ht="15.75" customHeight="1">
      <c r="BK979" s="12"/>
      <c r="BL979" s="12"/>
      <c r="CL979" s="12"/>
      <c r="CM979" s="12"/>
    </row>
    <row r="980" ht="15.75" customHeight="1">
      <c r="BK980" s="12"/>
      <c r="BL980" s="12"/>
      <c r="CL980" s="12"/>
      <c r="CM980" s="12"/>
    </row>
    <row r="981" ht="15.75" customHeight="1">
      <c r="BK981" s="12"/>
      <c r="BL981" s="12"/>
      <c r="CL981" s="12"/>
      <c r="CM981" s="12"/>
    </row>
    <row r="982" ht="15.75" customHeight="1">
      <c r="BK982" s="12"/>
      <c r="BL982" s="12"/>
      <c r="CL982" s="12"/>
      <c r="CM982" s="12"/>
    </row>
    <row r="983" ht="15.75" customHeight="1">
      <c r="BK983" s="12"/>
      <c r="BL983" s="12"/>
      <c r="CL983" s="12"/>
      <c r="CM983" s="12"/>
    </row>
    <row r="984" ht="15.75" customHeight="1">
      <c r="BK984" s="12"/>
      <c r="BL984" s="12"/>
      <c r="CL984" s="12"/>
      <c r="CM984" s="12"/>
    </row>
    <row r="985" ht="15.75" customHeight="1">
      <c r="BK985" s="12"/>
      <c r="BL985" s="12"/>
      <c r="CL985" s="12"/>
      <c r="CM985" s="12"/>
    </row>
    <row r="986" ht="15.75" customHeight="1">
      <c r="BK986" s="12"/>
      <c r="BL986" s="12"/>
      <c r="CL986" s="12"/>
      <c r="CM986" s="12"/>
    </row>
    <row r="987" ht="15.75" customHeight="1">
      <c r="BK987" s="12"/>
      <c r="BL987" s="12"/>
      <c r="CL987" s="12"/>
      <c r="CM987" s="12"/>
    </row>
    <row r="988" ht="15.75" customHeight="1">
      <c r="BK988" s="12"/>
      <c r="BL988" s="12"/>
      <c r="CL988" s="12"/>
      <c r="CM988" s="12"/>
    </row>
    <row r="989" ht="15.75" customHeight="1">
      <c r="BK989" s="12"/>
      <c r="BL989" s="12"/>
      <c r="CL989" s="12"/>
      <c r="CM989" s="12"/>
    </row>
    <row r="990" ht="15.75" customHeight="1">
      <c r="BK990" s="12"/>
      <c r="BL990" s="12"/>
      <c r="CL990" s="12"/>
      <c r="CM990" s="12"/>
    </row>
    <row r="991" ht="15.75" customHeight="1">
      <c r="BK991" s="12"/>
      <c r="BL991" s="12"/>
      <c r="CL991" s="12"/>
      <c r="CM991" s="12"/>
    </row>
    <row r="992" ht="15.75" customHeight="1">
      <c r="BK992" s="12"/>
      <c r="BL992" s="12"/>
      <c r="CL992" s="12"/>
      <c r="CM992" s="12"/>
    </row>
    <row r="993" ht="15.75" customHeight="1">
      <c r="BK993" s="12"/>
      <c r="BL993" s="12"/>
      <c r="CL993" s="12"/>
      <c r="CM993" s="12"/>
    </row>
    <row r="994" ht="15.75" customHeight="1">
      <c r="BK994" s="12"/>
      <c r="BL994" s="12"/>
      <c r="CL994" s="12"/>
      <c r="CM994" s="12"/>
    </row>
    <row r="995" ht="15.75" customHeight="1">
      <c r="BK995" s="12"/>
      <c r="BL995" s="12"/>
      <c r="CL995" s="12"/>
      <c r="CM995" s="12"/>
    </row>
    <row r="996" ht="15.75" customHeight="1">
      <c r="BK996" s="12"/>
      <c r="BL996" s="12"/>
      <c r="CL996" s="12"/>
      <c r="CM996" s="12"/>
    </row>
    <row r="997" ht="15.75" customHeight="1">
      <c r="BK997" s="12"/>
      <c r="BL997" s="12"/>
      <c r="CL997" s="12"/>
      <c r="CM997" s="12"/>
    </row>
    <row r="998" ht="15.75" customHeight="1">
      <c r="BK998" s="12"/>
      <c r="BL998" s="12"/>
      <c r="CL998" s="12"/>
      <c r="CM998" s="12"/>
    </row>
    <row r="999" ht="15.75" customHeight="1">
      <c r="BK999" s="12"/>
      <c r="BL999" s="12"/>
      <c r="CL999" s="12"/>
      <c r="CM999" s="12"/>
    </row>
    <row r="1000" ht="15.75" customHeight="1">
      <c r="BK1000" s="12"/>
      <c r="BL1000" s="12"/>
      <c r="CL1000" s="12"/>
      <c r="CM1000" s="12"/>
    </row>
  </sheetData>
  <mergeCells count="52">
    <mergeCell ref="W5:AA5"/>
    <mergeCell ref="T4:T6"/>
    <mergeCell ref="U4:U6"/>
    <mergeCell ref="V4:V6"/>
    <mergeCell ref="E4:S4"/>
    <mergeCell ref="E5:I5"/>
    <mergeCell ref="A4:A6"/>
    <mergeCell ref="B4:B6"/>
    <mergeCell ref="C4:C6"/>
    <mergeCell ref="D4:D6"/>
    <mergeCell ref="W4:AJ4"/>
    <mergeCell ref="AL4:AL6"/>
    <mergeCell ref="AM4:AM6"/>
    <mergeCell ref="J5:N5"/>
    <mergeCell ref="O5:S5"/>
    <mergeCell ref="AB5:AF5"/>
    <mergeCell ref="AG5:AJ5"/>
    <mergeCell ref="AO5:AR5"/>
    <mergeCell ref="AS5:AV5"/>
    <mergeCell ref="AW5:AZ5"/>
    <mergeCell ref="BA5:BD5"/>
    <mergeCell ref="BE5:BF5"/>
    <mergeCell ref="BG5:BH5"/>
    <mergeCell ref="AK4:AK6"/>
    <mergeCell ref="AN4:AN6"/>
    <mergeCell ref="AO4:BH4"/>
    <mergeCell ref="CJ4:CJ6"/>
    <mergeCell ref="CK4:CK6"/>
    <mergeCell ref="CL4:CL6"/>
    <mergeCell ref="BI4:BI6"/>
    <mergeCell ref="DK4:DK6"/>
    <mergeCell ref="BM5:BP5"/>
    <mergeCell ref="BQ5:BT5"/>
    <mergeCell ref="BL4:BL6"/>
    <mergeCell ref="DN4:DN6"/>
    <mergeCell ref="DL4:DL6"/>
    <mergeCell ref="DM4:DM6"/>
    <mergeCell ref="CN4:DJ4"/>
    <mergeCell ref="BY5:CB5"/>
    <mergeCell ref="CC5:CF5"/>
    <mergeCell ref="CN5:CQ5"/>
    <mergeCell ref="CR5:CU5"/>
    <mergeCell ref="CV5:CY5"/>
    <mergeCell ref="CZ5:DC5"/>
    <mergeCell ref="DD5:DG5"/>
    <mergeCell ref="DH5:DJ5"/>
    <mergeCell ref="CG5:CI5"/>
    <mergeCell ref="CM4:CM6"/>
    <mergeCell ref="BU5:BX5"/>
    <mergeCell ref="BM4:CI4"/>
    <mergeCell ref="BJ4:BJ6"/>
    <mergeCell ref="BK4:BK6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35.0"/>
    <col customWidth="1" min="3" max="3" width="37.63"/>
    <col customWidth="1" min="4" max="5" width="21.0"/>
    <col customWidth="1" min="6" max="7" width="22.75"/>
    <col customWidth="1" min="8" max="8" width="23.63"/>
    <col customWidth="1" min="9" max="10" width="24.5"/>
    <col customWidth="1" min="11" max="24" width="7.63"/>
  </cols>
  <sheetData>
    <row r="1" ht="27.75" customHeight="1">
      <c r="A1" s="4" t="s">
        <v>0</v>
      </c>
      <c r="B1" s="4" t="s">
        <v>1</v>
      </c>
      <c r="C1" s="4" t="s">
        <v>2</v>
      </c>
      <c r="D1" s="4" t="s">
        <v>4</v>
      </c>
      <c r="E1" s="4" t="s">
        <v>16</v>
      </c>
      <c r="F1" s="4" t="s">
        <v>17</v>
      </c>
      <c r="G1" s="4" t="s">
        <v>18</v>
      </c>
      <c r="H1" s="4" t="s">
        <v>5</v>
      </c>
      <c r="I1" s="4" t="s">
        <v>6</v>
      </c>
      <c r="J1" s="4" t="s">
        <v>7</v>
      </c>
    </row>
    <row r="2" ht="19.5" customHeight="1">
      <c r="A2" s="6">
        <v>1.0</v>
      </c>
      <c r="B2" s="8" t="s">
        <v>9</v>
      </c>
      <c r="C2" s="8" t="s">
        <v>14</v>
      </c>
      <c r="D2" s="6">
        <v>8230000.0</v>
      </c>
      <c r="E2" s="8" t="s">
        <v>26</v>
      </c>
      <c r="F2" s="8" t="s">
        <v>27</v>
      </c>
      <c r="G2" s="8" t="s">
        <v>29</v>
      </c>
      <c r="H2" s="8" t="s">
        <v>19</v>
      </c>
      <c r="I2" s="8" t="s">
        <v>20</v>
      </c>
      <c r="J2" s="8" t="s">
        <v>21</v>
      </c>
    </row>
    <row r="3" ht="19.5" customHeight="1">
      <c r="A3" s="9">
        <v>2.0</v>
      </c>
      <c r="B3" s="11" t="s">
        <v>9</v>
      </c>
      <c r="C3" s="11" t="s">
        <v>23</v>
      </c>
      <c r="D3" s="9">
        <v>7348000.0</v>
      </c>
      <c r="E3" s="11" t="s">
        <v>26</v>
      </c>
      <c r="F3" s="11" t="s">
        <v>42</v>
      </c>
      <c r="G3" s="11" t="s">
        <v>45</v>
      </c>
      <c r="H3" s="11" t="s">
        <v>28</v>
      </c>
      <c r="I3" s="11" t="s">
        <v>30</v>
      </c>
      <c r="J3" s="11" t="s">
        <v>31</v>
      </c>
    </row>
    <row r="4" ht="19.5" customHeight="1">
      <c r="A4" s="6">
        <v>3.0</v>
      </c>
      <c r="B4" s="8" t="s">
        <v>9</v>
      </c>
      <c r="C4" s="8" t="s">
        <v>33</v>
      </c>
      <c r="D4" s="6">
        <v>7642000.0</v>
      </c>
      <c r="E4" s="8" t="s">
        <v>26</v>
      </c>
      <c r="F4" s="8" t="s">
        <v>54</v>
      </c>
      <c r="G4" s="8" t="s">
        <v>56</v>
      </c>
      <c r="H4" s="8" t="s">
        <v>34</v>
      </c>
      <c r="I4" s="8" t="s">
        <v>38</v>
      </c>
      <c r="J4" s="8" t="s">
        <v>36</v>
      </c>
    </row>
    <row r="5" ht="19.5" customHeight="1">
      <c r="A5" s="9">
        <v>4.0</v>
      </c>
      <c r="B5" s="11" t="s">
        <v>9</v>
      </c>
      <c r="C5" s="11" t="s">
        <v>37</v>
      </c>
      <c r="D5" s="9">
        <v>7642000.0</v>
      </c>
      <c r="E5" s="11" t="s">
        <v>26</v>
      </c>
      <c r="F5" s="11" t="s">
        <v>54</v>
      </c>
      <c r="G5" s="11" t="s">
        <v>56</v>
      </c>
      <c r="H5" s="11" t="s">
        <v>34</v>
      </c>
      <c r="I5" s="11" t="s">
        <v>38</v>
      </c>
      <c r="J5" s="11" t="s">
        <v>36</v>
      </c>
    </row>
    <row r="6" ht="19.5" customHeight="1">
      <c r="A6" s="6">
        <v>5.0</v>
      </c>
      <c r="B6" s="8" t="s">
        <v>46</v>
      </c>
      <c r="C6" s="8" t="s">
        <v>47</v>
      </c>
      <c r="D6" s="6">
        <v>2.6355E7</v>
      </c>
      <c r="E6" s="8" t="s">
        <v>26</v>
      </c>
      <c r="F6" s="8" t="s">
        <v>75</v>
      </c>
      <c r="G6" s="8" t="s">
        <v>76</v>
      </c>
      <c r="H6" s="8" t="s">
        <v>48</v>
      </c>
      <c r="I6" s="8" t="s">
        <v>49</v>
      </c>
      <c r="J6" s="8" t="s">
        <v>50</v>
      </c>
    </row>
    <row r="7" ht="19.5" customHeight="1">
      <c r="A7" s="9">
        <v>6.0</v>
      </c>
      <c r="B7" s="11" t="s">
        <v>52</v>
      </c>
      <c r="C7" s="11" t="s">
        <v>53</v>
      </c>
      <c r="D7" s="9">
        <v>7642000.0</v>
      </c>
      <c r="E7" s="11" t="s">
        <v>26</v>
      </c>
      <c r="F7" s="11" t="s">
        <v>54</v>
      </c>
      <c r="G7" s="11" t="s">
        <v>56</v>
      </c>
      <c r="H7" s="11" t="s">
        <v>34</v>
      </c>
      <c r="I7" s="11" t="s">
        <v>38</v>
      </c>
      <c r="J7" s="11" t="s">
        <v>36</v>
      </c>
    </row>
    <row r="8" ht="19.5" customHeight="1">
      <c r="A8" s="6">
        <v>7.0</v>
      </c>
      <c r="B8" s="8" t="s">
        <v>57</v>
      </c>
      <c r="C8" s="8" t="s">
        <v>58</v>
      </c>
      <c r="D8" s="6">
        <v>1.2238E7</v>
      </c>
      <c r="E8" s="8" t="s">
        <v>26</v>
      </c>
      <c r="F8" s="8" t="s">
        <v>91</v>
      </c>
      <c r="G8" s="8" t="s">
        <v>92</v>
      </c>
      <c r="H8" s="8" t="s">
        <v>60</v>
      </c>
      <c r="I8" s="8" t="s">
        <v>61</v>
      </c>
      <c r="J8" s="8" t="s">
        <v>62</v>
      </c>
    </row>
    <row r="9" ht="19.5" customHeight="1">
      <c r="A9" s="9">
        <v>8.0</v>
      </c>
      <c r="B9" s="11" t="s">
        <v>57</v>
      </c>
      <c r="C9" s="11" t="s">
        <v>63</v>
      </c>
      <c r="D9" s="9">
        <v>1.1767E7</v>
      </c>
      <c r="E9" s="11" t="s">
        <v>26</v>
      </c>
      <c r="F9" s="11" t="s">
        <v>96</v>
      </c>
      <c r="G9" s="11" t="s">
        <v>97</v>
      </c>
      <c r="H9" s="11" t="s">
        <v>99</v>
      </c>
      <c r="I9" s="11" t="s">
        <v>66</v>
      </c>
      <c r="J9" s="11" t="s">
        <v>67</v>
      </c>
    </row>
    <row r="10" ht="19.5" customHeight="1">
      <c r="A10" s="6">
        <v>9.0</v>
      </c>
      <c r="B10" s="8" t="s">
        <v>57</v>
      </c>
      <c r="C10" s="8" t="s">
        <v>68</v>
      </c>
      <c r="D10" s="6">
        <v>1.365E7</v>
      </c>
      <c r="E10" s="8" t="s">
        <v>26</v>
      </c>
      <c r="F10" s="8" t="s">
        <v>110</v>
      </c>
      <c r="G10" s="8" t="s">
        <v>112</v>
      </c>
      <c r="H10" s="8" t="s">
        <v>69</v>
      </c>
      <c r="I10" s="8" t="s">
        <v>70</v>
      </c>
      <c r="J10" s="8" t="s">
        <v>71</v>
      </c>
    </row>
    <row r="11" ht="19.5" customHeight="1">
      <c r="A11" s="9">
        <v>10.0</v>
      </c>
      <c r="B11" s="11" t="s">
        <v>57</v>
      </c>
      <c r="C11" s="11" t="s">
        <v>72</v>
      </c>
      <c r="D11" s="9">
        <v>1.365E7</v>
      </c>
      <c r="E11" s="11" t="s">
        <v>26</v>
      </c>
      <c r="F11" s="11" t="s">
        <v>110</v>
      </c>
      <c r="G11" s="11" t="s">
        <v>112</v>
      </c>
      <c r="H11" s="11" t="s">
        <v>69</v>
      </c>
      <c r="I11" s="11" t="s">
        <v>70</v>
      </c>
      <c r="J11" s="11" t="s">
        <v>71</v>
      </c>
    </row>
    <row r="12" ht="19.5" customHeight="1">
      <c r="A12" s="6">
        <v>11.0</v>
      </c>
      <c r="B12" s="8" t="s">
        <v>57</v>
      </c>
      <c r="C12" s="8" t="s">
        <v>77</v>
      </c>
      <c r="D12" s="6">
        <v>1.2709E7</v>
      </c>
      <c r="E12" s="8" t="s">
        <v>26</v>
      </c>
      <c r="F12" s="8" t="s">
        <v>131</v>
      </c>
      <c r="G12" s="8" t="s">
        <v>132</v>
      </c>
      <c r="H12" s="8" t="s">
        <v>133</v>
      </c>
      <c r="I12" s="8" t="s">
        <v>79</v>
      </c>
      <c r="J12" s="8" t="s">
        <v>80</v>
      </c>
    </row>
    <row r="13" ht="19.5" customHeight="1">
      <c r="A13" s="9">
        <v>12.0</v>
      </c>
      <c r="B13" s="11" t="s">
        <v>57</v>
      </c>
      <c r="C13" s="11" t="s">
        <v>82</v>
      </c>
      <c r="D13" s="9">
        <v>1.1767E7</v>
      </c>
      <c r="E13" s="11" t="s">
        <v>26</v>
      </c>
      <c r="F13" s="11" t="s">
        <v>96</v>
      </c>
      <c r="G13" s="11" t="s">
        <v>97</v>
      </c>
      <c r="H13" s="11" t="s">
        <v>99</v>
      </c>
      <c r="I13" s="11" t="s">
        <v>66</v>
      </c>
      <c r="J13" s="11" t="s">
        <v>67</v>
      </c>
    </row>
    <row r="14" ht="19.5" customHeight="1">
      <c r="A14" s="6">
        <v>13.0</v>
      </c>
      <c r="B14" s="8" t="s">
        <v>57</v>
      </c>
      <c r="C14" s="8" t="s">
        <v>85</v>
      </c>
      <c r="D14" s="6">
        <v>1.5343E7</v>
      </c>
      <c r="E14" s="8" t="s">
        <v>26</v>
      </c>
      <c r="F14" s="8" t="s">
        <v>140</v>
      </c>
      <c r="G14" s="8" t="s">
        <v>142</v>
      </c>
      <c r="H14" s="8" t="s">
        <v>86</v>
      </c>
      <c r="I14" s="8" t="s">
        <v>87</v>
      </c>
      <c r="J14" s="8" t="s">
        <v>89</v>
      </c>
    </row>
    <row r="15" ht="19.5" customHeight="1">
      <c r="A15" s="9">
        <v>14.0</v>
      </c>
      <c r="B15" s="11" t="s">
        <v>57</v>
      </c>
      <c r="C15" s="11" t="s">
        <v>90</v>
      </c>
      <c r="D15" s="9">
        <v>1.1767E7</v>
      </c>
      <c r="E15" s="11" t="s">
        <v>26</v>
      </c>
      <c r="F15" s="11" t="s">
        <v>96</v>
      </c>
      <c r="G15" s="11" t="s">
        <v>97</v>
      </c>
      <c r="H15" s="11" t="s">
        <v>84</v>
      </c>
      <c r="I15" s="11" t="s">
        <v>66</v>
      </c>
      <c r="J15" s="11" t="s">
        <v>67</v>
      </c>
    </row>
    <row r="16" ht="19.5" customHeight="1">
      <c r="A16" s="6">
        <v>15.0</v>
      </c>
      <c r="B16" s="8" t="s">
        <v>57</v>
      </c>
      <c r="C16" s="8" t="s">
        <v>88</v>
      </c>
      <c r="D16" s="6">
        <v>1.365E7</v>
      </c>
      <c r="E16" s="8" t="s">
        <v>26</v>
      </c>
      <c r="F16" s="8" t="s">
        <v>110</v>
      </c>
      <c r="G16" s="8" t="s">
        <v>112</v>
      </c>
      <c r="H16" s="8" t="s">
        <v>69</v>
      </c>
      <c r="I16" s="8" t="s">
        <v>154</v>
      </c>
      <c r="J16" s="8" t="s">
        <v>71</v>
      </c>
    </row>
    <row r="17" ht="19.5" customHeight="1">
      <c r="A17" s="9">
        <v>16.0</v>
      </c>
      <c r="B17" s="11" t="s">
        <v>57</v>
      </c>
      <c r="C17" s="11" t="s">
        <v>95</v>
      </c>
      <c r="D17" s="9">
        <v>1.1767E7</v>
      </c>
      <c r="E17" s="11" t="s">
        <v>26</v>
      </c>
      <c r="F17" s="11" t="s">
        <v>96</v>
      </c>
      <c r="G17" s="11" t="s">
        <v>97</v>
      </c>
      <c r="H17" s="11" t="s">
        <v>84</v>
      </c>
      <c r="I17" s="11" t="s">
        <v>66</v>
      </c>
      <c r="J17" s="11" t="s">
        <v>67</v>
      </c>
    </row>
    <row r="18" ht="19.5" customHeight="1">
      <c r="A18" s="6">
        <v>17.0</v>
      </c>
      <c r="B18" s="8" t="s">
        <v>57</v>
      </c>
      <c r="C18" s="8" t="s">
        <v>93</v>
      </c>
      <c r="D18" s="6">
        <v>1.365E7</v>
      </c>
      <c r="E18" s="8" t="s">
        <v>26</v>
      </c>
      <c r="F18" s="8" t="s">
        <v>110</v>
      </c>
      <c r="G18" s="8" t="s">
        <v>112</v>
      </c>
      <c r="H18" s="8" t="s">
        <v>69</v>
      </c>
      <c r="I18" s="8" t="s">
        <v>70</v>
      </c>
      <c r="J18" s="8" t="s">
        <v>71</v>
      </c>
    </row>
    <row r="19" ht="19.5" customHeight="1">
      <c r="A19" s="9">
        <v>18.0</v>
      </c>
      <c r="B19" s="11" t="s">
        <v>100</v>
      </c>
      <c r="C19" s="11" t="s">
        <v>102</v>
      </c>
      <c r="D19" s="9">
        <v>1.0857E7</v>
      </c>
      <c r="E19" s="11" t="s">
        <v>26</v>
      </c>
      <c r="F19" s="11" t="s">
        <v>167</v>
      </c>
      <c r="G19" s="11" t="s">
        <v>170</v>
      </c>
      <c r="H19" s="11" t="s">
        <v>103</v>
      </c>
      <c r="I19" s="11" t="s">
        <v>104</v>
      </c>
      <c r="J19" s="11" t="s">
        <v>105</v>
      </c>
    </row>
    <row r="20" ht="19.5" customHeight="1">
      <c r="A20" s="6">
        <v>19.0</v>
      </c>
      <c r="B20" s="8" t="s">
        <v>100</v>
      </c>
      <c r="C20" s="8" t="s">
        <v>106</v>
      </c>
      <c r="D20" s="6">
        <v>1.1463E7</v>
      </c>
      <c r="E20" s="8" t="s">
        <v>26</v>
      </c>
      <c r="F20" s="8" t="s">
        <v>175</v>
      </c>
      <c r="G20" s="8" t="s">
        <v>177</v>
      </c>
      <c r="H20" s="8" t="s">
        <v>107</v>
      </c>
      <c r="I20" s="8" t="s">
        <v>109</v>
      </c>
      <c r="J20" s="8" t="s">
        <v>121</v>
      </c>
    </row>
    <row r="21" ht="19.5" customHeight="1">
      <c r="A21" s="9">
        <v>20.0</v>
      </c>
      <c r="B21" s="11" t="s">
        <v>100</v>
      </c>
      <c r="C21" s="11" t="s">
        <v>115</v>
      </c>
      <c r="D21" s="9">
        <v>1.0857E7</v>
      </c>
      <c r="E21" s="11" t="s">
        <v>26</v>
      </c>
      <c r="F21" s="11" t="s">
        <v>167</v>
      </c>
      <c r="G21" s="11" t="s">
        <v>170</v>
      </c>
      <c r="H21" s="11" t="s">
        <v>103</v>
      </c>
      <c r="I21" s="11" t="s">
        <v>104</v>
      </c>
      <c r="J21" s="11" t="s">
        <v>105</v>
      </c>
    </row>
    <row r="22" ht="19.5" customHeight="1">
      <c r="A22" s="6">
        <v>21.0</v>
      </c>
      <c r="B22" s="8" t="s">
        <v>100</v>
      </c>
      <c r="C22" s="8" t="s">
        <v>119</v>
      </c>
      <c r="D22" s="6">
        <v>1.1055E7</v>
      </c>
      <c r="E22" s="8" t="s">
        <v>26</v>
      </c>
      <c r="F22" s="8" t="s">
        <v>185</v>
      </c>
      <c r="G22" s="8" t="s">
        <v>186</v>
      </c>
      <c r="H22" s="8" t="s">
        <v>116</v>
      </c>
      <c r="I22" s="8" t="s">
        <v>117</v>
      </c>
      <c r="J22" s="8" t="s">
        <v>191</v>
      </c>
    </row>
    <row r="23" ht="19.5" customHeight="1">
      <c r="A23" s="9">
        <v>22.0</v>
      </c>
      <c r="B23" s="11" t="s">
        <v>100</v>
      </c>
      <c r="C23" s="11" t="s">
        <v>125</v>
      </c>
      <c r="D23" s="9">
        <v>1.1463E7</v>
      </c>
      <c r="E23" s="11" t="s">
        <v>26</v>
      </c>
      <c r="F23" s="11" t="s">
        <v>175</v>
      </c>
      <c r="G23" s="11" t="s">
        <v>177</v>
      </c>
      <c r="H23" s="11" t="s">
        <v>107</v>
      </c>
      <c r="I23" s="11" t="s">
        <v>109</v>
      </c>
      <c r="J23" s="11" t="s">
        <v>121</v>
      </c>
    </row>
    <row r="24" ht="19.5" customHeight="1">
      <c r="A24" s="6">
        <v>23.0</v>
      </c>
      <c r="B24" s="8" t="s">
        <v>100</v>
      </c>
      <c r="C24" s="8" t="s">
        <v>129</v>
      </c>
      <c r="D24" s="6">
        <v>1.0857E7</v>
      </c>
      <c r="E24" s="8" t="s">
        <v>26</v>
      </c>
      <c r="F24" s="8" t="s">
        <v>167</v>
      </c>
      <c r="G24" s="8" t="s">
        <v>170</v>
      </c>
      <c r="H24" s="8" t="s">
        <v>103</v>
      </c>
      <c r="I24" s="8" t="s">
        <v>104</v>
      </c>
      <c r="J24" s="8" t="s">
        <v>105</v>
      </c>
    </row>
    <row r="25" ht="19.5" customHeight="1">
      <c r="A25" s="9">
        <v>24.0</v>
      </c>
      <c r="B25" s="11" t="s">
        <v>100</v>
      </c>
      <c r="C25" s="11" t="s">
        <v>134</v>
      </c>
      <c r="D25" s="9">
        <v>1.4814E7</v>
      </c>
      <c r="E25" s="11" t="s">
        <v>26</v>
      </c>
      <c r="F25" s="11" t="s">
        <v>201</v>
      </c>
      <c r="G25" s="11" t="s">
        <v>202</v>
      </c>
      <c r="H25" s="11" t="s">
        <v>126</v>
      </c>
      <c r="I25" s="11" t="s">
        <v>127</v>
      </c>
      <c r="J25" s="11" t="s">
        <v>128</v>
      </c>
    </row>
    <row r="26" ht="19.5" customHeight="1">
      <c r="A26" s="6">
        <v>25.0</v>
      </c>
      <c r="B26" s="8" t="s">
        <v>100</v>
      </c>
      <c r="C26" s="8" t="s">
        <v>136</v>
      </c>
      <c r="D26" s="6">
        <v>1.4814E7</v>
      </c>
      <c r="E26" s="8" t="s">
        <v>26</v>
      </c>
      <c r="F26" s="8" t="s">
        <v>201</v>
      </c>
      <c r="G26" s="8" t="s">
        <v>202</v>
      </c>
      <c r="H26" s="8" t="s">
        <v>126</v>
      </c>
      <c r="I26" s="8" t="s">
        <v>127</v>
      </c>
      <c r="J26" s="8" t="s">
        <v>128</v>
      </c>
    </row>
    <row r="27" ht="19.5" customHeight="1">
      <c r="A27" s="9">
        <v>26.0</v>
      </c>
      <c r="B27" s="11" t="s">
        <v>137</v>
      </c>
      <c r="C27" s="11" t="s">
        <v>138</v>
      </c>
      <c r="D27" s="9">
        <v>7348000.0</v>
      </c>
      <c r="E27" s="11" t="s">
        <v>26</v>
      </c>
      <c r="F27" s="11" t="s">
        <v>42</v>
      </c>
      <c r="G27" s="11" t="s">
        <v>45</v>
      </c>
      <c r="H27" s="11" t="s">
        <v>28</v>
      </c>
      <c r="I27" s="11" t="s">
        <v>30</v>
      </c>
      <c r="J27" s="11" t="s">
        <v>31</v>
      </c>
    </row>
    <row r="28" ht="19.5" customHeight="1">
      <c r="A28" s="6">
        <v>27.0</v>
      </c>
      <c r="B28" s="8" t="s">
        <v>137</v>
      </c>
      <c r="C28" s="8" t="s">
        <v>139</v>
      </c>
      <c r="D28" s="6">
        <v>7348000.0</v>
      </c>
      <c r="E28" s="8" t="s">
        <v>26</v>
      </c>
      <c r="F28" s="8" t="s">
        <v>42</v>
      </c>
      <c r="G28" s="8" t="s">
        <v>45</v>
      </c>
      <c r="H28" s="8" t="s">
        <v>28</v>
      </c>
      <c r="I28" s="8" t="s">
        <v>30</v>
      </c>
      <c r="J28" s="8" t="s">
        <v>31</v>
      </c>
    </row>
    <row r="29" ht="19.5" customHeight="1">
      <c r="A29" s="9">
        <v>28.0</v>
      </c>
      <c r="B29" s="11" t="s">
        <v>137</v>
      </c>
      <c r="C29" s="11" t="s">
        <v>141</v>
      </c>
      <c r="D29" s="9">
        <v>7348000.0</v>
      </c>
      <c r="E29" s="11" t="s">
        <v>26</v>
      </c>
      <c r="F29" s="11" t="s">
        <v>42</v>
      </c>
      <c r="G29" s="11" t="s">
        <v>45</v>
      </c>
      <c r="H29" s="11" t="s">
        <v>28</v>
      </c>
      <c r="I29" s="11" t="s">
        <v>30</v>
      </c>
      <c r="J29" s="11" t="s">
        <v>31</v>
      </c>
    </row>
    <row r="30" ht="19.5" customHeight="1">
      <c r="A30" s="6">
        <v>29.0</v>
      </c>
      <c r="B30" s="8" t="s">
        <v>137</v>
      </c>
      <c r="C30" s="8" t="s">
        <v>143</v>
      </c>
      <c r="D30" s="6">
        <v>1.0857E7</v>
      </c>
      <c r="E30" s="8" t="s">
        <v>26</v>
      </c>
      <c r="F30" s="8" t="s">
        <v>167</v>
      </c>
      <c r="G30" s="8" t="s">
        <v>170</v>
      </c>
      <c r="H30" s="8" t="s">
        <v>103</v>
      </c>
      <c r="I30" s="8" t="s">
        <v>104</v>
      </c>
      <c r="J30" s="8" t="s">
        <v>105</v>
      </c>
    </row>
    <row r="31" ht="19.5" customHeight="1">
      <c r="A31" s="9">
        <v>30.0</v>
      </c>
      <c r="B31" s="11" t="s">
        <v>137</v>
      </c>
      <c r="C31" s="11" t="s">
        <v>148</v>
      </c>
      <c r="D31" s="9">
        <v>7348000.0</v>
      </c>
      <c r="E31" s="11" t="s">
        <v>26</v>
      </c>
      <c r="F31" s="11" t="s">
        <v>42</v>
      </c>
      <c r="G31" s="11" t="s">
        <v>45</v>
      </c>
      <c r="H31" s="11" t="s">
        <v>28</v>
      </c>
      <c r="I31" s="11" t="s">
        <v>30</v>
      </c>
      <c r="J31" s="11" t="s">
        <v>31</v>
      </c>
    </row>
    <row r="32" ht="19.5" customHeight="1">
      <c r="A32" s="6">
        <v>31.0</v>
      </c>
      <c r="B32" s="8" t="s">
        <v>137</v>
      </c>
      <c r="C32" s="8" t="s">
        <v>152</v>
      </c>
      <c r="D32" s="6">
        <v>1.1463E7</v>
      </c>
      <c r="E32" s="8" t="s">
        <v>26</v>
      </c>
      <c r="F32" s="8" t="s">
        <v>175</v>
      </c>
      <c r="G32" s="8" t="s">
        <v>177</v>
      </c>
      <c r="H32" s="8" t="s">
        <v>107</v>
      </c>
      <c r="I32" s="8" t="s">
        <v>109</v>
      </c>
      <c r="J32" s="8" t="s">
        <v>121</v>
      </c>
    </row>
    <row r="33" ht="19.5" customHeight="1">
      <c r="A33" s="9">
        <v>32.0</v>
      </c>
      <c r="B33" s="11" t="s">
        <v>137</v>
      </c>
      <c r="C33" s="11" t="s">
        <v>155</v>
      </c>
      <c r="D33" s="9">
        <v>8450000.0</v>
      </c>
      <c r="E33" s="11" t="s">
        <v>26</v>
      </c>
      <c r="F33" s="11" t="s">
        <v>225</v>
      </c>
      <c r="G33" s="11" t="s">
        <v>226</v>
      </c>
      <c r="H33" s="11" t="s">
        <v>145</v>
      </c>
      <c r="I33" s="11" t="s">
        <v>146</v>
      </c>
      <c r="J33" s="11" t="s">
        <v>147</v>
      </c>
    </row>
    <row r="34" ht="19.5" customHeight="1">
      <c r="A34" s="6">
        <v>33.0</v>
      </c>
      <c r="B34" s="8" t="s">
        <v>137</v>
      </c>
      <c r="C34" s="8" t="s">
        <v>160</v>
      </c>
      <c r="D34" s="6">
        <v>9553000.0</v>
      </c>
      <c r="E34" s="8" t="s">
        <v>26</v>
      </c>
      <c r="F34" s="8" t="s">
        <v>228</v>
      </c>
      <c r="G34" s="8" t="s">
        <v>229</v>
      </c>
      <c r="H34" s="8" t="s">
        <v>149</v>
      </c>
      <c r="I34" s="8" t="s">
        <v>153</v>
      </c>
      <c r="J34" s="8" t="s">
        <v>151</v>
      </c>
    </row>
    <row r="35" ht="19.5" customHeight="1">
      <c r="A35" s="9">
        <v>34.0</v>
      </c>
      <c r="B35" s="11" t="s">
        <v>137</v>
      </c>
      <c r="C35" s="11" t="s">
        <v>161</v>
      </c>
      <c r="D35" s="9">
        <v>9553000.0</v>
      </c>
      <c r="E35" s="11" t="s">
        <v>26</v>
      </c>
      <c r="F35" s="11" t="s">
        <v>228</v>
      </c>
      <c r="G35" s="11" t="s">
        <v>229</v>
      </c>
      <c r="H35" s="11" t="s">
        <v>149</v>
      </c>
      <c r="I35" s="11" t="s">
        <v>153</v>
      </c>
      <c r="J35" s="11" t="s">
        <v>151</v>
      </c>
    </row>
    <row r="36" ht="19.5" customHeight="1">
      <c r="A36" s="6">
        <v>35.0</v>
      </c>
      <c r="B36" s="8" t="s">
        <v>137</v>
      </c>
      <c r="C36" s="8" t="s">
        <v>164</v>
      </c>
      <c r="D36" s="6">
        <v>1.2227E7</v>
      </c>
      <c r="E36" s="8" t="s">
        <v>26</v>
      </c>
      <c r="F36" s="8" t="s">
        <v>91</v>
      </c>
      <c r="G36" s="8" t="s">
        <v>233</v>
      </c>
      <c r="H36" s="8" t="s">
        <v>156</v>
      </c>
      <c r="I36" s="8" t="s">
        <v>157</v>
      </c>
      <c r="J36" s="8" t="s">
        <v>158</v>
      </c>
    </row>
    <row r="37" ht="19.5" customHeight="1">
      <c r="A37" s="9">
        <v>36.0</v>
      </c>
      <c r="B37" s="11" t="s">
        <v>137</v>
      </c>
      <c r="C37" s="11" t="s">
        <v>166</v>
      </c>
      <c r="D37" s="9">
        <v>1.1463E7</v>
      </c>
      <c r="E37" s="11" t="s">
        <v>26</v>
      </c>
      <c r="F37" s="11" t="s">
        <v>175</v>
      </c>
      <c r="G37" s="11" t="s">
        <v>177</v>
      </c>
      <c r="H37" s="11" t="s">
        <v>107</v>
      </c>
      <c r="I37" s="11" t="s">
        <v>109</v>
      </c>
      <c r="J37" s="11" t="s">
        <v>121</v>
      </c>
    </row>
    <row r="38" ht="19.5" customHeight="1">
      <c r="A38" s="6">
        <v>37.0</v>
      </c>
      <c r="B38" s="8" t="s">
        <v>137</v>
      </c>
      <c r="C38" s="8" t="s">
        <v>172</v>
      </c>
      <c r="D38" s="6">
        <v>1.1463E7</v>
      </c>
      <c r="E38" s="8" t="s">
        <v>26</v>
      </c>
      <c r="F38" s="8" t="s">
        <v>175</v>
      </c>
      <c r="G38" s="8" t="s">
        <v>177</v>
      </c>
      <c r="H38" s="8" t="s">
        <v>107</v>
      </c>
      <c r="I38" s="8" t="s">
        <v>109</v>
      </c>
      <c r="J38" s="8" t="s">
        <v>121</v>
      </c>
    </row>
    <row r="39" ht="19.5" customHeight="1">
      <c r="A39" s="9">
        <v>38.0</v>
      </c>
      <c r="B39" s="11" t="s">
        <v>137</v>
      </c>
      <c r="C39" s="11" t="s">
        <v>173</v>
      </c>
      <c r="D39" s="9">
        <v>1.0439E7</v>
      </c>
      <c r="E39" s="11" t="s">
        <v>26</v>
      </c>
      <c r="F39" s="11" t="s">
        <v>234</v>
      </c>
      <c r="G39" s="11" t="s">
        <v>235</v>
      </c>
      <c r="H39" s="11" t="s">
        <v>168</v>
      </c>
      <c r="I39" s="11" t="s">
        <v>169</v>
      </c>
      <c r="J39" s="11" t="s">
        <v>171</v>
      </c>
    </row>
    <row r="40" ht="19.5" customHeight="1">
      <c r="A40" s="6">
        <v>39.0</v>
      </c>
      <c r="B40" s="8" t="s">
        <v>137</v>
      </c>
      <c r="C40" s="8" t="s">
        <v>176</v>
      </c>
      <c r="D40" s="6">
        <v>7642000.0</v>
      </c>
      <c r="E40" s="8" t="s">
        <v>26</v>
      </c>
      <c r="F40" s="8" t="s">
        <v>54</v>
      </c>
      <c r="G40" s="8" t="s">
        <v>56</v>
      </c>
      <c r="H40" s="8" t="s">
        <v>34</v>
      </c>
      <c r="I40" s="8" t="s">
        <v>38</v>
      </c>
      <c r="J40" s="8" t="s">
        <v>36</v>
      </c>
    </row>
    <row r="41" ht="19.5" customHeight="1">
      <c r="A41" s="9">
        <v>40.0</v>
      </c>
      <c r="B41" s="11" t="s">
        <v>137</v>
      </c>
      <c r="C41" s="11" t="s">
        <v>178</v>
      </c>
      <c r="D41" s="9">
        <v>7348000.0</v>
      </c>
      <c r="E41" s="11" t="s">
        <v>26</v>
      </c>
      <c r="F41" s="11" t="s">
        <v>42</v>
      </c>
      <c r="G41" s="11" t="s">
        <v>45</v>
      </c>
      <c r="H41" s="11" t="s">
        <v>28</v>
      </c>
      <c r="I41" s="11" t="s">
        <v>30</v>
      </c>
      <c r="J41" s="11" t="s">
        <v>31</v>
      </c>
    </row>
    <row r="42" ht="19.5" customHeight="1">
      <c r="A42" s="6">
        <v>41.0</v>
      </c>
      <c r="B42" s="8" t="s">
        <v>137</v>
      </c>
      <c r="C42" s="8" t="s">
        <v>181</v>
      </c>
      <c r="D42" s="6">
        <v>8450000.0</v>
      </c>
      <c r="E42" s="8" t="s">
        <v>26</v>
      </c>
      <c r="F42" s="8" t="s">
        <v>225</v>
      </c>
      <c r="G42" s="8" t="s">
        <v>226</v>
      </c>
      <c r="H42" s="8" t="s">
        <v>145</v>
      </c>
      <c r="I42" s="8" t="s">
        <v>146</v>
      </c>
      <c r="J42" s="8" t="s">
        <v>147</v>
      </c>
    </row>
    <row r="43" ht="19.5" customHeight="1">
      <c r="A43" s="9">
        <v>42.0</v>
      </c>
      <c r="B43" s="11" t="s">
        <v>182</v>
      </c>
      <c r="C43" s="11" t="s">
        <v>183</v>
      </c>
      <c r="D43" s="9">
        <v>2.6355E7</v>
      </c>
      <c r="E43" s="11" t="s">
        <v>26</v>
      </c>
      <c r="F43" s="11" t="s">
        <v>75</v>
      </c>
      <c r="G43" s="11" t="s">
        <v>76</v>
      </c>
      <c r="H43" s="11" t="s">
        <v>48</v>
      </c>
      <c r="I43" s="11" t="s">
        <v>49</v>
      </c>
      <c r="J43" s="11" t="s">
        <v>50</v>
      </c>
    </row>
    <row r="44" ht="19.5" customHeight="1">
      <c r="A44" s="6">
        <v>43.0</v>
      </c>
      <c r="B44" s="8" t="s">
        <v>182</v>
      </c>
      <c r="C44" s="8" t="s">
        <v>184</v>
      </c>
      <c r="D44" s="6">
        <v>8450000.0</v>
      </c>
      <c r="E44" s="8" t="s">
        <v>26</v>
      </c>
      <c r="F44" s="8" t="s">
        <v>225</v>
      </c>
      <c r="G44" s="8" t="s">
        <v>226</v>
      </c>
      <c r="H44" s="8" t="s">
        <v>145</v>
      </c>
      <c r="I44" s="8" t="s">
        <v>146</v>
      </c>
      <c r="J44" s="8" t="s">
        <v>147</v>
      </c>
    </row>
    <row r="45" ht="19.5" customHeight="1">
      <c r="A45" s="9">
        <v>44.0</v>
      </c>
      <c r="B45" s="11" t="s">
        <v>73</v>
      </c>
      <c r="C45" s="11" t="s">
        <v>187</v>
      </c>
      <c r="D45" s="9">
        <v>1.2227E7</v>
      </c>
      <c r="E45" s="11" t="s">
        <v>26</v>
      </c>
      <c r="F45" s="11" t="s">
        <v>91</v>
      </c>
      <c r="G45" s="11" t="s">
        <v>233</v>
      </c>
      <c r="H45" s="11" t="s">
        <v>156</v>
      </c>
      <c r="I45" s="11" t="s">
        <v>157</v>
      </c>
      <c r="J45" s="11" t="s">
        <v>158</v>
      </c>
    </row>
    <row r="46" ht="19.5" customHeight="1">
      <c r="A46" s="6">
        <v>45.0</v>
      </c>
      <c r="B46" s="8" t="s">
        <v>73</v>
      </c>
      <c r="C46" s="8" t="s">
        <v>192</v>
      </c>
      <c r="D46" s="6">
        <v>2.5341E7</v>
      </c>
      <c r="E46" s="8" t="s">
        <v>26</v>
      </c>
      <c r="F46" s="8" t="s">
        <v>239</v>
      </c>
      <c r="G46" s="8" t="s">
        <v>240</v>
      </c>
      <c r="H46" s="8" t="s">
        <v>188</v>
      </c>
      <c r="I46" s="8" t="s">
        <v>189</v>
      </c>
      <c r="J46" s="8" t="s">
        <v>190</v>
      </c>
    </row>
    <row r="47" ht="19.5" customHeight="1">
      <c r="A47" s="9">
        <v>46.0</v>
      </c>
      <c r="B47" s="11" t="s">
        <v>73</v>
      </c>
      <c r="C47" s="11" t="s">
        <v>193</v>
      </c>
      <c r="D47" s="9">
        <v>1.2227E7</v>
      </c>
      <c r="E47" s="11" t="s">
        <v>26</v>
      </c>
      <c r="F47" s="11" t="s">
        <v>91</v>
      </c>
      <c r="G47" s="11" t="s">
        <v>233</v>
      </c>
      <c r="H47" s="11" t="s">
        <v>156</v>
      </c>
      <c r="I47" s="11" t="s">
        <v>157</v>
      </c>
      <c r="J47" s="11" t="s">
        <v>158</v>
      </c>
    </row>
    <row r="48" ht="19.5" customHeight="1">
      <c r="A48" s="6">
        <v>47.0</v>
      </c>
      <c r="B48" s="8" t="s">
        <v>73</v>
      </c>
      <c r="C48" s="8" t="s">
        <v>194</v>
      </c>
      <c r="D48" s="6">
        <v>1.2227E7</v>
      </c>
      <c r="E48" s="8" t="s">
        <v>26</v>
      </c>
      <c r="F48" s="8" t="s">
        <v>91</v>
      </c>
      <c r="G48" s="8" t="s">
        <v>233</v>
      </c>
      <c r="H48" s="8" t="s">
        <v>156</v>
      </c>
      <c r="I48" s="8" t="s">
        <v>157</v>
      </c>
      <c r="J48" s="8" t="s">
        <v>158</v>
      </c>
    </row>
    <row r="49" ht="19.5" customHeight="1">
      <c r="A49" s="9">
        <v>48.0</v>
      </c>
      <c r="B49" s="11" t="s">
        <v>73</v>
      </c>
      <c r="C49" s="11" t="s">
        <v>195</v>
      </c>
      <c r="D49" s="9">
        <v>1.0857E7</v>
      </c>
      <c r="E49" s="11" t="s">
        <v>26</v>
      </c>
      <c r="F49" s="11" t="s">
        <v>167</v>
      </c>
      <c r="G49" s="11" t="s">
        <v>170</v>
      </c>
      <c r="H49" s="11" t="s">
        <v>103</v>
      </c>
      <c r="I49" s="11" t="s">
        <v>104</v>
      </c>
      <c r="J49" s="11" t="s">
        <v>105</v>
      </c>
    </row>
    <row r="50" ht="19.5" customHeight="1">
      <c r="A50" s="6">
        <v>49.0</v>
      </c>
      <c r="B50" s="8" t="s">
        <v>73</v>
      </c>
      <c r="C50" s="8" t="s">
        <v>197</v>
      </c>
      <c r="D50" s="6">
        <v>1.0439E7</v>
      </c>
      <c r="E50" s="8" t="s">
        <v>26</v>
      </c>
      <c r="F50" s="8" t="s">
        <v>234</v>
      </c>
      <c r="G50" s="8" t="s">
        <v>235</v>
      </c>
      <c r="H50" s="8" t="s">
        <v>168</v>
      </c>
      <c r="I50" s="8" t="s">
        <v>169</v>
      </c>
      <c r="J50" s="8" t="s">
        <v>171</v>
      </c>
    </row>
    <row r="51" ht="19.5" customHeight="1">
      <c r="A51" s="9">
        <v>50.0</v>
      </c>
      <c r="B51" s="11" t="s">
        <v>73</v>
      </c>
      <c r="C51" s="11" t="s">
        <v>198</v>
      </c>
      <c r="D51" s="9">
        <v>1.0857E7</v>
      </c>
      <c r="E51" s="11" t="s">
        <v>26</v>
      </c>
      <c r="F51" s="11" t="s">
        <v>167</v>
      </c>
      <c r="G51" s="11" t="s">
        <v>170</v>
      </c>
      <c r="H51" s="11" t="s">
        <v>103</v>
      </c>
      <c r="I51" s="11" t="s">
        <v>104</v>
      </c>
      <c r="J51" s="11" t="s">
        <v>105</v>
      </c>
    </row>
    <row r="52" ht="19.5" customHeight="1">
      <c r="A52" s="6">
        <v>51.0</v>
      </c>
      <c r="B52" s="8" t="s">
        <v>199</v>
      </c>
      <c r="C52" s="8" t="s">
        <v>200</v>
      </c>
      <c r="D52" s="6">
        <v>7348000.0</v>
      </c>
      <c r="E52" s="8" t="s">
        <v>26</v>
      </c>
      <c r="F52" s="8" t="s">
        <v>42</v>
      </c>
      <c r="G52" s="8" t="s">
        <v>45</v>
      </c>
      <c r="H52" s="8" t="s">
        <v>28</v>
      </c>
      <c r="I52" s="8" t="s">
        <v>30</v>
      </c>
      <c r="J52" s="8" t="s">
        <v>31</v>
      </c>
    </row>
    <row r="53" ht="19.5" customHeight="1">
      <c r="A53" s="9">
        <v>52.0</v>
      </c>
      <c r="B53" s="11" t="s">
        <v>199</v>
      </c>
      <c r="C53" s="11" t="s">
        <v>203</v>
      </c>
      <c r="D53" s="9">
        <v>7348000.0</v>
      </c>
      <c r="E53" s="11" t="s">
        <v>26</v>
      </c>
      <c r="F53" s="11" t="s">
        <v>42</v>
      </c>
      <c r="G53" s="11" t="s">
        <v>45</v>
      </c>
      <c r="H53" s="11" t="s">
        <v>28</v>
      </c>
      <c r="I53" s="11" t="s">
        <v>30</v>
      </c>
      <c r="J53" s="11" t="s">
        <v>31</v>
      </c>
    </row>
    <row r="54" ht="19.5" customHeight="1">
      <c r="A54" s="6">
        <v>53.0</v>
      </c>
      <c r="B54" s="8" t="s">
        <v>199</v>
      </c>
      <c r="C54" s="8" t="s">
        <v>204</v>
      </c>
      <c r="D54" s="6">
        <v>7348000.0</v>
      </c>
      <c r="E54" s="8" t="s">
        <v>26</v>
      </c>
      <c r="F54" s="8" t="s">
        <v>42</v>
      </c>
      <c r="G54" s="8" t="s">
        <v>45</v>
      </c>
      <c r="H54" s="8" t="s">
        <v>28</v>
      </c>
      <c r="I54" s="8" t="s">
        <v>30</v>
      </c>
      <c r="J54" s="8" t="s">
        <v>31</v>
      </c>
    </row>
    <row r="55" ht="19.5" customHeight="1">
      <c r="A55" s="9">
        <v>54.0</v>
      </c>
      <c r="B55" s="11" t="s">
        <v>199</v>
      </c>
      <c r="C55" s="11" t="s">
        <v>208</v>
      </c>
      <c r="D55" s="9">
        <v>1.1022E7</v>
      </c>
      <c r="E55" s="11" t="s">
        <v>26</v>
      </c>
      <c r="F55" s="11" t="s">
        <v>185</v>
      </c>
      <c r="G55" s="11" t="s">
        <v>245</v>
      </c>
      <c r="H55" s="11" t="s">
        <v>205</v>
      </c>
      <c r="I55" s="11" t="s">
        <v>206</v>
      </c>
      <c r="J55" s="11" t="s">
        <v>207</v>
      </c>
    </row>
    <row r="56" ht="19.5" customHeight="1">
      <c r="A56" s="6">
        <v>55.0</v>
      </c>
      <c r="B56" s="8" t="s">
        <v>212</v>
      </c>
      <c r="C56" s="8" t="s">
        <v>213</v>
      </c>
      <c r="D56" s="6">
        <v>1.2046E7</v>
      </c>
      <c r="E56" s="8" t="s">
        <v>26</v>
      </c>
      <c r="F56" s="8" t="s">
        <v>248</v>
      </c>
      <c r="G56" s="8" t="s">
        <v>249</v>
      </c>
      <c r="H56" s="8" t="s">
        <v>209</v>
      </c>
      <c r="I56" s="8" t="s">
        <v>210</v>
      </c>
      <c r="J56" s="8" t="s">
        <v>211</v>
      </c>
    </row>
    <row r="57" ht="19.5" customHeight="1">
      <c r="A57" s="9">
        <v>56.0</v>
      </c>
      <c r="B57" s="11" t="s">
        <v>212</v>
      </c>
      <c r="C57" s="11" t="s">
        <v>214</v>
      </c>
      <c r="D57" s="9">
        <v>1.1463E7</v>
      </c>
      <c r="E57" s="11" t="s">
        <v>26</v>
      </c>
      <c r="F57" s="11" t="s">
        <v>175</v>
      </c>
      <c r="G57" s="11" t="s">
        <v>177</v>
      </c>
      <c r="H57" s="11" t="s">
        <v>107</v>
      </c>
      <c r="I57" s="11" t="s">
        <v>109</v>
      </c>
      <c r="J57" s="11" t="s">
        <v>121</v>
      </c>
    </row>
    <row r="58" ht="19.5" customHeight="1">
      <c r="A58" s="6">
        <v>57.0</v>
      </c>
      <c r="B58" s="8" t="s">
        <v>212</v>
      </c>
      <c r="C58" s="8" t="s">
        <v>218</v>
      </c>
      <c r="D58" s="6">
        <v>1.3227E7</v>
      </c>
      <c r="E58" s="8" t="s">
        <v>26</v>
      </c>
      <c r="F58" s="8" t="s">
        <v>250</v>
      </c>
      <c r="G58" s="8" t="s">
        <v>251</v>
      </c>
      <c r="H58" s="8" t="s">
        <v>215</v>
      </c>
      <c r="I58" s="8" t="s">
        <v>252</v>
      </c>
      <c r="J58" s="8" t="s">
        <v>217</v>
      </c>
    </row>
    <row r="59" ht="19.5" customHeight="1">
      <c r="A59" s="9">
        <v>58.0</v>
      </c>
      <c r="B59" s="11" t="s">
        <v>222</v>
      </c>
      <c r="C59" s="11" t="s">
        <v>223</v>
      </c>
      <c r="D59" s="9">
        <v>2.6355E7</v>
      </c>
      <c r="E59" s="11" t="s">
        <v>26</v>
      </c>
      <c r="F59" s="11" t="s">
        <v>75</v>
      </c>
      <c r="G59" s="11" t="s">
        <v>76</v>
      </c>
      <c r="H59" s="11" t="s">
        <v>48</v>
      </c>
      <c r="I59" s="11" t="s">
        <v>49</v>
      </c>
      <c r="J59" s="11" t="s">
        <v>50</v>
      </c>
    </row>
    <row r="60" ht="19.5" customHeight="1">
      <c r="A60" s="6">
        <v>59.0</v>
      </c>
      <c r="B60" s="8" t="s">
        <v>219</v>
      </c>
      <c r="C60" s="8" t="s">
        <v>220</v>
      </c>
      <c r="D60" s="6">
        <v>2.6355E7</v>
      </c>
      <c r="E60" s="8" t="s">
        <v>26</v>
      </c>
      <c r="F60" s="8" t="s">
        <v>75</v>
      </c>
      <c r="G60" s="8" t="s">
        <v>76</v>
      </c>
      <c r="H60" s="8" t="s">
        <v>48</v>
      </c>
      <c r="I60" s="8" t="s">
        <v>49</v>
      </c>
      <c r="J60" s="8" t="s">
        <v>50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35.0"/>
    <col customWidth="1" min="3" max="3" width="37.63"/>
    <col customWidth="1" min="4" max="4" width="10.5"/>
    <col customWidth="1" min="5" max="5" width="21.0"/>
    <col customWidth="1" min="6" max="6" width="23.63"/>
    <col customWidth="1" min="7" max="8" width="24.5"/>
    <col customWidth="1" min="9" max="9" width="40.25"/>
    <col customWidth="1" min="10" max="24" width="7.63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9.5" customHeight="1">
      <c r="A2" s="3">
        <v>1.0</v>
      </c>
      <c r="B2" s="5" t="s">
        <v>9</v>
      </c>
      <c r="C2" s="5" t="s">
        <v>14</v>
      </c>
      <c r="D2" s="7" t="s">
        <v>15</v>
      </c>
      <c r="E2" s="3">
        <v>8230000.0</v>
      </c>
      <c r="F2" s="5" t="s">
        <v>19</v>
      </c>
      <c r="G2" s="5" t="s">
        <v>20</v>
      </c>
      <c r="H2" s="5" t="s">
        <v>21</v>
      </c>
      <c r="I2" s="3">
        <v>1.5E7</v>
      </c>
    </row>
    <row r="3" ht="19.5" customHeight="1">
      <c r="A3" s="9">
        <v>2.0</v>
      </c>
      <c r="B3" s="11" t="s">
        <v>9</v>
      </c>
      <c r="C3" s="11" t="s">
        <v>23</v>
      </c>
      <c r="D3" s="13" t="s">
        <v>15</v>
      </c>
      <c r="E3" s="9">
        <v>7348000.0</v>
      </c>
      <c r="F3" s="11" t="s">
        <v>28</v>
      </c>
      <c r="G3" s="11" t="s">
        <v>30</v>
      </c>
      <c r="H3" s="11" t="s">
        <v>31</v>
      </c>
      <c r="I3" s="9">
        <v>1.5E7</v>
      </c>
    </row>
    <row r="4" ht="19.5" customHeight="1">
      <c r="A4" s="3">
        <v>3.0</v>
      </c>
      <c r="B4" s="5" t="s">
        <v>9</v>
      </c>
      <c r="C4" s="5" t="s">
        <v>33</v>
      </c>
      <c r="D4" s="7" t="s">
        <v>15</v>
      </c>
      <c r="E4" s="3">
        <v>7642000.0</v>
      </c>
      <c r="F4" s="5" t="s">
        <v>34</v>
      </c>
      <c r="G4" s="5" t="s">
        <v>35</v>
      </c>
      <c r="H4" s="5" t="s">
        <v>36</v>
      </c>
      <c r="I4" s="3">
        <v>1.5E7</v>
      </c>
    </row>
    <row r="5" ht="19.5" customHeight="1">
      <c r="A5" s="9">
        <v>4.0</v>
      </c>
      <c r="B5" s="11" t="s">
        <v>9</v>
      </c>
      <c r="C5" s="11" t="s">
        <v>37</v>
      </c>
      <c r="D5" s="13" t="s">
        <v>15</v>
      </c>
      <c r="E5" s="9">
        <v>7642000.0</v>
      </c>
      <c r="F5" s="11" t="s">
        <v>34</v>
      </c>
      <c r="G5" s="11" t="s">
        <v>38</v>
      </c>
      <c r="H5" s="11" t="s">
        <v>36</v>
      </c>
      <c r="I5" s="9">
        <v>1.5E7</v>
      </c>
    </row>
    <row r="6" ht="19.5" customHeight="1">
      <c r="A6" s="3">
        <v>5.0</v>
      </c>
      <c r="B6" s="5" t="s">
        <v>9</v>
      </c>
      <c r="C6" s="5" t="s">
        <v>40</v>
      </c>
      <c r="D6" s="7" t="s">
        <v>15</v>
      </c>
      <c r="E6" s="3">
        <v>8949000.0</v>
      </c>
      <c r="F6" s="5" t="s">
        <v>41</v>
      </c>
      <c r="G6" s="5" t="s">
        <v>43</v>
      </c>
      <c r="H6" s="5" t="s">
        <v>44</v>
      </c>
      <c r="I6" s="3">
        <v>1.5E7</v>
      </c>
    </row>
    <row r="7" ht="19.5" customHeight="1">
      <c r="A7" s="9">
        <v>6.0</v>
      </c>
      <c r="B7" s="11" t="s">
        <v>46</v>
      </c>
      <c r="C7" s="11" t="s">
        <v>47</v>
      </c>
      <c r="D7" s="13" t="s">
        <v>15</v>
      </c>
      <c r="E7" s="9">
        <v>2.6355E7</v>
      </c>
      <c r="F7" s="11" t="s">
        <v>48</v>
      </c>
      <c r="G7" s="11" t="s">
        <v>49</v>
      </c>
      <c r="H7" s="11" t="s">
        <v>50</v>
      </c>
      <c r="I7" s="9">
        <v>1.5E7</v>
      </c>
    </row>
    <row r="8" ht="19.5" customHeight="1">
      <c r="A8" s="3">
        <v>7.0</v>
      </c>
      <c r="B8" s="5" t="s">
        <v>52</v>
      </c>
      <c r="C8" s="5" t="s">
        <v>53</v>
      </c>
      <c r="D8" s="7" t="s">
        <v>15</v>
      </c>
      <c r="E8" s="3">
        <v>7642000.0</v>
      </c>
      <c r="F8" s="5" t="s">
        <v>55</v>
      </c>
      <c r="G8" s="5" t="s">
        <v>38</v>
      </c>
      <c r="H8" s="5" t="s">
        <v>36</v>
      </c>
      <c r="I8" s="3">
        <v>5000000.0</v>
      </c>
    </row>
    <row r="9" ht="19.5" customHeight="1">
      <c r="A9" s="9">
        <v>8.0</v>
      </c>
      <c r="B9" s="11" t="s">
        <v>57</v>
      </c>
      <c r="C9" s="11" t="s">
        <v>58</v>
      </c>
      <c r="D9" s="13" t="s">
        <v>15</v>
      </c>
      <c r="E9" s="9">
        <v>1.2238E7</v>
      </c>
      <c r="F9" s="11" t="s">
        <v>60</v>
      </c>
      <c r="G9" s="11" t="s">
        <v>61</v>
      </c>
      <c r="H9" s="11" t="s">
        <v>62</v>
      </c>
      <c r="I9" s="9">
        <v>4.0E7</v>
      </c>
    </row>
    <row r="10" ht="19.5" customHeight="1">
      <c r="A10" s="3">
        <v>9.0</v>
      </c>
      <c r="B10" s="5" t="s">
        <v>57</v>
      </c>
      <c r="C10" s="5" t="s">
        <v>63</v>
      </c>
      <c r="D10" s="7" t="s">
        <v>15</v>
      </c>
      <c r="E10" s="3">
        <v>1.1767E7</v>
      </c>
      <c r="F10" s="5" t="s">
        <v>65</v>
      </c>
      <c r="G10" s="5" t="s">
        <v>66</v>
      </c>
      <c r="H10" s="5" t="s">
        <v>67</v>
      </c>
      <c r="I10" s="3">
        <v>4.0E7</v>
      </c>
    </row>
    <row r="11" ht="19.5" customHeight="1">
      <c r="A11" s="9">
        <v>10.0</v>
      </c>
      <c r="B11" s="11" t="s">
        <v>57</v>
      </c>
      <c r="C11" s="11" t="s">
        <v>68</v>
      </c>
      <c r="D11" s="13" t="s">
        <v>15</v>
      </c>
      <c r="E11" s="9">
        <v>1.365E7</v>
      </c>
      <c r="F11" s="11" t="s">
        <v>69</v>
      </c>
      <c r="G11" s="11" t="s">
        <v>70</v>
      </c>
      <c r="H11" s="11" t="s">
        <v>71</v>
      </c>
      <c r="I11" s="9">
        <v>4.0E7</v>
      </c>
    </row>
    <row r="12" ht="19.5" customHeight="1">
      <c r="A12" s="3">
        <v>11.0</v>
      </c>
      <c r="B12" s="5" t="s">
        <v>57</v>
      </c>
      <c r="C12" s="5" t="s">
        <v>72</v>
      </c>
      <c r="D12" s="7" t="s">
        <v>15</v>
      </c>
      <c r="E12" s="3">
        <v>1.365E7</v>
      </c>
      <c r="F12" s="5" t="s">
        <v>69</v>
      </c>
      <c r="G12" s="5" t="s">
        <v>70</v>
      </c>
      <c r="H12" s="5" t="s">
        <v>71</v>
      </c>
      <c r="I12" s="3">
        <v>4.0E7</v>
      </c>
    </row>
    <row r="13" ht="19.5" customHeight="1">
      <c r="A13" s="9">
        <v>12.0</v>
      </c>
      <c r="B13" s="11" t="s">
        <v>57</v>
      </c>
      <c r="C13" s="11" t="s">
        <v>77</v>
      </c>
      <c r="D13" s="13" t="s">
        <v>15</v>
      </c>
      <c r="E13" s="9">
        <v>1.2709E7</v>
      </c>
      <c r="F13" s="11" t="s">
        <v>78</v>
      </c>
      <c r="G13" s="11" t="s">
        <v>79</v>
      </c>
      <c r="H13" s="11" t="s">
        <v>80</v>
      </c>
      <c r="I13" s="9">
        <v>3.0E7</v>
      </c>
    </row>
    <row r="14" ht="19.5" customHeight="1">
      <c r="A14" s="3">
        <v>13.0</v>
      </c>
      <c r="B14" s="5" t="s">
        <v>57</v>
      </c>
      <c r="C14" s="5" t="s">
        <v>82</v>
      </c>
      <c r="D14" s="7" t="s">
        <v>15</v>
      </c>
      <c r="E14" s="3">
        <v>1.1767E7</v>
      </c>
      <c r="F14" s="5" t="s">
        <v>84</v>
      </c>
      <c r="G14" s="5" t="s">
        <v>66</v>
      </c>
      <c r="H14" s="5" t="s">
        <v>67</v>
      </c>
      <c r="I14" s="3">
        <v>3.0E7</v>
      </c>
    </row>
    <row r="15" ht="19.5" customHeight="1">
      <c r="A15" s="9">
        <v>14.0</v>
      </c>
      <c r="B15" s="11" t="s">
        <v>57</v>
      </c>
      <c r="C15" s="11" t="s">
        <v>85</v>
      </c>
      <c r="D15" s="13" t="s">
        <v>15</v>
      </c>
      <c r="E15" s="9">
        <v>1.5343E7</v>
      </c>
      <c r="F15" s="11" t="s">
        <v>86</v>
      </c>
      <c r="G15" s="11" t="s">
        <v>87</v>
      </c>
      <c r="H15" s="11" t="s">
        <v>89</v>
      </c>
      <c r="I15" s="9">
        <v>3.0E7</v>
      </c>
    </row>
    <row r="16" ht="19.5" customHeight="1">
      <c r="A16" s="3">
        <v>15.0</v>
      </c>
      <c r="B16" s="5" t="s">
        <v>57</v>
      </c>
      <c r="C16" s="5" t="s">
        <v>90</v>
      </c>
      <c r="D16" s="7" t="s">
        <v>15</v>
      </c>
      <c r="E16" s="3">
        <v>1.1767E7</v>
      </c>
      <c r="F16" s="5" t="s">
        <v>84</v>
      </c>
      <c r="G16" s="5" t="s">
        <v>66</v>
      </c>
      <c r="H16" s="5" t="s">
        <v>67</v>
      </c>
      <c r="I16" s="3">
        <v>3.0E7</v>
      </c>
    </row>
    <row r="17" ht="19.5" customHeight="1">
      <c r="A17" s="9">
        <v>16.0</v>
      </c>
      <c r="B17" s="11" t="s">
        <v>57</v>
      </c>
      <c r="C17" s="11" t="s">
        <v>88</v>
      </c>
      <c r="D17" s="13" t="s">
        <v>15</v>
      </c>
      <c r="E17" s="9">
        <v>1.365E7</v>
      </c>
      <c r="F17" s="11" t="s">
        <v>69</v>
      </c>
      <c r="G17" s="11" t="s">
        <v>70</v>
      </c>
      <c r="H17" s="11" t="s">
        <v>94</v>
      </c>
      <c r="I17" s="9">
        <v>3.0E7</v>
      </c>
    </row>
    <row r="18" ht="19.5" customHeight="1">
      <c r="A18" s="3">
        <v>17.0</v>
      </c>
      <c r="B18" s="5" t="s">
        <v>57</v>
      </c>
      <c r="C18" s="5" t="s">
        <v>95</v>
      </c>
      <c r="D18" s="7" t="s">
        <v>15</v>
      </c>
      <c r="E18" s="3">
        <v>1.1767E7</v>
      </c>
      <c r="F18" s="5" t="s">
        <v>84</v>
      </c>
      <c r="G18" s="5" t="s">
        <v>66</v>
      </c>
      <c r="H18" s="5" t="s">
        <v>67</v>
      </c>
      <c r="I18" s="3">
        <v>5.0E7</v>
      </c>
    </row>
    <row r="19" ht="19.5" customHeight="1">
      <c r="A19" s="9">
        <v>18.0</v>
      </c>
      <c r="B19" s="11" t="s">
        <v>57</v>
      </c>
      <c r="C19" s="11" t="s">
        <v>93</v>
      </c>
      <c r="D19" s="13" t="s">
        <v>15</v>
      </c>
      <c r="E19" s="9">
        <v>1.365E7</v>
      </c>
      <c r="F19" s="11" t="s">
        <v>69</v>
      </c>
      <c r="G19" s="11" t="s">
        <v>70</v>
      </c>
      <c r="H19" s="11" t="s">
        <v>71</v>
      </c>
      <c r="I19" s="9">
        <v>5.0E7</v>
      </c>
    </row>
    <row r="20" ht="19.5" customHeight="1">
      <c r="A20" s="3">
        <v>19.0</v>
      </c>
      <c r="B20" s="5" t="s">
        <v>100</v>
      </c>
      <c r="C20" s="5" t="s">
        <v>102</v>
      </c>
      <c r="D20" s="7" t="s">
        <v>15</v>
      </c>
      <c r="E20" s="3">
        <v>1.0857E7</v>
      </c>
      <c r="F20" s="5" t="s">
        <v>103</v>
      </c>
      <c r="G20" s="5" t="s">
        <v>104</v>
      </c>
      <c r="H20" s="5" t="s">
        <v>105</v>
      </c>
      <c r="I20" s="3">
        <v>1.5E7</v>
      </c>
    </row>
    <row r="21" ht="19.5" customHeight="1">
      <c r="A21" s="9">
        <v>20.0</v>
      </c>
      <c r="B21" s="11" t="s">
        <v>100</v>
      </c>
      <c r="C21" s="11" t="s">
        <v>106</v>
      </c>
      <c r="D21" s="13" t="s">
        <v>15</v>
      </c>
      <c r="E21" s="9">
        <v>1.1463E7</v>
      </c>
      <c r="F21" s="11" t="s">
        <v>107</v>
      </c>
      <c r="G21" s="11" t="s">
        <v>109</v>
      </c>
      <c r="H21" s="11" t="s">
        <v>111</v>
      </c>
      <c r="I21" s="9">
        <v>1.5E7</v>
      </c>
    </row>
    <row r="22" ht="19.5" customHeight="1">
      <c r="A22" s="3">
        <v>21.0</v>
      </c>
      <c r="B22" s="5" t="s">
        <v>100</v>
      </c>
      <c r="C22" s="5" t="s">
        <v>113</v>
      </c>
      <c r="D22" s="7" t="s">
        <v>15</v>
      </c>
      <c r="E22" s="3">
        <v>1.0857E7</v>
      </c>
      <c r="F22" s="5" t="s">
        <v>103</v>
      </c>
      <c r="G22" s="5" t="s">
        <v>104</v>
      </c>
      <c r="H22" s="5" t="s">
        <v>105</v>
      </c>
      <c r="I22" s="3">
        <v>1.5E7</v>
      </c>
    </row>
    <row r="23" ht="19.5" customHeight="1">
      <c r="A23" s="9">
        <v>22.0</v>
      </c>
      <c r="B23" s="11" t="s">
        <v>100</v>
      </c>
      <c r="C23" s="11" t="s">
        <v>115</v>
      </c>
      <c r="D23" s="13" t="s">
        <v>15</v>
      </c>
      <c r="E23" s="9">
        <v>1.1055E7</v>
      </c>
      <c r="F23" s="11" t="s">
        <v>116</v>
      </c>
      <c r="G23" s="11" t="s">
        <v>117</v>
      </c>
      <c r="H23" s="11" t="s">
        <v>118</v>
      </c>
      <c r="I23" s="9">
        <v>1.5E7</v>
      </c>
    </row>
    <row r="24" ht="19.5" customHeight="1">
      <c r="A24" s="3">
        <v>23.0</v>
      </c>
      <c r="B24" s="5" t="s">
        <v>100</v>
      </c>
      <c r="C24" s="5" t="s">
        <v>119</v>
      </c>
      <c r="D24" s="7" t="s">
        <v>15</v>
      </c>
      <c r="E24" s="3">
        <v>1.1463E7</v>
      </c>
      <c r="F24" s="5" t="s">
        <v>120</v>
      </c>
      <c r="G24" s="5" t="s">
        <v>109</v>
      </c>
      <c r="H24" s="5" t="s">
        <v>121</v>
      </c>
      <c r="I24" s="3">
        <v>1.5E7</v>
      </c>
    </row>
    <row r="25" ht="19.5" customHeight="1">
      <c r="A25" s="9">
        <v>24.0</v>
      </c>
      <c r="B25" s="11" t="s">
        <v>100</v>
      </c>
      <c r="C25" s="11" t="s">
        <v>122</v>
      </c>
      <c r="D25" s="13" t="s">
        <v>15</v>
      </c>
      <c r="E25" s="9">
        <v>1.0857E7</v>
      </c>
      <c r="F25" s="11" t="s">
        <v>103</v>
      </c>
      <c r="G25" s="11" t="s">
        <v>104</v>
      </c>
      <c r="H25" s="11" t="s">
        <v>105</v>
      </c>
      <c r="I25" s="9">
        <v>1.5E7</v>
      </c>
    </row>
    <row r="26" ht="19.5" customHeight="1">
      <c r="A26" s="3">
        <v>25.0</v>
      </c>
      <c r="B26" s="5" t="s">
        <v>100</v>
      </c>
      <c r="C26" s="5" t="s">
        <v>125</v>
      </c>
      <c r="D26" s="7" t="s">
        <v>15</v>
      </c>
      <c r="E26" s="3">
        <v>1.4814E7</v>
      </c>
      <c r="F26" s="5" t="s">
        <v>126</v>
      </c>
      <c r="G26" s="5" t="s">
        <v>127</v>
      </c>
      <c r="H26" s="5" t="s">
        <v>128</v>
      </c>
      <c r="I26" s="3">
        <v>1.5E7</v>
      </c>
    </row>
    <row r="27" ht="19.5" customHeight="1">
      <c r="A27" s="9">
        <v>26.0</v>
      </c>
      <c r="B27" s="11" t="s">
        <v>100</v>
      </c>
      <c r="C27" s="11" t="s">
        <v>129</v>
      </c>
      <c r="D27" s="13" t="s">
        <v>15</v>
      </c>
      <c r="E27" s="9">
        <v>1.4814E7</v>
      </c>
      <c r="F27" s="11" t="s">
        <v>126</v>
      </c>
      <c r="G27" s="11" t="s">
        <v>127</v>
      </c>
      <c r="H27" s="11" t="s">
        <v>128</v>
      </c>
      <c r="I27" s="9">
        <v>1.5E7</v>
      </c>
    </row>
    <row r="28" ht="19.5" customHeight="1">
      <c r="A28" s="3">
        <v>27.0</v>
      </c>
      <c r="B28" s="5" t="s">
        <v>100</v>
      </c>
      <c r="C28" s="5" t="s">
        <v>134</v>
      </c>
      <c r="D28" s="7" t="s">
        <v>15</v>
      </c>
      <c r="E28" s="3">
        <v>7348000.0</v>
      </c>
      <c r="F28" s="5" t="s">
        <v>28</v>
      </c>
      <c r="G28" s="5" t="s">
        <v>30</v>
      </c>
      <c r="H28" s="5" t="s">
        <v>31</v>
      </c>
      <c r="I28" s="3">
        <v>1.5E7</v>
      </c>
    </row>
    <row r="29" ht="19.5" customHeight="1">
      <c r="A29" s="9">
        <v>28.0</v>
      </c>
      <c r="B29" s="11" t="s">
        <v>100</v>
      </c>
      <c r="C29" s="11" t="s">
        <v>136</v>
      </c>
      <c r="D29" s="13" t="s">
        <v>15</v>
      </c>
      <c r="E29" s="9">
        <v>7348000.0</v>
      </c>
      <c r="F29" s="11" t="s">
        <v>28</v>
      </c>
      <c r="G29" s="11" t="s">
        <v>30</v>
      </c>
      <c r="H29" s="11" t="s">
        <v>31</v>
      </c>
      <c r="I29" s="9">
        <v>1.5E7</v>
      </c>
    </row>
    <row r="30" ht="19.5" customHeight="1">
      <c r="A30" s="3">
        <v>29.0</v>
      </c>
      <c r="B30" s="5" t="s">
        <v>137</v>
      </c>
      <c r="C30" s="5" t="s">
        <v>138</v>
      </c>
      <c r="D30" s="7" t="s">
        <v>15</v>
      </c>
      <c r="E30" s="3">
        <v>7348000.0</v>
      </c>
      <c r="F30" s="5" t="s">
        <v>28</v>
      </c>
      <c r="G30" s="5" t="s">
        <v>30</v>
      </c>
      <c r="H30" s="5" t="s">
        <v>31</v>
      </c>
      <c r="I30" s="3">
        <v>5000000.0</v>
      </c>
    </row>
    <row r="31" ht="19.5" customHeight="1">
      <c r="A31" s="9">
        <v>30.0</v>
      </c>
      <c r="B31" s="11" t="s">
        <v>137</v>
      </c>
      <c r="C31" s="11" t="s">
        <v>139</v>
      </c>
      <c r="D31" s="13" t="s">
        <v>15</v>
      </c>
      <c r="E31" s="9">
        <v>1.0857E7</v>
      </c>
      <c r="F31" s="11" t="s">
        <v>103</v>
      </c>
      <c r="G31" s="11" t="s">
        <v>104</v>
      </c>
      <c r="H31" s="11" t="s">
        <v>105</v>
      </c>
      <c r="I31" s="9">
        <v>5000000.0</v>
      </c>
    </row>
    <row r="32" ht="19.5" customHeight="1">
      <c r="A32" s="3">
        <v>31.0</v>
      </c>
      <c r="B32" s="5" t="s">
        <v>137</v>
      </c>
      <c r="C32" s="5" t="s">
        <v>141</v>
      </c>
      <c r="D32" s="7" t="s">
        <v>15</v>
      </c>
      <c r="E32" s="3">
        <v>7348000.0</v>
      </c>
      <c r="F32" s="5" t="s">
        <v>28</v>
      </c>
      <c r="G32" s="5" t="s">
        <v>30</v>
      </c>
      <c r="H32" s="5" t="s">
        <v>31</v>
      </c>
      <c r="I32" s="3">
        <v>5000000.0</v>
      </c>
    </row>
    <row r="33" ht="19.5" customHeight="1">
      <c r="A33" s="9">
        <v>32.0</v>
      </c>
      <c r="B33" s="11" t="s">
        <v>137</v>
      </c>
      <c r="C33" s="11" t="s">
        <v>143</v>
      </c>
      <c r="D33" s="13" t="s">
        <v>15</v>
      </c>
      <c r="E33" s="9">
        <v>1.1463E7</v>
      </c>
      <c r="F33" s="11" t="s">
        <v>107</v>
      </c>
      <c r="G33" s="11" t="s">
        <v>109</v>
      </c>
      <c r="H33" s="11" t="s">
        <v>121</v>
      </c>
      <c r="I33" s="9">
        <v>5000000.0</v>
      </c>
    </row>
    <row r="34" ht="19.5" customHeight="1">
      <c r="A34" s="3">
        <v>33.0</v>
      </c>
      <c r="B34" s="5" t="s">
        <v>137</v>
      </c>
      <c r="C34" s="5" t="s">
        <v>144</v>
      </c>
      <c r="D34" s="7" t="s">
        <v>15</v>
      </c>
      <c r="E34" s="3">
        <v>8450000.0</v>
      </c>
      <c r="F34" s="5" t="s">
        <v>145</v>
      </c>
      <c r="G34" s="5" t="s">
        <v>146</v>
      </c>
      <c r="H34" s="5" t="s">
        <v>147</v>
      </c>
      <c r="I34" s="3">
        <v>5000000.0</v>
      </c>
    </row>
    <row r="35" ht="19.5" customHeight="1">
      <c r="A35" s="9">
        <v>34.0</v>
      </c>
      <c r="B35" s="11" t="s">
        <v>137</v>
      </c>
      <c r="C35" s="11" t="s">
        <v>148</v>
      </c>
      <c r="D35" s="13" t="s">
        <v>15</v>
      </c>
      <c r="E35" s="9">
        <v>9553000.0</v>
      </c>
      <c r="F35" s="11" t="s">
        <v>149</v>
      </c>
      <c r="G35" s="11" t="s">
        <v>150</v>
      </c>
      <c r="H35" s="11" t="s">
        <v>151</v>
      </c>
      <c r="I35" s="9">
        <v>5000000.0</v>
      </c>
    </row>
    <row r="36" ht="19.5" customHeight="1">
      <c r="A36" s="3">
        <v>35.0</v>
      </c>
      <c r="B36" s="5" t="s">
        <v>137</v>
      </c>
      <c r="C36" s="5" t="s">
        <v>152</v>
      </c>
      <c r="D36" s="7" t="s">
        <v>15</v>
      </c>
      <c r="E36" s="3">
        <v>9553000.0</v>
      </c>
      <c r="F36" s="5" t="s">
        <v>149</v>
      </c>
      <c r="G36" s="5" t="s">
        <v>153</v>
      </c>
      <c r="H36" s="5" t="s">
        <v>151</v>
      </c>
      <c r="I36" s="3">
        <v>5000000.0</v>
      </c>
    </row>
    <row r="37" ht="19.5" customHeight="1">
      <c r="A37" s="9">
        <v>36.0</v>
      </c>
      <c r="B37" s="11" t="s">
        <v>137</v>
      </c>
      <c r="C37" s="11" t="s">
        <v>155</v>
      </c>
      <c r="D37" s="13" t="s">
        <v>15</v>
      </c>
      <c r="E37" s="9">
        <v>1.2227E7</v>
      </c>
      <c r="F37" s="11" t="s">
        <v>156</v>
      </c>
      <c r="G37" s="11" t="s">
        <v>157</v>
      </c>
      <c r="H37" s="11" t="s">
        <v>158</v>
      </c>
      <c r="I37" s="9">
        <v>5000000.0</v>
      </c>
    </row>
    <row r="38" ht="19.5" customHeight="1">
      <c r="A38" s="3">
        <v>37.0</v>
      </c>
      <c r="B38" s="5" t="s">
        <v>137</v>
      </c>
      <c r="C38" s="5" t="s">
        <v>160</v>
      </c>
      <c r="D38" s="7" t="s">
        <v>15</v>
      </c>
      <c r="E38" s="3">
        <v>1.2463E7</v>
      </c>
      <c r="F38" s="5" t="s">
        <v>107</v>
      </c>
      <c r="G38" s="5" t="s">
        <v>109</v>
      </c>
      <c r="H38" s="5" t="s">
        <v>121</v>
      </c>
      <c r="I38" s="3">
        <v>5000000.0</v>
      </c>
    </row>
    <row r="39" ht="19.5" customHeight="1">
      <c r="A39" s="9">
        <v>38.0</v>
      </c>
      <c r="B39" s="11" t="s">
        <v>137</v>
      </c>
      <c r="C39" s="11" t="s">
        <v>161</v>
      </c>
      <c r="D39" s="13" t="s">
        <v>15</v>
      </c>
      <c r="E39" s="11" t="s">
        <v>162</v>
      </c>
      <c r="F39" s="11" t="s">
        <v>107</v>
      </c>
      <c r="G39" s="11" t="s">
        <v>163</v>
      </c>
      <c r="H39" s="11"/>
      <c r="I39" s="9">
        <v>5000000.0</v>
      </c>
    </row>
    <row r="40" ht="19.5" customHeight="1">
      <c r="A40" s="3">
        <v>39.0</v>
      </c>
      <c r="B40" s="5" t="s">
        <v>137</v>
      </c>
      <c r="C40" s="5" t="s">
        <v>164</v>
      </c>
      <c r="D40" s="7" t="s">
        <v>15</v>
      </c>
      <c r="E40" s="3">
        <v>1.1463E7</v>
      </c>
      <c r="F40" s="5" t="s">
        <v>165</v>
      </c>
      <c r="G40" s="5"/>
      <c r="H40" s="5"/>
      <c r="I40" s="3">
        <v>5000000.0</v>
      </c>
    </row>
    <row r="41" ht="19.5" customHeight="1">
      <c r="A41" s="9">
        <v>40.0</v>
      </c>
      <c r="B41" s="11" t="s">
        <v>137</v>
      </c>
      <c r="C41" s="11" t="s">
        <v>166</v>
      </c>
      <c r="D41" s="13" t="s">
        <v>15</v>
      </c>
      <c r="E41" s="9">
        <v>1.0439E7</v>
      </c>
      <c r="F41" s="11" t="s">
        <v>168</v>
      </c>
      <c r="G41" s="11" t="s">
        <v>169</v>
      </c>
      <c r="H41" s="11" t="s">
        <v>171</v>
      </c>
      <c r="I41" s="9">
        <v>5000000.0</v>
      </c>
    </row>
    <row r="42" ht="19.5" customHeight="1">
      <c r="A42" s="3">
        <v>41.0</v>
      </c>
      <c r="B42" s="5" t="s">
        <v>137</v>
      </c>
      <c r="C42" s="5" t="s">
        <v>172</v>
      </c>
      <c r="D42" s="7" t="s">
        <v>15</v>
      </c>
      <c r="E42" s="3">
        <v>7642000.0</v>
      </c>
      <c r="F42" s="5" t="s">
        <v>34</v>
      </c>
      <c r="G42" s="5" t="s">
        <v>38</v>
      </c>
      <c r="H42" s="5" t="s">
        <v>36</v>
      </c>
      <c r="I42" s="3">
        <v>5000000.0</v>
      </c>
    </row>
    <row r="43" ht="19.5" customHeight="1">
      <c r="A43" s="9">
        <v>42.0</v>
      </c>
      <c r="B43" s="11" t="s">
        <v>137</v>
      </c>
      <c r="C43" s="11" t="s">
        <v>173</v>
      </c>
      <c r="D43" s="13" t="s">
        <v>15</v>
      </c>
      <c r="E43" s="9">
        <v>7348000.0</v>
      </c>
      <c r="F43" s="11" t="s">
        <v>174</v>
      </c>
      <c r="G43" s="11" t="s">
        <v>30</v>
      </c>
      <c r="H43" s="11" t="s">
        <v>31</v>
      </c>
      <c r="I43" s="9">
        <v>5000000.0</v>
      </c>
    </row>
    <row r="44" ht="19.5" customHeight="1">
      <c r="A44" s="3">
        <v>43.0</v>
      </c>
      <c r="B44" s="5" t="s">
        <v>137</v>
      </c>
      <c r="C44" s="5" t="s">
        <v>176</v>
      </c>
      <c r="D44" s="7" t="s">
        <v>15</v>
      </c>
      <c r="E44" s="3">
        <v>8450000.0</v>
      </c>
      <c r="F44" s="5" t="s">
        <v>147</v>
      </c>
      <c r="G44" s="5"/>
      <c r="H44" s="5"/>
      <c r="I44" s="3">
        <v>5000000.0</v>
      </c>
    </row>
    <row r="45" ht="19.5" customHeight="1">
      <c r="A45" s="9">
        <v>44.0</v>
      </c>
      <c r="B45" s="11" t="s">
        <v>137</v>
      </c>
      <c r="C45" s="11" t="s">
        <v>178</v>
      </c>
      <c r="D45" s="13" t="s">
        <v>15</v>
      </c>
      <c r="E45" s="11" t="s">
        <v>179</v>
      </c>
      <c r="F45" s="11" t="s">
        <v>145</v>
      </c>
      <c r="G45" s="11" t="s">
        <v>146</v>
      </c>
      <c r="H45" s="11"/>
      <c r="I45" s="9">
        <v>5000000.0</v>
      </c>
    </row>
    <row r="46" ht="19.5" customHeight="1">
      <c r="A46" s="3">
        <v>45.0</v>
      </c>
      <c r="B46" s="5" t="s">
        <v>137</v>
      </c>
      <c r="C46" s="5" t="s">
        <v>181</v>
      </c>
      <c r="D46" s="7" t="s">
        <v>15</v>
      </c>
      <c r="E46" s="3">
        <v>2.6355E7</v>
      </c>
      <c r="F46" s="5" t="s">
        <v>48</v>
      </c>
      <c r="G46" s="5" t="s">
        <v>49</v>
      </c>
      <c r="H46" s="5" t="s">
        <v>50</v>
      </c>
      <c r="I46" s="3">
        <v>5000000.0</v>
      </c>
    </row>
    <row r="47" ht="19.5" customHeight="1">
      <c r="A47" s="9">
        <v>46.0</v>
      </c>
      <c r="B47" s="11" t="s">
        <v>182</v>
      </c>
      <c r="C47" s="11" t="s">
        <v>183</v>
      </c>
      <c r="D47" s="13" t="s">
        <v>15</v>
      </c>
      <c r="E47" s="9">
        <v>8450000.0</v>
      </c>
      <c r="F47" s="11" t="s">
        <v>145</v>
      </c>
      <c r="G47" s="11" t="s">
        <v>146</v>
      </c>
      <c r="H47" s="11" t="s">
        <v>147</v>
      </c>
      <c r="I47" s="9">
        <v>2.5E8</v>
      </c>
    </row>
    <row r="48" ht="19.5" customHeight="1">
      <c r="A48" s="3">
        <v>47.0</v>
      </c>
      <c r="B48" s="5" t="s">
        <v>182</v>
      </c>
      <c r="C48" s="5" t="s">
        <v>184</v>
      </c>
      <c r="D48" s="7" t="s">
        <v>15</v>
      </c>
      <c r="E48" s="3">
        <v>1.2227E7</v>
      </c>
      <c r="F48" s="5" t="s">
        <v>156</v>
      </c>
      <c r="G48" s="5" t="s">
        <v>157</v>
      </c>
      <c r="H48" s="5" t="s">
        <v>158</v>
      </c>
      <c r="I48" s="3">
        <v>3.0E7</v>
      </c>
    </row>
    <row r="49" ht="19.5" customHeight="1">
      <c r="A49" s="9">
        <v>48.0</v>
      </c>
      <c r="B49" s="11" t="s">
        <v>73</v>
      </c>
      <c r="C49" s="11" t="s">
        <v>187</v>
      </c>
      <c r="D49" s="13" t="s">
        <v>15</v>
      </c>
      <c r="E49" s="9">
        <v>2.5341E7</v>
      </c>
      <c r="F49" s="11" t="s">
        <v>188</v>
      </c>
      <c r="G49" s="11" t="s">
        <v>189</v>
      </c>
      <c r="H49" s="11" t="s">
        <v>190</v>
      </c>
      <c r="I49" s="9">
        <v>5000000.0</v>
      </c>
    </row>
    <row r="50" ht="19.5" customHeight="1">
      <c r="A50" s="3">
        <v>49.0</v>
      </c>
      <c r="B50" s="5" t="s">
        <v>73</v>
      </c>
      <c r="C50" s="5" t="s">
        <v>192</v>
      </c>
      <c r="D50" s="7" t="s">
        <v>15</v>
      </c>
      <c r="E50" s="3">
        <v>1.2227E7</v>
      </c>
      <c r="F50" s="5" t="s">
        <v>156</v>
      </c>
      <c r="G50" s="5" t="s">
        <v>157</v>
      </c>
      <c r="H50" s="5" t="s">
        <v>158</v>
      </c>
      <c r="I50" s="3">
        <v>3.0E7</v>
      </c>
    </row>
    <row r="51" ht="19.5" customHeight="1">
      <c r="A51" s="9">
        <v>50.0</v>
      </c>
      <c r="B51" s="11" t="s">
        <v>73</v>
      </c>
      <c r="C51" s="11" t="s">
        <v>193</v>
      </c>
      <c r="D51" s="13" t="s">
        <v>15</v>
      </c>
      <c r="E51" s="9">
        <v>1.2227E7</v>
      </c>
      <c r="F51" s="11" t="s">
        <v>156</v>
      </c>
      <c r="G51" s="11" t="s">
        <v>157</v>
      </c>
      <c r="H51" s="11" t="s">
        <v>158</v>
      </c>
      <c r="I51" s="9">
        <v>5000000.0</v>
      </c>
    </row>
    <row r="52" ht="19.5" customHeight="1">
      <c r="A52" s="3">
        <v>51.0</v>
      </c>
      <c r="B52" s="5" t="s">
        <v>73</v>
      </c>
      <c r="C52" s="5" t="s">
        <v>194</v>
      </c>
      <c r="D52" s="7" t="s">
        <v>15</v>
      </c>
      <c r="E52" s="3">
        <v>1.0857E7</v>
      </c>
      <c r="F52" s="5" t="s">
        <v>103</v>
      </c>
      <c r="G52" s="5" t="s">
        <v>104</v>
      </c>
      <c r="H52" s="5" t="s">
        <v>105</v>
      </c>
      <c r="I52" s="3">
        <v>5000000.0</v>
      </c>
    </row>
    <row r="53" ht="19.5" customHeight="1">
      <c r="A53" s="9">
        <v>52.0</v>
      </c>
      <c r="B53" s="11" t="s">
        <v>73</v>
      </c>
      <c r="C53" s="11" t="s">
        <v>195</v>
      </c>
      <c r="D53" s="13" t="s">
        <v>15</v>
      </c>
      <c r="E53" s="9">
        <v>1.0439E7</v>
      </c>
      <c r="F53" s="11" t="s">
        <v>168</v>
      </c>
      <c r="G53" s="11" t="s">
        <v>169</v>
      </c>
      <c r="H53" s="11" t="s">
        <v>171</v>
      </c>
      <c r="I53" s="9">
        <v>5000000.0</v>
      </c>
    </row>
    <row r="54" ht="19.5" customHeight="1">
      <c r="A54" s="3">
        <v>53.0</v>
      </c>
      <c r="B54" s="5" t="s">
        <v>73</v>
      </c>
      <c r="C54" s="5" t="s">
        <v>197</v>
      </c>
      <c r="D54" s="7" t="s">
        <v>15</v>
      </c>
      <c r="E54" s="3">
        <v>1.0857E7</v>
      </c>
      <c r="F54" s="5" t="s">
        <v>103</v>
      </c>
      <c r="G54" s="5" t="s">
        <v>104</v>
      </c>
      <c r="H54" s="5" t="s">
        <v>105</v>
      </c>
      <c r="I54" s="3">
        <v>1.0E7</v>
      </c>
    </row>
    <row r="55" ht="19.5" customHeight="1">
      <c r="A55" s="9">
        <v>54.0</v>
      </c>
      <c r="B55" s="11" t="s">
        <v>73</v>
      </c>
      <c r="C55" s="11" t="s">
        <v>198</v>
      </c>
      <c r="D55" s="13" t="s">
        <v>15</v>
      </c>
      <c r="E55" s="9">
        <v>7348000.0</v>
      </c>
      <c r="F55" s="11" t="s">
        <v>28</v>
      </c>
      <c r="G55" s="11" t="s">
        <v>30</v>
      </c>
      <c r="H55" s="11" t="s">
        <v>31</v>
      </c>
      <c r="I55" s="9">
        <v>2.5E7</v>
      </c>
    </row>
    <row r="56" ht="19.5" customHeight="1">
      <c r="A56" s="3">
        <v>55.0</v>
      </c>
      <c r="B56" s="5" t="s">
        <v>199</v>
      </c>
      <c r="C56" s="5" t="s">
        <v>200</v>
      </c>
      <c r="D56" s="7" t="s">
        <v>15</v>
      </c>
      <c r="E56" s="3">
        <v>7348000.0</v>
      </c>
      <c r="F56" s="5" t="s">
        <v>28</v>
      </c>
      <c r="G56" s="5" t="s">
        <v>30</v>
      </c>
      <c r="H56" s="5" t="s">
        <v>31</v>
      </c>
      <c r="I56" s="3">
        <v>5000000.0</v>
      </c>
    </row>
    <row r="57" ht="19.5" customHeight="1">
      <c r="A57" s="9">
        <v>56.0</v>
      </c>
      <c r="B57" s="11" t="s">
        <v>199</v>
      </c>
      <c r="C57" s="11" t="s">
        <v>203</v>
      </c>
      <c r="D57" s="13" t="s">
        <v>15</v>
      </c>
      <c r="E57" s="9">
        <v>7348000.0</v>
      </c>
      <c r="F57" s="11" t="s">
        <v>28</v>
      </c>
      <c r="G57" s="11" t="s">
        <v>30</v>
      </c>
      <c r="H57" s="11" t="s">
        <v>31</v>
      </c>
      <c r="I57" s="9">
        <v>5000000.0</v>
      </c>
    </row>
    <row r="58" ht="19.5" customHeight="1">
      <c r="A58" s="3">
        <v>57.0</v>
      </c>
      <c r="B58" s="5" t="s">
        <v>199</v>
      </c>
      <c r="C58" s="5" t="s">
        <v>204</v>
      </c>
      <c r="D58" s="7" t="s">
        <v>15</v>
      </c>
      <c r="E58" s="3">
        <v>1.1022E7</v>
      </c>
      <c r="F58" s="5" t="s">
        <v>205</v>
      </c>
      <c r="G58" s="5" t="s">
        <v>206</v>
      </c>
      <c r="H58" s="5" t="s">
        <v>207</v>
      </c>
      <c r="I58" s="3">
        <v>5000000.0</v>
      </c>
    </row>
    <row r="59" ht="19.5" customHeight="1">
      <c r="A59" s="9">
        <v>58.0</v>
      </c>
      <c r="B59" s="11" t="s">
        <v>199</v>
      </c>
      <c r="C59" s="11" t="s">
        <v>208</v>
      </c>
      <c r="D59" s="13" t="s">
        <v>15</v>
      </c>
      <c r="E59" s="9">
        <v>1.2046E7</v>
      </c>
      <c r="F59" s="11" t="s">
        <v>209</v>
      </c>
      <c r="G59" s="11" t="s">
        <v>210</v>
      </c>
      <c r="H59" s="11" t="s">
        <v>211</v>
      </c>
      <c r="I59" s="9">
        <v>5000000.0</v>
      </c>
    </row>
    <row r="60" ht="19.5" customHeight="1">
      <c r="A60" s="3">
        <v>59.0</v>
      </c>
      <c r="B60" s="5" t="s">
        <v>212</v>
      </c>
      <c r="C60" s="5" t="s">
        <v>213</v>
      </c>
      <c r="D60" s="7" t="s">
        <v>15</v>
      </c>
      <c r="E60" s="3">
        <v>1.1463E7</v>
      </c>
      <c r="F60" s="5" t="s">
        <v>107</v>
      </c>
      <c r="G60" s="5" t="s">
        <v>109</v>
      </c>
      <c r="H60" s="5" t="s">
        <v>121</v>
      </c>
      <c r="I60" s="3">
        <v>6000000.0</v>
      </c>
    </row>
    <row r="61" ht="19.5" customHeight="1">
      <c r="A61" s="9">
        <v>60.0</v>
      </c>
      <c r="B61" s="11" t="s">
        <v>212</v>
      </c>
      <c r="C61" s="11" t="s">
        <v>214</v>
      </c>
      <c r="D61" s="13" t="s">
        <v>15</v>
      </c>
      <c r="E61" s="9">
        <v>1.3227E7</v>
      </c>
      <c r="F61" s="11" t="s">
        <v>215</v>
      </c>
      <c r="G61" s="11" t="s">
        <v>216</v>
      </c>
      <c r="H61" s="11" t="s">
        <v>217</v>
      </c>
      <c r="I61" s="9">
        <v>6000000.0</v>
      </c>
    </row>
    <row r="62" ht="19.5" customHeight="1">
      <c r="A62" s="3">
        <v>61.0</v>
      </c>
      <c r="B62" s="5" t="s">
        <v>212</v>
      </c>
      <c r="C62" s="5" t="s">
        <v>218</v>
      </c>
      <c r="D62" s="7" t="s">
        <v>15</v>
      </c>
      <c r="E62" s="3">
        <v>2.6355E7</v>
      </c>
      <c r="F62" s="5" t="s">
        <v>48</v>
      </c>
      <c r="G62" s="5" t="s">
        <v>49</v>
      </c>
      <c r="H62" s="5" t="s">
        <v>50</v>
      </c>
      <c r="I62" s="3">
        <v>6000000.0</v>
      </c>
    </row>
    <row r="63" ht="19.5" customHeight="1">
      <c r="A63" s="9">
        <v>62.0</v>
      </c>
      <c r="B63" s="11" t="s">
        <v>219</v>
      </c>
      <c r="C63" s="11" t="s">
        <v>220</v>
      </c>
      <c r="D63" s="13" t="s">
        <v>15</v>
      </c>
      <c r="E63" s="9">
        <v>2.6355E7</v>
      </c>
      <c r="F63" s="11" t="s">
        <v>48</v>
      </c>
      <c r="G63" s="11" t="s">
        <v>49</v>
      </c>
      <c r="H63" s="11" t="s">
        <v>50</v>
      </c>
      <c r="I63" s="9">
        <v>4.0E7</v>
      </c>
    </row>
    <row r="64" ht="19.5" customHeight="1">
      <c r="A64" s="3">
        <v>63.0</v>
      </c>
      <c r="B64" s="5" t="s">
        <v>222</v>
      </c>
      <c r="C64" s="5" t="s">
        <v>223</v>
      </c>
      <c r="D64" s="7" t="s">
        <v>15</v>
      </c>
      <c r="E64" s="5"/>
      <c r="F64" s="5"/>
      <c r="G64" s="5"/>
      <c r="H64" s="5"/>
      <c r="I64" s="3">
        <v>2.5E8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26.25"/>
    <col customWidth="1" min="3" max="3" width="21.88"/>
    <col customWidth="1" min="4" max="6" width="10.5"/>
    <col customWidth="1" min="7" max="7" width="32.38"/>
    <col customWidth="1" min="8" max="8" width="29.75"/>
    <col customWidth="1" min="9" max="26" width="7.63"/>
  </cols>
  <sheetData>
    <row r="1" ht="27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10</v>
      </c>
      <c r="F1" s="2" t="s">
        <v>11</v>
      </c>
      <c r="G1" s="2" t="s">
        <v>12</v>
      </c>
      <c r="H1" s="2" t="s">
        <v>13</v>
      </c>
    </row>
    <row r="2" ht="19.5" customHeight="1">
      <c r="A2" s="6">
        <v>1.0</v>
      </c>
      <c r="B2" s="8" t="s">
        <v>9</v>
      </c>
      <c r="C2" s="8" t="s">
        <v>14</v>
      </c>
      <c r="D2" s="10" t="s">
        <v>22</v>
      </c>
      <c r="E2" s="10" t="s">
        <v>24</v>
      </c>
      <c r="F2" s="10" t="s">
        <v>25</v>
      </c>
      <c r="G2" s="6">
        <v>2500000.0</v>
      </c>
      <c r="H2" s="6">
        <v>5000000.0</v>
      </c>
    </row>
    <row r="3" ht="19.5" customHeight="1">
      <c r="A3" s="9">
        <v>2.0</v>
      </c>
      <c r="B3" s="11" t="s">
        <v>9</v>
      </c>
      <c r="C3" s="11" t="s">
        <v>32</v>
      </c>
      <c r="D3" s="13" t="s">
        <v>22</v>
      </c>
      <c r="E3" s="13" t="s">
        <v>24</v>
      </c>
      <c r="F3" s="13" t="s">
        <v>25</v>
      </c>
      <c r="G3" s="9">
        <v>2500000.0</v>
      </c>
      <c r="H3" s="9">
        <v>5000000.0</v>
      </c>
    </row>
    <row r="4" ht="19.5" customHeight="1">
      <c r="A4" s="6">
        <v>3.0</v>
      </c>
      <c r="B4" s="8" t="s">
        <v>9</v>
      </c>
      <c r="C4" s="8" t="s">
        <v>39</v>
      </c>
      <c r="D4" s="10" t="s">
        <v>22</v>
      </c>
      <c r="E4" s="10" t="s">
        <v>24</v>
      </c>
      <c r="F4" s="10" t="s">
        <v>25</v>
      </c>
      <c r="G4" s="6">
        <v>2500000.0</v>
      </c>
      <c r="H4" s="6">
        <v>5000000.0</v>
      </c>
    </row>
    <row r="5" ht="19.5" customHeight="1">
      <c r="A5" s="9">
        <v>4.0</v>
      </c>
      <c r="B5" s="11" t="s">
        <v>9</v>
      </c>
      <c r="C5" s="11" t="s">
        <v>51</v>
      </c>
      <c r="D5" s="13" t="s">
        <v>22</v>
      </c>
      <c r="E5" s="13" t="s">
        <v>24</v>
      </c>
      <c r="F5" s="13" t="s">
        <v>25</v>
      </c>
      <c r="G5" s="9">
        <v>2500000.0</v>
      </c>
      <c r="H5" s="9">
        <v>5000000.0</v>
      </c>
    </row>
    <row r="6" ht="19.5" customHeight="1">
      <c r="A6" s="6">
        <v>5.0</v>
      </c>
      <c r="B6" s="8" t="s">
        <v>9</v>
      </c>
      <c r="C6" s="8" t="s">
        <v>59</v>
      </c>
      <c r="D6" s="10" t="s">
        <v>22</v>
      </c>
      <c r="E6" s="10" t="s">
        <v>24</v>
      </c>
      <c r="F6" s="10" t="s">
        <v>25</v>
      </c>
      <c r="G6" s="6">
        <v>2500000.0</v>
      </c>
      <c r="H6" s="6">
        <v>5000000.0</v>
      </c>
    </row>
    <row r="7" ht="19.5" customHeight="1">
      <c r="A7" s="9">
        <v>6.0</v>
      </c>
      <c r="B7" s="11" t="s">
        <v>9</v>
      </c>
      <c r="C7" s="11" t="s">
        <v>64</v>
      </c>
      <c r="D7" s="13" t="s">
        <v>22</v>
      </c>
      <c r="E7" s="13" t="s">
        <v>24</v>
      </c>
      <c r="F7" s="13" t="s">
        <v>25</v>
      </c>
      <c r="G7" s="9">
        <v>2500000.0</v>
      </c>
      <c r="H7" s="9">
        <v>5000000.0</v>
      </c>
    </row>
    <row r="8" ht="19.5" customHeight="1">
      <c r="A8" s="6">
        <v>7.0</v>
      </c>
      <c r="B8" s="8" t="s">
        <v>73</v>
      </c>
      <c r="C8" s="8" t="s">
        <v>74</v>
      </c>
      <c r="D8" s="10" t="s">
        <v>22</v>
      </c>
      <c r="E8" s="10" t="s">
        <v>24</v>
      </c>
      <c r="F8" s="10" t="s">
        <v>25</v>
      </c>
      <c r="G8" s="6">
        <v>3500000.0</v>
      </c>
      <c r="H8" s="6">
        <v>7000000.0</v>
      </c>
    </row>
    <row r="9" ht="19.5" customHeight="1">
      <c r="A9" s="9">
        <v>8.0</v>
      </c>
      <c r="B9" s="11" t="s">
        <v>57</v>
      </c>
      <c r="C9" s="11" t="s">
        <v>81</v>
      </c>
      <c r="D9" s="13" t="s">
        <v>22</v>
      </c>
      <c r="E9" s="13" t="s">
        <v>24</v>
      </c>
      <c r="F9" s="13" t="s">
        <v>25</v>
      </c>
      <c r="G9" s="9">
        <v>2250000.0</v>
      </c>
      <c r="H9" s="9">
        <v>4500000.0</v>
      </c>
    </row>
    <row r="10" ht="19.5" customHeight="1">
      <c r="A10" s="6">
        <v>9.0</v>
      </c>
      <c r="B10" s="8" t="s">
        <v>57</v>
      </c>
      <c r="C10" s="8" t="s">
        <v>88</v>
      </c>
      <c r="D10" s="10" t="s">
        <v>22</v>
      </c>
      <c r="E10" s="10" t="s">
        <v>24</v>
      </c>
      <c r="F10" s="10" t="s">
        <v>25</v>
      </c>
      <c r="G10" s="6">
        <v>2500000.0</v>
      </c>
      <c r="H10" s="6">
        <v>5000000.0</v>
      </c>
    </row>
    <row r="11" ht="19.5" customHeight="1">
      <c r="A11" s="9">
        <v>10.0</v>
      </c>
      <c r="B11" s="11" t="s">
        <v>57</v>
      </c>
      <c r="C11" s="11" t="s">
        <v>93</v>
      </c>
      <c r="D11" s="13" t="s">
        <v>22</v>
      </c>
      <c r="E11" s="13" t="s">
        <v>24</v>
      </c>
      <c r="F11" s="13" t="s">
        <v>25</v>
      </c>
      <c r="G11" s="9">
        <v>2500000.0</v>
      </c>
      <c r="H11" s="9">
        <v>5000000.0</v>
      </c>
    </row>
    <row r="12" ht="19.5" customHeight="1">
      <c r="A12" s="6">
        <v>11.0</v>
      </c>
      <c r="B12" s="8" t="s">
        <v>57</v>
      </c>
      <c r="C12" s="8" t="s">
        <v>85</v>
      </c>
      <c r="D12" s="10" t="s">
        <v>22</v>
      </c>
      <c r="E12" s="10" t="s">
        <v>24</v>
      </c>
      <c r="F12" s="10" t="s">
        <v>25</v>
      </c>
      <c r="G12" s="6">
        <v>2500000.0</v>
      </c>
      <c r="H12" s="6">
        <v>5000000.0</v>
      </c>
    </row>
    <row r="13" ht="19.5" customHeight="1">
      <c r="A13" s="9">
        <v>12.0</v>
      </c>
      <c r="B13" s="11" t="s">
        <v>57</v>
      </c>
      <c r="C13" s="11" t="s">
        <v>101</v>
      </c>
      <c r="D13" s="13" t="s">
        <v>22</v>
      </c>
      <c r="E13" s="13" t="s">
        <v>24</v>
      </c>
      <c r="F13" s="13" t="s">
        <v>25</v>
      </c>
      <c r="G13" s="9">
        <v>2500000.0</v>
      </c>
      <c r="H13" s="9">
        <v>5000000.0</v>
      </c>
    </row>
    <row r="14" ht="19.5" customHeight="1">
      <c r="A14" s="6">
        <v>13.0</v>
      </c>
      <c r="B14" s="8" t="s">
        <v>100</v>
      </c>
      <c r="C14" s="8" t="s">
        <v>108</v>
      </c>
      <c r="D14" s="10" t="s">
        <v>22</v>
      </c>
      <c r="E14" s="10" t="s">
        <v>24</v>
      </c>
      <c r="F14" s="10" t="s">
        <v>25</v>
      </c>
      <c r="G14" s="6">
        <v>2500000.0</v>
      </c>
      <c r="H14" s="6">
        <v>5000000.0</v>
      </c>
    </row>
    <row r="15" ht="19.5" customHeight="1">
      <c r="A15" s="9">
        <v>14.0</v>
      </c>
      <c r="B15" s="11" t="s">
        <v>100</v>
      </c>
      <c r="C15" s="11" t="s">
        <v>114</v>
      </c>
      <c r="D15" s="13" t="s">
        <v>22</v>
      </c>
      <c r="E15" s="13" t="s">
        <v>24</v>
      </c>
      <c r="F15" s="13" t="s">
        <v>25</v>
      </c>
      <c r="G15" s="9">
        <v>2500000.0</v>
      </c>
      <c r="H15" s="9">
        <v>5000000.0</v>
      </c>
    </row>
    <row r="16" ht="19.5" customHeight="1">
      <c r="A16" s="6">
        <v>15.0</v>
      </c>
      <c r="B16" s="8" t="s">
        <v>46</v>
      </c>
      <c r="C16" s="8" t="s">
        <v>123</v>
      </c>
      <c r="D16" s="10" t="s">
        <v>22</v>
      </c>
      <c r="E16" s="10" t="s">
        <v>24</v>
      </c>
      <c r="F16" s="10" t="s">
        <v>25</v>
      </c>
      <c r="G16" s="6">
        <v>3000000.0</v>
      </c>
      <c r="H16" s="6">
        <v>6000000.0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26.25"/>
    <col customWidth="1" min="3" max="3" width="21.88"/>
    <col customWidth="1" min="4" max="6" width="10.5"/>
    <col customWidth="1" min="7" max="7" width="32.38"/>
    <col customWidth="1" min="8" max="8" width="29.75"/>
    <col customWidth="1" min="9" max="9" width="40.25"/>
    <col customWidth="1" min="10" max="26" width="7.63"/>
  </cols>
  <sheetData>
    <row r="1" ht="27.75" customHeight="1">
      <c r="A1" s="59" t="s">
        <v>0</v>
      </c>
      <c r="B1" s="59" t="s">
        <v>1</v>
      </c>
      <c r="C1" s="59" t="s">
        <v>2</v>
      </c>
      <c r="D1" s="59" t="s">
        <v>3</v>
      </c>
      <c r="E1" s="59" t="s">
        <v>10</v>
      </c>
      <c r="F1" s="59" t="s">
        <v>11</v>
      </c>
      <c r="G1" s="59" t="s">
        <v>12</v>
      </c>
      <c r="H1" s="59" t="s">
        <v>13</v>
      </c>
      <c r="I1" s="59" t="s">
        <v>8</v>
      </c>
    </row>
    <row r="2" ht="19.5" customHeight="1">
      <c r="A2" s="6">
        <v>1.0</v>
      </c>
      <c r="B2" s="8" t="s">
        <v>9</v>
      </c>
      <c r="C2" s="8" t="s">
        <v>14</v>
      </c>
      <c r="D2" s="10" t="s">
        <v>22</v>
      </c>
      <c r="E2" s="10" t="s">
        <v>253</v>
      </c>
      <c r="F2" s="10" t="s">
        <v>25</v>
      </c>
      <c r="G2" s="6">
        <v>2500000.0</v>
      </c>
      <c r="H2" s="6">
        <v>5000000.0</v>
      </c>
      <c r="I2" s="6">
        <v>5000000.0</v>
      </c>
    </row>
    <row r="3" ht="19.5" customHeight="1">
      <c r="A3" s="9">
        <v>2.0</v>
      </c>
      <c r="B3" s="11" t="s">
        <v>9</v>
      </c>
      <c r="C3" s="11" t="s">
        <v>32</v>
      </c>
      <c r="D3" s="13" t="s">
        <v>22</v>
      </c>
      <c r="E3" s="13" t="s">
        <v>253</v>
      </c>
      <c r="F3" s="13" t="s">
        <v>25</v>
      </c>
      <c r="G3" s="9">
        <v>2500000.0</v>
      </c>
      <c r="H3" s="9">
        <v>5000000.0</v>
      </c>
      <c r="I3" s="9">
        <v>5000000.0</v>
      </c>
    </row>
    <row r="4" ht="19.5" customHeight="1">
      <c r="A4" s="6">
        <v>3.0</v>
      </c>
      <c r="B4" s="8" t="s">
        <v>9</v>
      </c>
      <c r="C4" s="8" t="s">
        <v>39</v>
      </c>
      <c r="D4" s="10" t="s">
        <v>22</v>
      </c>
      <c r="E4" s="10" t="s">
        <v>253</v>
      </c>
      <c r="F4" s="10" t="s">
        <v>25</v>
      </c>
      <c r="G4" s="6">
        <v>2500000.0</v>
      </c>
      <c r="H4" s="6">
        <v>5000000.0</v>
      </c>
      <c r="I4" s="6">
        <v>5000000.0</v>
      </c>
    </row>
    <row r="5" ht="19.5" customHeight="1">
      <c r="A5" s="9">
        <v>4.0</v>
      </c>
      <c r="B5" s="11" t="s">
        <v>9</v>
      </c>
      <c r="C5" s="11" t="s">
        <v>51</v>
      </c>
      <c r="D5" s="13" t="s">
        <v>22</v>
      </c>
      <c r="E5" s="13" t="s">
        <v>253</v>
      </c>
      <c r="F5" s="13" t="s">
        <v>25</v>
      </c>
      <c r="G5" s="9">
        <v>2500000.0</v>
      </c>
      <c r="H5" s="9">
        <v>5000000.0</v>
      </c>
      <c r="I5" s="9">
        <v>5000000.0</v>
      </c>
    </row>
    <row r="6" ht="19.5" customHeight="1">
      <c r="A6" s="6">
        <v>5.0</v>
      </c>
      <c r="B6" s="8" t="s">
        <v>9</v>
      </c>
      <c r="C6" s="8" t="s">
        <v>59</v>
      </c>
      <c r="D6" s="10" t="s">
        <v>22</v>
      </c>
      <c r="E6" s="10" t="s">
        <v>253</v>
      </c>
      <c r="F6" s="10" t="s">
        <v>25</v>
      </c>
      <c r="G6" s="6">
        <v>2500000.0</v>
      </c>
      <c r="H6" s="6">
        <v>5000000.0</v>
      </c>
      <c r="I6" s="6">
        <v>5000000.0</v>
      </c>
    </row>
    <row r="7" ht="19.5" customHeight="1">
      <c r="A7" s="9">
        <v>6.0</v>
      </c>
      <c r="B7" s="11" t="s">
        <v>9</v>
      </c>
      <c r="C7" s="11" t="s">
        <v>64</v>
      </c>
      <c r="D7" s="13" t="s">
        <v>22</v>
      </c>
      <c r="E7" s="13" t="s">
        <v>253</v>
      </c>
      <c r="F7" s="13" t="s">
        <v>25</v>
      </c>
      <c r="G7" s="9">
        <v>2500000.0</v>
      </c>
      <c r="H7" s="9">
        <v>5000000.0</v>
      </c>
      <c r="I7" s="9">
        <v>5000000.0</v>
      </c>
    </row>
    <row r="8" ht="19.5" customHeight="1">
      <c r="A8" s="6">
        <v>7.0</v>
      </c>
      <c r="B8" s="8" t="s">
        <v>73</v>
      </c>
      <c r="C8" s="8" t="s">
        <v>74</v>
      </c>
      <c r="D8" s="10" t="s">
        <v>22</v>
      </c>
      <c r="E8" s="10" t="s">
        <v>253</v>
      </c>
      <c r="F8" s="10" t="s">
        <v>25</v>
      </c>
      <c r="G8" s="6">
        <v>3500000.0</v>
      </c>
      <c r="H8" s="6">
        <v>7000000.0</v>
      </c>
      <c r="I8" s="6">
        <v>0.0</v>
      </c>
    </row>
    <row r="9" ht="19.5" customHeight="1">
      <c r="A9" s="9">
        <v>8.0</v>
      </c>
      <c r="B9" s="11" t="s">
        <v>57</v>
      </c>
      <c r="C9" s="11" t="s">
        <v>81</v>
      </c>
      <c r="D9" s="13" t="s">
        <v>22</v>
      </c>
      <c r="E9" s="13" t="s">
        <v>253</v>
      </c>
      <c r="F9" s="13" t="s">
        <v>25</v>
      </c>
      <c r="G9" s="9">
        <v>2250000.0</v>
      </c>
      <c r="H9" s="9">
        <v>4500000.0</v>
      </c>
      <c r="I9" s="9">
        <v>0.0</v>
      </c>
    </row>
    <row r="10" ht="19.5" customHeight="1">
      <c r="A10" s="6">
        <v>9.0</v>
      </c>
      <c r="B10" s="8" t="s">
        <v>57</v>
      </c>
      <c r="C10" s="8" t="s">
        <v>88</v>
      </c>
      <c r="D10" s="10" t="s">
        <v>22</v>
      </c>
      <c r="E10" s="10" t="s">
        <v>253</v>
      </c>
      <c r="F10" s="10" t="s">
        <v>25</v>
      </c>
      <c r="G10" s="6">
        <v>2500000.0</v>
      </c>
      <c r="H10" s="6">
        <v>5000000.0</v>
      </c>
      <c r="I10" s="6">
        <v>5000000.0</v>
      </c>
    </row>
    <row r="11" ht="19.5" customHeight="1">
      <c r="A11" s="9">
        <v>10.0</v>
      </c>
      <c r="B11" s="11" t="s">
        <v>57</v>
      </c>
      <c r="C11" s="11" t="s">
        <v>93</v>
      </c>
      <c r="D11" s="13" t="s">
        <v>22</v>
      </c>
      <c r="E11" s="13" t="s">
        <v>253</v>
      </c>
      <c r="F11" s="13" t="s">
        <v>25</v>
      </c>
      <c r="G11" s="9">
        <v>2500000.0</v>
      </c>
      <c r="H11" s="9">
        <v>5000000.0</v>
      </c>
      <c r="I11" s="9">
        <v>5000000.0</v>
      </c>
    </row>
    <row r="12" ht="19.5" customHeight="1">
      <c r="A12" s="6">
        <v>11.0</v>
      </c>
      <c r="B12" s="8" t="s">
        <v>57</v>
      </c>
      <c r="C12" s="8" t="s">
        <v>85</v>
      </c>
      <c r="D12" s="10" t="s">
        <v>22</v>
      </c>
      <c r="E12" s="10" t="s">
        <v>253</v>
      </c>
      <c r="F12" s="10" t="s">
        <v>25</v>
      </c>
      <c r="G12" s="6">
        <v>2500000.0</v>
      </c>
      <c r="H12" s="6">
        <v>5000000.0</v>
      </c>
      <c r="I12" s="6">
        <v>5000000.0</v>
      </c>
    </row>
    <row r="13" ht="19.5" customHeight="1">
      <c r="A13" s="9">
        <v>12.0</v>
      </c>
      <c r="B13" s="11" t="s">
        <v>57</v>
      </c>
      <c r="C13" s="11" t="s">
        <v>101</v>
      </c>
      <c r="D13" s="13" t="s">
        <v>22</v>
      </c>
      <c r="E13" s="13" t="s">
        <v>253</v>
      </c>
      <c r="F13" s="13" t="s">
        <v>25</v>
      </c>
      <c r="G13" s="9">
        <v>2500000.0</v>
      </c>
      <c r="H13" s="9">
        <v>5000000.0</v>
      </c>
      <c r="I13" s="9">
        <v>5000000.0</v>
      </c>
    </row>
    <row r="14" ht="19.5" customHeight="1">
      <c r="A14" s="6">
        <v>13.0</v>
      </c>
      <c r="B14" s="8" t="s">
        <v>100</v>
      </c>
      <c r="C14" s="8" t="s">
        <v>108</v>
      </c>
      <c r="D14" s="10" t="s">
        <v>22</v>
      </c>
      <c r="E14" s="10" t="s">
        <v>253</v>
      </c>
      <c r="F14" s="10" t="s">
        <v>25</v>
      </c>
      <c r="G14" s="6">
        <v>2500000.0</v>
      </c>
      <c r="H14" s="6">
        <v>5000000.0</v>
      </c>
      <c r="I14" s="6">
        <v>0.0</v>
      </c>
    </row>
    <row r="15" ht="19.5" customHeight="1">
      <c r="A15" s="9">
        <v>14.0</v>
      </c>
      <c r="B15" s="11" t="s">
        <v>100</v>
      </c>
      <c r="C15" s="11" t="s">
        <v>114</v>
      </c>
      <c r="D15" s="13" t="s">
        <v>22</v>
      </c>
      <c r="E15" s="13" t="s">
        <v>253</v>
      </c>
      <c r="F15" s="13" t="s">
        <v>25</v>
      </c>
      <c r="G15" s="9">
        <v>2500000.0</v>
      </c>
      <c r="H15" s="9">
        <v>5000000.0</v>
      </c>
      <c r="I15" s="9">
        <v>0.0</v>
      </c>
    </row>
    <row r="16" ht="19.5" customHeight="1">
      <c r="A16" s="6">
        <v>15.0</v>
      </c>
      <c r="B16" s="8" t="s">
        <v>46</v>
      </c>
      <c r="C16" s="8" t="s">
        <v>123</v>
      </c>
      <c r="D16" s="10" t="s">
        <v>22</v>
      </c>
      <c r="E16" s="10" t="s">
        <v>253</v>
      </c>
      <c r="F16" s="10" t="s">
        <v>25</v>
      </c>
      <c r="G16" s="6">
        <v>3000000.0</v>
      </c>
      <c r="H16" s="6">
        <v>6000000.0</v>
      </c>
      <c r="I16" s="6">
        <v>2000000.0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35.0"/>
    <col customWidth="1" min="3" max="3" width="37.63"/>
    <col customWidth="1" min="4" max="5" width="21.0"/>
    <col customWidth="1" min="6" max="7" width="22.75"/>
    <col customWidth="1" min="8" max="8" width="23.63"/>
    <col customWidth="1" min="9" max="10" width="24.5"/>
    <col customWidth="1" min="11" max="24" width="7.63"/>
  </cols>
  <sheetData>
    <row r="1" ht="27.75" customHeight="1">
      <c r="A1" s="4" t="s">
        <v>0</v>
      </c>
      <c r="B1" s="4" t="s">
        <v>1</v>
      </c>
      <c r="C1" s="4" t="s">
        <v>2</v>
      </c>
      <c r="D1" s="4" t="s">
        <v>4</v>
      </c>
      <c r="E1" s="4" t="s">
        <v>16</v>
      </c>
      <c r="F1" s="4" t="s">
        <v>17</v>
      </c>
      <c r="G1" s="4" t="s">
        <v>18</v>
      </c>
      <c r="H1" s="4" t="s">
        <v>5</v>
      </c>
      <c r="I1" s="4" t="s">
        <v>6</v>
      </c>
      <c r="J1" s="4" t="s">
        <v>7</v>
      </c>
    </row>
    <row r="2" ht="19.5" customHeight="1">
      <c r="A2" s="6">
        <v>1.0</v>
      </c>
      <c r="B2" s="8" t="s">
        <v>9</v>
      </c>
      <c r="C2" s="8" t="s">
        <v>14</v>
      </c>
      <c r="D2" s="6">
        <v>8230000.0</v>
      </c>
      <c r="E2" s="8" t="s">
        <v>26</v>
      </c>
      <c r="F2" s="8" t="s">
        <v>27</v>
      </c>
      <c r="G2" s="8" t="s">
        <v>29</v>
      </c>
      <c r="H2" s="8" t="s">
        <v>19</v>
      </c>
      <c r="I2" s="8" t="s">
        <v>20</v>
      </c>
      <c r="J2" s="8" t="s">
        <v>21</v>
      </c>
    </row>
    <row r="3" ht="19.5" customHeight="1">
      <c r="A3" s="9">
        <v>2.0</v>
      </c>
      <c r="B3" s="11" t="s">
        <v>9</v>
      </c>
      <c r="C3" s="11" t="s">
        <v>23</v>
      </c>
      <c r="D3" s="9">
        <v>7348000.0</v>
      </c>
      <c r="E3" s="11" t="s">
        <v>26</v>
      </c>
      <c r="F3" s="11" t="s">
        <v>42</v>
      </c>
      <c r="G3" s="11" t="s">
        <v>45</v>
      </c>
      <c r="H3" s="11" t="s">
        <v>28</v>
      </c>
      <c r="I3" s="11" t="s">
        <v>30</v>
      </c>
      <c r="J3" s="11" t="s">
        <v>31</v>
      </c>
    </row>
    <row r="4" ht="19.5" customHeight="1">
      <c r="A4" s="6">
        <v>3.0</v>
      </c>
      <c r="B4" s="8" t="s">
        <v>9</v>
      </c>
      <c r="C4" s="8" t="s">
        <v>33</v>
      </c>
      <c r="D4" s="6">
        <v>7642000.0</v>
      </c>
      <c r="E4" s="8" t="s">
        <v>26</v>
      </c>
      <c r="F4" s="8" t="s">
        <v>54</v>
      </c>
      <c r="G4" s="8" t="s">
        <v>56</v>
      </c>
      <c r="H4" s="8" t="s">
        <v>34</v>
      </c>
      <c r="I4" s="8" t="s">
        <v>38</v>
      </c>
      <c r="J4" s="8" t="s">
        <v>36</v>
      </c>
    </row>
    <row r="5" ht="19.5" customHeight="1">
      <c r="A5" s="9">
        <v>4.0</v>
      </c>
      <c r="B5" s="11" t="s">
        <v>9</v>
      </c>
      <c r="C5" s="11" t="s">
        <v>37</v>
      </c>
      <c r="D5" s="9">
        <v>7642000.0</v>
      </c>
      <c r="E5" s="11" t="s">
        <v>26</v>
      </c>
      <c r="F5" s="11" t="s">
        <v>54</v>
      </c>
      <c r="G5" s="11" t="s">
        <v>56</v>
      </c>
      <c r="H5" s="11" t="s">
        <v>34</v>
      </c>
      <c r="I5" s="11" t="s">
        <v>38</v>
      </c>
      <c r="J5" s="11" t="s">
        <v>36</v>
      </c>
    </row>
    <row r="6" ht="19.5" customHeight="1">
      <c r="A6" s="6">
        <v>5.0</v>
      </c>
      <c r="B6" s="8" t="s">
        <v>46</v>
      </c>
      <c r="C6" s="8" t="s">
        <v>47</v>
      </c>
      <c r="D6" s="6">
        <v>2.6355E7</v>
      </c>
      <c r="E6" s="8" t="s">
        <v>26</v>
      </c>
      <c r="F6" s="8" t="s">
        <v>75</v>
      </c>
      <c r="G6" s="8" t="s">
        <v>76</v>
      </c>
      <c r="H6" s="8" t="s">
        <v>48</v>
      </c>
      <c r="I6" s="8" t="s">
        <v>49</v>
      </c>
      <c r="J6" s="8" t="s">
        <v>50</v>
      </c>
    </row>
    <row r="7" ht="19.5" customHeight="1">
      <c r="A7" s="9">
        <v>6.0</v>
      </c>
      <c r="B7" s="11" t="s">
        <v>52</v>
      </c>
      <c r="C7" s="11" t="s">
        <v>53</v>
      </c>
      <c r="D7" s="9">
        <v>7642000.0</v>
      </c>
      <c r="E7" s="11" t="s">
        <v>26</v>
      </c>
      <c r="F7" s="11" t="s">
        <v>54</v>
      </c>
      <c r="G7" s="11" t="s">
        <v>56</v>
      </c>
      <c r="H7" s="11" t="s">
        <v>34</v>
      </c>
      <c r="I7" s="11" t="s">
        <v>38</v>
      </c>
      <c r="J7" s="11" t="s">
        <v>36</v>
      </c>
    </row>
    <row r="8" ht="19.5" customHeight="1">
      <c r="A8" s="6">
        <v>7.0</v>
      </c>
      <c r="B8" s="8" t="s">
        <v>57</v>
      </c>
      <c r="C8" s="8" t="s">
        <v>58</v>
      </c>
      <c r="D8" s="6">
        <v>1.2238E7</v>
      </c>
      <c r="E8" s="8" t="s">
        <v>26</v>
      </c>
      <c r="F8" s="8" t="s">
        <v>91</v>
      </c>
      <c r="G8" s="8" t="s">
        <v>92</v>
      </c>
      <c r="H8" s="8" t="s">
        <v>60</v>
      </c>
      <c r="I8" s="8" t="s">
        <v>61</v>
      </c>
      <c r="J8" s="8" t="s">
        <v>62</v>
      </c>
    </row>
    <row r="9" ht="19.5" customHeight="1">
      <c r="A9" s="9">
        <v>8.0</v>
      </c>
      <c r="B9" s="11" t="s">
        <v>57</v>
      </c>
      <c r="C9" s="11" t="s">
        <v>63</v>
      </c>
      <c r="D9" s="9">
        <v>1.1767E7</v>
      </c>
      <c r="E9" s="11" t="s">
        <v>26</v>
      </c>
      <c r="F9" s="11" t="s">
        <v>96</v>
      </c>
      <c r="G9" s="11" t="s">
        <v>97</v>
      </c>
      <c r="H9" s="11" t="s">
        <v>99</v>
      </c>
      <c r="I9" s="11" t="s">
        <v>66</v>
      </c>
      <c r="J9" s="11" t="s">
        <v>67</v>
      </c>
    </row>
    <row r="10" ht="19.5" customHeight="1">
      <c r="A10" s="6">
        <v>9.0</v>
      </c>
      <c r="B10" s="8" t="s">
        <v>57</v>
      </c>
      <c r="C10" s="8" t="s">
        <v>68</v>
      </c>
      <c r="D10" s="6">
        <v>1.365E7</v>
      </c>
      <c r="E10" s="8" t="s">
        <v>26</v>
      </c>
      <c r="F10" s="8" t="s">
        <v>110</v>
      </c>
      <c r="G10" s="8" t="s">
        <v>112</v>
      </c>
      <c r="H10" s="8" t="s">
        <v>69</v>
      </c>
      <c r="I10" s="8" t="s">
        <v>70</v>
      </c>
      <c r="J10" s="8" t="s">
        <v>71</v>
      </c>
    </row>
    <row r="11" ht="19.5" customHeight="1">
      <c r="A11" s="9">
        <v>10.0</v>
      </c>
      <c r="B11" s="11" t="s">
        <v>57</v>
      </c>
      <c r="C11" s="11" t="s">
        <v>72</v>
      </c>
      <c r="D11" s="9">
        <v>1.365E7</v>
      </c>
      <c r="E11" s="11" t="s">
        <v>26</v>
      </c>
      <c r="F11" s="11" t="s">
        <v>110</v>
      </c>
      <c r="G11" s="11" t="s">
        <v>112</v>
      </c>
      <c r="H11" s="11" t="s">
        <v>69</v>
      </c>
      <c r="I11" s="11" t="s">
        <v>70</v>
      </c>
      <c r="J11" s="11" t="s">
        <v>71</v>
      </c>
    </row>
    <row r="12" ht="19.5" customHeight="1">
      <c r="A12" s="6">
        <v>11.0</v>
      </c>
      <c r="B12" s="8" t="s">
        <v>57</v>
      </c>
      <c r="C12" s="8" t="s">
        <v>77</v>
      </c>
      <c r="D12" s="6">
        <v>1.2709E7</v>
      </c>
      <c r="E12" s="8" t="s">
        <v>26</v>
      </c>
      <c r="F12" s="8" t="s">
        <v>131</v>
      </c>
      <c r="G12" s="8" t="s">
        <v>132</v>
      </c>
      <c r="H12" s="8" t="s">
        <v>133</v>
      </c>
      <c r="I12" s="8" t="s">
        <v>79</v>
      </c>
      <c r="J12" s="8" t="s">
        <v>80</v>
      </c>
    </row>
    <row r="13" ht="19.5" customHeight="1">
      <c r="A13" s="9">
        <v>12.0</v>
      </c>
      <c r="B13" s="11" t="s">
        <v>57</v>
      </c>
      <c r="C13" s="11" t="s">
        <v>82</v>
      </c>
      <c r="D13" s="9">
        <v>1.1767E7</v>
      </c>
      <c r="E13" s="11" t="s">
        <v>26</v>
      </c>
      <c r="F13" s="11" t="s">
        <v>96</v>
      </c>
      <c r="G13" s="11" t="s">
        <v>97</v>
      </c>
      <c r="H13" s="11" t="s">
        <v>99</v>
      </c>
      <c r="I13" s="11" t="s">
        <v>66</v>
      </c>
      <c r="J13" s="11" t="s">
        <v>67</v>
      </c>
    </row>
    <row r="14" ht="19.5" customHeight="1">
      <c r="A14" s="6">
        <v>13.0</v>
      </c>
      <c r="B14" s="8" t="s">
        <v>57</v>
      </c>
      <c r="C14" s="8" t="s">
        <v>85</v>
      </c>
      <c r="D14" s="6">
        <v>1.5343E7</v>
      </c>
      <c r="E14" s="8" t="s">
        <v>26</v>
      </c>
      <c r="F14" s="8" t="s">
        <v>140</v>
      </c>
      <c r="G14" s="8" t="s">
        <v>142</v>
      </c>
      <c r="H14" s="8" t="s">
        <v>86</v>
      </c>
      <c r="I14" s="8" t="s">
        <v>87</v>
      </c>
      <c r="J14" s="8" t="s">
        <v>89</v>
      </c>
    </row>
    <row r="15" ht="19.5" customHeight="1">
      <c r="A15" s="9">
        <v>14.0</v>
      </c>
      <c r="B15" s="11" t="s">
        <v>57</v>
      </c>
      <c r="C15" s="11" t="s">
        <v>90</v>
      </c>
      <c r="D15" s="9">
        <v>1.1767E7</v>
      </c>
      <c r="E15" s="11" t="s">
        <v>26</v>
      </c>
      <c r="F15" s="11" t="s">
        <v>96</v>
      </c>
      <c r="G15" s="11" t="s">
        <v>97</v>
      </c>
      <c r="H15" s="11" t="s">
        <v>84</v>
      </c>
      <c r="I15" s="11" t="s">
        <v>66</v>
      </c>
      <c r="J15" s="11" t="s">
        <v>67</v>
      </c>
    </row>
    <row r="16" ht="19.5" customHeight="1">
      <c r="A16" s="6">
        <v>15.0</v>
      </c>
      <c r="B16" s="8" t="s">
        <v>57</v>
      </c>
      <c r="C16" s="8" t="s">
        <v>88</v>
      </c>
      <c r="D16" s="6">
        <v>1.365E7</v>
      </c>
      <c r="E16" s="8" t="s">
        <v>26</v>
      </c>
      <c r="F16" s="8" t="s">
        <v>110</v>
      </c>
      <c r="G16" s="8" t="s">
        <v>112</v>
      </c>
      <c r="H16" s="8" t="s">
        <v>69</v>
      </c>
      <c r="I16" s="8" t="s">
        <v>154</v>
      </c>
      <c r="J16" s="8" t="s">
        <v>71</v>
      </c>
    </row>
    <row r="17" ht="19.5" customHeight="1">
      <c r="A17" s="9">
        <v>16.0</v>
      </c>
      <c r="B17" s="11" t="s">
        <v>57</v>
      </c>
      <c r="C17" s="11" t="s">
        <v>95</v>
      </c>
      <c r="D17" s="9">
        <v>1.1767E7</v>
      </c>
      <c r="E17" s="11" t="s">
        <v>26</v>
      </c>
      <c r="F17" s="11" t="s">
        <v>96</v>
      </c>
      <c r="G17" s="11" t="s">
        <v>97</v>
      </c>
      <c r="H17" s="11" t="s">
        <v>84</v>
      </c>
      <c r="I17" s="11" t="s">
        <v>66</v>
      </c>
      <c r="J17" s="11" t="s">
        <v>67</v>
      </c>
    </row>
    <row r="18" ht="19.5" customHeight="1">
      <c r="A18" s="6">
        <v>17.0</v>
      </c>
      <c r="B18" s="8" t="s">
        <v>57</v>
      </c>
      <c r="C18" s="8" t="s">
        <v>93</v>
      </c>
      <c r="D18" s="6">
        <v>1.365E7</v>
      </c>
      <c r="E18" s="8" t="s">
        <v>26</v>
      </c>
      <c r="F18" s="8" t="s">
        <v>110</v>
      </c>
      <c r="G18" s="8" t="s">
        <v>112</v>
      </c>
      <c r="H18" s="8" t="s">
        <v>69</v>
      </c>
      <c r="I18" s="8" t="s">
        <v>70</v>
      </c>
      <c r="J18" s="8" t="s">
        <v>71</v>
      </c>
    </row>
    <row r="19" ht="19.5" customHeight="1">
      <c r="A19" s="9">
        <v>18.0</v>
      </c>
      <c r="B19" s="11" t="s">
        <v>100</v>
      </c>
      <c r="C19" s="11" t="s">
        <v>102</v>
      </c>
      <c r="D19" s="9">
        <v>1.0857E7</v>
      </c>
      <c r="E19" s="11" t="s">
        <v>26</v>
      </c>
      <c r="F19" s="11" t="s">
        <v>167</v>
      </c>
      <c r="G19" s="11" t="s">
        <v>170</v>
      </c>
      <c r="H19" s="11" t="s">
        <v>103</v>
      </c>
      <c r="I19" s="11" t="s">
        <v>104</v>
      </c>
      <c r="J19" s="11" t="s">
        <v>105</v>
      </c>
    </row>
    <row r="20" ht="19.5" customHeight="1">
      <c r="A20" s="6">
        <v>19.0</v>
      </c>
      <c r="B20" s="8" t="s">
        <v>100</v>
      </c>
      <c r="C20" s="8" t="s">
        <v>106</v>
      </c>
      <c r="D20" s="6">
        <v>1.1463E7</v>
      </c>
      <c r="E20" s="8" t="s">
        <v>26</v>
      </c>
      <c r="F20" s="8" t="s">
        <v>175</v>
      </c>
      <c r="G20" s="8" t="s">
        <v>177</v>
      </c>
      <c r="H20" s="8" t="s">
        <v>107</v>
      </c>
      <c r="I20" s="8" t="s">
        <v>109</v>
      </c>
      <c r="J20" s="8" t="s">
        <v>121</v>
      </c>
    </row>
    <row r="21" ht="19.5" customHeight="1">
      <c r="A21" s="9">
        <v>20.0</v>
      </c>
      <c r="B21" s="11" t="s">
        <v>100</v>
      </c>
      <c r="C21" s="11" t="s">
        <v>115</v>
      </c>
      <c r="D21" s="9">
        <v>1.0857E7</v>
      </c>
      <c r="E21" s="11" t="s">
        <v>26</v>
      </c>
      <c r="F21" s="11" t="s">
        <v>167</v>
      </c>
      <c r="G21" s="11" t="s">
        <v>170</v>
      </c>
      <c r="H21" s="11" t="s">
        <v>103</v>
      </c>
      <c r="I21" s="11" t="s">
        <v>104</v>
      </c>
      <c r="J21" s="11" t="s">
        <v>105</v>
      </c>
    </row>
    <row r="22" ht="19.5" customHeight="1">
      <c r="A22" s="6">
        <v>21.0</v>
      </c>
      <c r="B22" s="8" t="s">
        <v>100</v>
      </c>
      <c r="C22" s="8" t="s">
        <v>119</v>
      </c>
      <c r="D22" s="6">
        <v>1.1055E7</v>
      </c>
      <c r="E22" s="8" t="s">
        <v>26</v>
      </c>
      <c r="F22" s="8" t="s">
        <v>185</v>
      </c>
      <c r="G22" s="8" t="s">
        <v>186</v>
      </c>
      <c r="H22" s="8" t="s">
        <v>116</v>
      </c>
      <c r="I22" s="8" t="s">
        <v>117</v>
      </c>
      <c r="J22" s="8" t="s">
        <v>191</v>
      </c>
    </row>
    <row r="23" ht="19.5" customHeight="1">
      <c r="A23" s="9">
        <v>22.0</v>
      </c>
      <c r="B23" s="11" t="s">
        <v>100</v>
      </c>
      <c r="C23" s="11" t="s">
        <v>125</v>
      </c>
      <c r="D23" s="9">
        <v>1.1463E7</v>
      </c>
      <c r="E23" s="11" t="s">
        <v>26</v>
      </c>
      <c r="F23" s="11" t="s">
        <v>175</v>
      </c>
      <c r="G23" s="11" t="s">
        <v>177</v>
      </c>
      <c r="H23" s="11" t="s">
        <v>107</v>
      </c>
      <c r="I23" s="11" t="s">
        <v>109</v>
      </c>
      <c r="J23" s="11" t="s">
        <v>121</v>
      </c>
    </row>
    <row r="24" ht="19.5" customHeight="1">
      <c r="A24" s="6">
        <v>23.0</v>
      </c>
      <c r="B24" s="8" t="s">
        <v>100</v>
      </c>
      <c r="C24" s="8" t="s">
        <v>129</v>
      </c>
      <c r="D24" s="6">
        <v>1.0857E7</v>
      </c>
      <c r="E24" s="8" t="s">
        <v>26</v>
      </c>
      <c r="F24" s="8" t="s">
        <v>167</v>
      </c>
      <c r="G24" s="8" t="s">
        <v>170</v>
      </c>
      <c r="H24" s="8" t="s">
        <v>103</v>
      </c>
      <c r="I24" s="8" t="s">
        <v>104</v>
      </c>
      <c r="J24" s="8" t="s">
        <v>105</v>
      </c>
    </row>
    <row r="25" ht="19.5" customHeight="1">
      <c r="A25" s="9">
        <v>24.0</v>
      </c>
      <c r="B25" s="11" t="s">
        <v>100</v>
      </c>
      <c r="C25" s="11" t="s">
        <v>134</v>
      </c>
      <c r="D25" s="9">
        <v>1.4814E7</v>
      </c>
      <c r="E25" s="11" t="s">
        <v>26</v>
      </c>
      <c r="F25" s="11" t="s">
        <v>201</v>
      </c>
      <c r="G25" s="11" t="s">
        <v>202</v>
      </c>
      <c r="H25" s="11" t="s">
        <v>126</v>
      </c>
      <c r="I25" s="11" t="s">
        <v>127</v>
      </c>
      <c r="J25" s="11" t="s">
        <v>128</v>
      </c>
    </row>
    <row r="26" ht="19.5" customHeight="1">
      <c r="A26" s="6">
        <v>25.0</v>
      </c>
      <c r="B26" s="8" t="s">
        <v>100</v>
      </c>
      <c r="C26" s="8" t="s">
        <v>136</v>
      </c>
      <c r="D26" s="6">
        <v>1.4814E7</v>
      </c>
      <c r="E26" s="8" t="s">
        <v>26</v>
      </c>
      <c r="F26" s="8" t="s">
        <v>201</v>
      </c>
      <c r="G26" s="8" t="s">
        <v>202</v>
      </c>
      <c r="H26" s="8" t="s">
        <v>126</v>
      </c>
      <c r="I26" s="8" t="s">
        <v>127</v>
      </c>
      <c r="J26" s="8" t="s">
        <v>128</v>
      </c>
    </row>
    <row r="27" ht="19.5" customHeight="1">
      <c r="A27" s="9">
        <v>26.0</v>
      </c>
      <c r="B27" s="11" t="s">
        <v>137</v>
      </c>
      <c r="C27" s="11" t="s">
        <v>138</v>
      </c>
      <c r="D27" s="9">
        <v>7348000.0</v>
      </c>
      <c r="E27" s="11" t="s">
        <v>26</v>
      </c>
      <c r="F27" s="11" t="s">
        <v>42</v>
      </c>
      <c r="G27" s="11" t="s">
        <v>45</v>
      </c>
      <c r="H27" s="11" t="s">
        <v>28</v>
      </c>
      <c r="I27" s="11" t="s">
        <v>30</v>
      </c>
      <c r="J27" s="11" t="s">
        <v>31</v>
      </c>
    </row>
    <row r="28" ht="19.5" customHeight="1">
      <c r="A28" s="6">
        <v>27.0</v>
      </c>
      <c r="B28" s="8" t="s">
        <v>137</v>
      </c>
      <c r="C28" s="8" t="s">
        <v>139</v>
      </c>
      <c r="D28" s="6">
        <v>7348000.0</v>
      </c>
      <c r="E28" s="8" t="s">
        <v>26</v>
      </c>
      <c r="F28" s="8" t="s">
        <v>42</v>
      </c>
      <c r="G28" s="8" t="s">
        <v>45</v>
      </c>
      <c r="H28" s="8" t="s">
        <v>28</v>
      </c>
      <c r="I28" s="8" t="s">
        <v>30</v>
      </c>
      <c r="J28" s="8" t="s">
        <v>31</v>
      </c>
    </row>
    <row r="29" ht="19.5" customHeight="1">
      <c r="A29" s="9">
        <v>28.0</v>
      </c>
      <c r="B29" s="11" t="s">
        <v>137</v>
      </c>
      <c r="C29" s="11" t="s">
        <v>141</v>
      </c>
      <c r="D29" s="9">
        <v>7348000.0</v>
      </c>
      <c r="E29" s="11" t="s">
        <v>26</v>
      </c>
      <c r="F29" s="11" t="s">
        <v>42</v>
      </c>
      <c r="G29" s="11" t="s">
        <v>45</v>
      </c>
      <c r="H29" s="11" t="s">
        <v>28</v>
      </c>
      <c r="I29" s="11" t="s">
        <v>30</v>
      </c>
      <c r="J29" s="11" t="s">
        <v>31</v>
      </c>
    </row>
    <row r="30" ht="19.5" customHeight="1">
      <c r="A30" s="6">
        <v>29.0</v>
      </c>
      <c r="B30" s="8" t="s">
        <v>137</v>
      </c>
      <c r="C30" s="8" t="s">
        <v>143</v>
      </c>
      <c r="D30" s="6">
        <v>1.0857E7</v>
      </c>
      <c r="E30" s="8" t="s">
        <v>26</v>
      </c>
      <c r="F30" s="8" t="s">
        <v>167</v>
      </c>
      <c r="G30" s="8" t="s">
        <v>170</v>
      </c>
      <c r="H30" s="8" t="s">
        <v>103</v>
      </c>
      <c r="I30" s="8" t="s">
        <v>104</v>
      </c>
      <c r="J30" s="8" t="s">
        <v>105</v>
      </c>
    </row>
    <row r="31" ht="19.5" customHeight="1">
      <c r="A31" s="9">
        <v>30.0</v>
      </c>
      <c r="B31" s="11" t="s">
        <v>137</v>
      </c>
      <c r="C31" s="11" t="s">
        <v>148</v>
      </c>
      <c r="D31" s="9">
        <v>7348000.0</v>
      </c>
      <c r="E31" s="11" t="s">
        <v>26</v>
      </c>
      <c r="F31" s="11" t="s">
        <v>42</v>
      </c>
      <c r="G31" s="11" t="s">
        <v>45</v>
      </c>
      <c r="H31" s="11" t="s">
        <v>28</v>
      </c>
      <c r="I31" s="11" t="s">
        <v>30</v>
      </c>
      <c r="J31" s="11" t="s">
        <v>31</v>
      </c>
    </row>
    <row r="32" ht="19.5" customHeight="1">
      <c r="A32" s="6">
        <v>31.0</v>
      </c>
      <c r="B32" s="8" t="s">
        <v>137</v>
      </c>
      <c r="C32" s="8" t="s">
        <v>152</v>
      </c>
      <c r="D32" s="6">
        <v>1.1463E7</v>
      </c>
      <c r="E32" s="8" t="s">
        <v>26</v>
      </c>
      <c r="F32" s="8" t="s">
        <v>175</v>
      </c>
      <c r="G32" s="8" t="s">
        <v>177</v>
      </c>
      <c r="H32" s="8" t="s">
        <v>107</v>
      </c>
      <c r="I32" s="8" t="s">
        <v>109</v>
      </c>
      <c r="J32" s="8" t="s">
        <v>121</v>
      </c>
    </row>
    <row r="33" ht="19.5" customHeight="1">
      <c r="A33" s="9">
        <v>32.0</v>
      </c>
      <c r="B33" s="11" t="s">
        <v>137</v>
      </c>
      <c r="C33" s="11" t="s">
        <v>155</v>
      </c>
      <c r="D33" s="9">
        <v>8450000.0</v>
      </c>
      <c r="E33" s="11" t="s">
        <v>26</v>
      </c>
      <c r="F33" s="11" t="s">
        <v>225</v>
      </c>
      <c r="G33" s="11" t="s">
        <v>226</v>
      </c>
      <c r="H33" s="11" t="s">
        <v>145</v>
      </c>
      <c r="I33" s="11" t="s">
        <v>146</v>
      </c>
      <c r="J33" s="11" t="s">
        <v>147</v>
      </c>
    </row>
    <row r="34" ht="19.5" customHeight="1">
      <c r="A34" s="6">
        <v>33.0</v>
      </c>
      <c r="B34" s="8" t="s">
        <v>137</v>
      </c>
      <c r="C34" s="8" t="s">
        <v>160</v>
      </c>
      <c r="D34" s="6">
        <v>9553000.0</v>
      </c>
      <c r="E34" s="8" t="s">
        <v>26</v>
      </c>
      <c r="F34" s="8" t="s">
        <v>228</v>
      </c>
      <c r="G34" s="8" t="s">
        <v>229</v>
      </c>
      <c r="H34" s="8" t="s">
        <v>149</v>
      </c>
      <c r="I34" s="8" t="s">
        <v>153</v>
      </c>
      <c r="J34" s="8" t="s">
        <v>151</v>
      </c>
    </row>
    <row r="35" ht="19.5" customHeight="1">
      <c r="A35" s="9">
        <v>34.0</v>
      </c>
      <c r="B35" s="11" t="s">
        <v>137</v>
      </c>
      <c r="C35" s="11" t="s">
        <v>161</v>
      </c>
      <c r="D35" s="9">
        <v>9553000.0</v>
      </c>
      <c r="E35" s="11" t="s">
        <v>26</v>
      </c>
      <c r="F35" s="11" t="s">
        <v>228</v>
      </c>
      <c r="G35" s="11" t="s">
        <v>229</v>
      </c>
      <c r="H35" s="11" t="s">
        <v>149</v>
      </c>
      <c r="I35" s="11" t="s">
        <v>153</v>
      </c>
      <c r="J35" s="11" t="s">
        <v>151</v>
      </c>
    </row>
    <row r="36" ht="19.5" customHeight="1">
      <c r="A36" s="6">
        <v>35.0</v>
      </c>
      <c r="B36" s="8" t="s">
        <v>137</v>
      </c>
      <c r="C36" s="8" t="s">
        <v>164</v>
      </c>
      <c r="D36" s="6">
        <v>1.2227E7</v>
      </c>
      <c r="E36" s="8" t="s">
        <v>26</v>
      </c>
      <c r="F36" s="8" t="s">
        <v>91</v>
      </c>
      <c r="G36" s="8" t="s">
        <v>233</v>
      </c>
      <c r="H36" s="8" t="s">
        <v>156</v>
      </c>
      <c r="I36" s="8" t="s">
        <v>157</v>
      </c>
      <c r="J36" s="8" t="s">
        <v>158</v>
      </c>
    </row>
    <row r="37" ht="19.5" customHeight="1">
      <c r="A37" s="9">
        <v>36.0</v>
      </c>
      <c r="B37" s="11" t="s">
        <v>137</v>
      </c>
      <c r="C37" s="11" t="s">
        <v>166</v>
      </c>
      <c r="D37" s="9">
        <v>1.1463E7</v>
      </c>
      <c r="E37" s="11" t="s">
        <v>26</v>
      </c>
      <c r="F37" s="11" t="s">
        <v>175</v>
      </c>
      <c r="G37" s="11" t="s">
        <v>177</v>
      </c>
      <c r="H37" s="11" t="s">
        <v>107</v>
      </c>
      <c r="I37" s="11" t="s">
        <v>109</v>
      </c>
      <c r="J37" s="11" t="s">
        <v>121</v>
      </c>
    </row>
    <row r="38" ht="19.5" customHeight="1">
      <c r="A38" s="6">
        <v>37.0</v>
      </c>
      <c r="B38" s="8" t="s">
        <v>137</v>
      </c>
      <c r="C38" s="8" t="s">
        <v>172</v>
      </c>
      <c r="D38" s="6">
        <v>1.1463E7</v>
      </c>
      <c r="E38" s="8" t="s">
        <v>26</v>
      </c>
      <c r="F38" s="8" t="s">
        <v>175</v>
      </c>
      <c r="G38" s="8" t="s">
        <v>177</v>
      </c>
      <c r="H38" s="8" t="s">
        <v>107</v>
      </c>
      <c r="I38" s="8" t="s">
        <v>109</v>
      </c>
      <c r="J38" s="8" t="s">
        <v>121</v>
      </c>
    </row>
    <row r="39" ht="19.5" customHeight="1">
      <c r="A39" s="9">
        <v>38.0</v>
      </c>
      <c r="B39" s="11" t="s">
        <v>137</v>
      </c>
      <c r="C39" s="11" t="s">
        <v>173</v>
      </c>
      <c r="D39" s="9">
        <v>1.0439E7</v>
      </c>
      <c r="E39" s="11" t="s">
        <v>26</v>
      </c>
      <c r="F39" s="11" t="s">
        <v>234</v>
      </c>
      <c r="G39" s="11" t="s">
        <v>235</v>
      </c>
      <c r="H39" s="11" t="s">
        <v>168</v>
      </c>
      <c r="I39" s="11" t="s">
        <v>169</v>
      </c>
      <c r="J39" s="11" t="s">
        <v>171</v>
      </c>
    </row>
    <row r="40" ht="19.5" customHeight="1">
      <c r="A40" s="6">
        <v>39.0</v>
      </c>
      <c r="B40" s="8" t="s">
        <v>137</v>
      </c>
      <c r="C40" s="8" t="s">
        <v>176</v>
      </c>
      <c r="D40" s="6">
        <v>7642000.0</v>
      </c>
      <c r="E40" s="8" t="s">
        <v>26</v>
      </c>
      <c r="F40" s="8" t="s">
        <v>54</v>
      </c>
      <c r="G40" s="8" t="s">
        <v>56</v>
      </c>
      <c r="H40" s="8" t="s">
        <v>34</v>
      </c>
      <c r="I40" s="8" t="s">
        <v>38</v>
      </c>
      <c r="J40" s="8" t="s">
        <v>36</v>
      </c>
    </row>
    <row r="41" ht="19.5" customHeight="1">
      <c r="A41" s="9">
        <v>40.0</v>
      </c>
      <c r="B41" s="11" t="s">
        <v>137</v>
      </c>
      <c r="C41" s="11" t="s">
        <v>178</v>
      </c>
      <c r="D41" s="9">
        <v>7348000.0</v>
      </c>
      <c r="E41" s="11" t="s">
        <v>26</v>
      </c>
      <c r="F41" s="11" t="s">
        <v>42</v>
      </c>
      <c r="G41" s="11" t="s">
        <v>45</v>
      </c>
      <c r="H41" s="11" t="s">
        <v>28</v>
      </c>
      <c r="I41" s="11" t="s">
        <v>30</v>
      </c>
      <c r="J41" s="11" t="s">
        <v>31</v>
      </c>
    </row>
    <row r="42" ht="19.5" customHeight="1">
      <c r="A42" s="6">
        <v>41.0</v>
      </c>
      <c r="B42" s="8" t="s">
        <v>137</v>
      </c>
      <c r="C42" s="8" t="s">
        <v>181</v>
      </c>
      <c r="D42" s="6">
        <v>8450000.0</v>
      </c>
      <c r="E42" s="8" t="s">
        <v>26</v>
      </c>
      <c r="F42" s="8" t="s">
        <v>225</v>
      </c>
      <c r="G42" s="8" t="s">
        <v>226</v>
      </c>
      <c r="H42" s="8" t="s">
        <v>145</v>
      </c>
      <c r="I42" s="8" t="s">
        <v>146</v>
      </c>
      <c r="J42" s="8" t="s">
        <v>147</v>
      </c>
    </row>
    <row r="43" ht="19.5" customHeight="1">
      <c r="A43" s="9">
        <v>42.0</v>
      </c>
      <c r="B43" s="11" t="s">
        <v>182</v>
      </c>
      <c r="C43" s="11" t="s">
        <v>183</v>
      </c>
      <c r="D43" s="9">
        <v>2.6355E7</v>
      </c>
      <c r="E43" s="11" t="s">
        <v>26</v>
      </c>
      <c r="F43" s="11" t="s">
        <v>75</v>
      </c>
      <c r="G43" s="11" t="s">
        <v>76</v>
      </c>
      <c r="H43" s="11" t="s">
        <v>48</v>
      </c>
      <c r="I43" s="11" t="s">
        <v>49</v>
      </c>
      <c r="J43" s="11" t="s">
        <v>50</v>
      </c>
    </row>
    <row r="44" ht="19.5" customHeight="1">
      <c r="A44" s="6">
        <v>43.0</v>
      </c>
      <c r="B44" s="8" t="s">
        <v>182</v>
      </c>
      <c r="C44" s="8" t="s">
        <v>184</v>
      </c>
      <c r="D44" s="6">
        <v>8450000.0</v>
      </c>
      <c r="E44" s="8" t="s">
        <v>26</v>
      </c>
      <c r="F44" s="8" t="s">
        <v>225</v>
      </c>
      <c r="G44" s="8" t="s">
        <v>226</v>
      </c>
      <c r="H44" s="8" t="s">
        <v>145</v>
      </c>
      <c r="I44" s="8" t="s">
        <v>146</v>
      </c>
      <c r="J44" s="8" t="s">
        <v>147</v>
      </c>
    </row>
    <row r="45" ht="19.5" customHeight="1">
      <c r="A45" s="9">
        <v>44.0</v>
      </c>
      <c r="B45" s="11" t="s">
        <v>73</v>
      </c>
      <c r="C45" s="11" t="s">
        <v>187</v>
      </c>
      <c r="D45" s="9">
        <v>1.2227E7</v>
      </c>
      <c r="E45" s="11" t="s">
        <v>26</v>
      </c>
      <c r="F45" s="11" t="s">
        <v>91</v>
      </c>
      <c r="G45" s="11" t="s">
        <v>233</v>
      </c>
      <c r="H45" s="11" t="s">
        <v>156</v>
      </c>
      <c r="I45" s="11" t="s">
        <v>157</v>
      </c>
      <c r="J45" s="11" t="s">
        <v>158</v>
      </c>
    </row>
    <row r="46" ht="19.5" customHeight="1">
      <c r="A46" s="6">
        <v>45.0</v>
      </c>
      <c r="B46" s="8" t="s">
        <v>73</v>
      </c>
      <c r="C46" s="8" t="s">
        <v>192</v>
      </c>
      <c r="D46" s="6">
        <v>2.5341E7</v>
      </c>
      <c r="E46" s="8" t="s">
        <v>26</v>
      </c>
      <c r="F46" s="8" t="s">
        <v>239</v>
      </c>
      <c r="G46" s="8" t="s">
        <v>240</v>
      </c>
      <c r="H46" s="8" t="s">
        <v>188</v>
      </c>
      <c r="I46" s="8" t="s">
        <v>189</v>
      </c>
      <c r="J46" s="8" t="s">
        <v>190</v>
      </c>
    </row>
    <row r="47" ht="19.5" customHeight="1">
      <c r="A47" s="9">
        <v>46.0</v>
      </c>
      <c r="B47" s="11" t="s">
        <v>73</v>
      </c>
      <c r="C47" s="11" t="s">
        <v>193</v>
      </c>
      <c r="D47" s="9">
        <v>1.2227E7</v>
      </c>
      <c r="E47" s="11" t="s">
        <v>26</v>
      </c>
      <c r="F47" s="11" t="s">
        <v>91</v>
      </c>
      <c r="G47" s="11" t="s">
        <v>233</v>
      </c>
      <c r="H47" s="11" t="s">
        <v>156</v>
      </c>
      <c r="I47" s="11" t="s">
        <v>157</v>
      </c>
      <c r="J47" s="11" t="s">
        <v>158</v>
      </c>
    </row>
    <row r="48" ht="19.5" customHeight="1">
      <c r="A48" s="6">
        <v>47.0</v>
      </c>
      <c r="B48" s="8" t="s">
        <v>73</v>
      </c>
      <c r="C48" s="8" t="s">
        <v>194</v>
      </c>
      <c r="D48" s="6">
        <v>1.2227E7</v>
      </c>
      <c r="E48" s="8" t="s">
        <v>26</v>
      </c>
      <c r="F48" s="8" t="s">
        <v>91</v>
      </c>
      <c r="G48" s="8" t="s">
        <v>233</v>
      </c>
      <c r="H48" s="8" t="s">
        <v>156</v>
      </c>
      <c r="I48" s="8" t="s">
        <v>157</v>
      </c>
      <c r="J48" s="8" t="s">
        <v>158</v>
      </c>
    </row>
    <row r="49" ht="19.5" customHeight="1">
      <c r="A49" s="9">
        <v>48.0</v>
      </c>
      <c r="B49" s="11" t="s">
        <v>73</v>
      </c>
      <c r="C49" s="11" t="s">
        <v>195</v>
      </c>
      <c r="D49" s="9">
        <v>1.0857E7</v>
      </c>
      <c r="E49" s="11" t="s">
        <v>26</v>
      </c>
      <c r="F49" s="11" t="s">
        <v>167</v>
      </c>
      <c r="G49" s="11" t="s">
        <v>170</v>
      </c>
      <c r="H49" s="11" t="s">
        <v>103</v>
      </c>
      <c r="I49" s="11" t="s">
        <v>104</v>
      </c>
      <c r="J49" s="11" t="s">
        <v>105</v>
      </c>
    </row>
    <row r="50" ht="19.5" customHeight="1">
      <c r="A50" s="6">
        <v>49.0</v>
      </c>
      <c r="B50" s="8" t="s">
        <v>73</v>
      </c>
      <c r="C50" s="8" t="s">
        <v>197</v>
      </c>
      <c r="D50" s="6">
        <v>1.0439E7</v>
      </c>
      <c r="E50" s="8" t="s">
        <v>26</v>
      </c>
      <c r="F50" s="8" t="s">
        <v>234</v>
      </c>
      <c r="G50" s="8" t="s">
        <v>235</v>
      </c>
      <c r="H50" s="8" t="s">
        <v>168</v>
      </c>
      <c r="I50" s="8" t="s">
        <v>169</v>
      </c>
      <c r="J50" s="8" t="s">
        <v>171</v>
      </c>
    </row>
    <row r="51" ht="19.5" customHeight="1">
      <c r="A51" s="9">
        <v>50.0</v>
      </c>
      <c r="B51" s="11" t="s">
        <v>73</v>
      </c>
      <c r="C51" s="11" t="s">
        <v>198</v>
      </c>
      <c r="D51" s="9">
        <v>1.0857E7</v>
      </c>
      <c r="E51" s="11" t="s">
        <v>26</v>
      </c>
      <c r="F51" s="11" t="s">
        <v>167</v>
      </c>
      <c r="G51" s="11" t="s">
        <v>170</v>
      </c>
      <c r="H51" s="11" t="s">
        <v>103</v>
      </c>
      <c r="I51" s="11" t="s">
        <v>104</v>
      </c>
      <c r="J51" s="11" t="s">
        <v>105</v>
      </c>
    </row>
    <row r="52" ht="19.5" customHeight="1">
      <c r="A52" s="6">
        <v>51.0</v>
      </c>
      <c r="B52" s="8" t="s">
        <v>199</v>
      </c>
      <c r="C52" s="8" t="s">
        <v>200</v>
      </c>
      <c r="D52" s="6">
        <v>7348000.0</v>
      </c>
      <c r="E52" s="8" t="s">
        <v>26</v>
      </c>
      <c r="F52" s="8" t="s">
        <v>42</v>
      </c>
      <c r="G52" s="8" t="s">
        <v>45</v>
      </c>
      <c r="H52" s="8" t="s">
        <v>28</v>
      </c>
      <c r="I52" s="8" t="s">
        <v>30</v>
      </c>
      <c r="J52" s="8" t="s">
        <v>31</v>
      </c>
    </row>
    <row r="53" ht="19.5" customHeight="1">
      <c r="A53" s="9">
        <v>52.0</v>
      </c>
      <c r="B53" s="11" t="s">
        <v>199</v>
      </c>
      <c r="C53" s="11" t="s">
        <v>203</v>
      </c>
      <c r="D53" s="9">
        <v>7348000.0</v>
      </c>
      <c r="E53" s="11" t="s">
        <v>26</v>
      </c>
      <c r="F53" s="11" t="s">
        <v>42</v>
      </c>
      <c r="G53" s="11" t="s">
        <v>45</v>
      </c>
      <c r="H53" s="11" t="s">
        <v>28</v>
      </c>
      <c r="I53" s="11" t="s">
        <v>30</v>
      </c>
      <c r="J53" s="11" t="s">
        <v>31</v>
      </c>
    </row>
    <row r="54" ht="19.5" customHeight="1">
      <c r="A54" s="6">
        <v>53.0</v>
      </c>
      <c r="B54" s="8" t="s">
        <v>199</v>
      </c>
      <c r="C54" s="8" t="s">
        <v>204</v>
      </c>
      <c r="D54" s="6">
        <v>7348000.0</v>
      </c>
      <c r="E54" s="8" t="s">
        <v>26</v>
      </c>
      <c r="F54" s="8" t="s">
        <v>42</v>
      </c>
      <c r="G54" s="8" t="s">
        <v>45</v>
      </c>
      <c r="H54" s="8" t="s">
        <v>28</v>
      </c>
      <c r="I54" s="8" t="s">
        <v>30</v>
      </c>
      <c r="J54" s="8" t="s">
        <v>31</v>
      </c>
    </row>
    <row r="55" ht="19.5" customHeight="1">
      <c r="A55" s="9">
        <v>54.0</v>
      </c>
      <c r="B55" s="11" t="s">
        <v>199</v>
      </c>
      <c r="C55" s="11" t="s">
        <v>208</v>
      </c>
      <c r="D55" s="9">
        <v>1.1022E7</v>
      </c>
      <c r="E55" s="11" t="s">
        <v>26</v>
      </c>
      <c r="F55" s="11" t="s">
        <v>185</v>
      </c>
      <c r="G55" s="11" t="s">
        <v>245</v>
      </c>
      <c r="H55" s="11" t="s">
        <v>205</v>
      </c>
      <c r="I55" s="11" t="s">
        <v>206</v>
      </c>
      <c r="J55" s="11" t="s">
        <v>207</v>
      </c>
    </row>
    <row r="56" ht="19.5" customHeight="1">
      <c r="A56" s="6">
        <v>55.0</v>
      </c>
      <c r="B56" s="8" t="s">
        <v>212</v>
      </c>
      <c r="C56" s="8" t="s">
        <v>213</v>
      </c>
      <c r="D56" s="6">
        <v>1.2046E7</v>
      </c>
      <c r="E56" s="8" t="s">
        <v>26</v>
      </c>
      <c r="F56" s="8" t="s">
        <v>248</v>
      </c>
      <c r="G56" s="8" t="s">
        <v>249</v>
      </c>
      <c r="H56" s="8" t="s">
        <v>209</v>
      </c>
      <c r="I56" s="8" t="s">
        <v>210</v>
      </c>
      <c r="J56" s="8" t="s">
        <v>211</v>
      </c>
    </row>
    <row r="57" ht="19.5" customHeight="1">
      <c r="A57" s="9">
        <v>56.0</v>
      </c>
      <c r="B57" s="11" t="s">
        <v>212</v>
      </c>
      <c r="C57" s="11" t="s">
        <v>214</v>
      </c>
      <c r="D57" s="9">
        <v>1.1463E7</v>
      </c>
      <c r="E57" s="11" t="s">
        <v>26</v>
      </c>
      <c r="F57" s="11" t="s">
        <v>175</v>
      </c>
      <c r="G57" s="11" t="s">
        <v>177</v>
      </c>
      <c r="H57" s="11" t="s">
        <v>107</v>
      </c>
      <c r="I57" s="11" t="s">
        <v>109</v>
      </c>
      <c r="J57" s="11" t="s">
        <v>121</v>
      </c>
    </row>
    <row r="58" ht="19.5" customHeight="1">
      <c r="A58" s="6">
        <v>57.0</v>
      </c>
      <c r="B58" s="8" t="s">
        <v>212</v>
      </c>
      <c r="C58" s="8" t="s">
        <v>218</v>
      </c>
      <c r="D58" s="6">
        <v>1.3227E7</v>
      </c>
      <c r="E58" s="8" t="s">
        <v>26</v>
      </c>
      <c r="F58" s="8" t="s">
        <v>250</v>
      </c>
      <c r="G58" s="8" t="s">
        <v>251</v>
      </c>
      <c r="H58" s="8" t="s">
        <v>215</v>
      </c>
      <c r="I58" s="8" t="s">
        <v>252</v>
      </c>
      <c r="J58" s="8" t="s">
        <v>217</v>
      </c>
    </row>
    <row r="59" ht="19.5" customHeight="1">
      <c r="A59" s="9">
        <v>58.0</v>
      </c>
      <c r="B59" s="11" t="s">
        <v>222</v>
      </c>
      <c r="C59" s="11" t="s">
        <v>223</v>
      </c>
      <c r="D59" s="9">
        <v>2.6355E7</v>
      </c>
      <c r="E59" s="11" t="s">
        <v>26</v>
      </c>
      <c r="F59" s="11" t="s">
        <v>75</v>
      </c>
      <c r="G59" s="11" t="s">
        <v>76</v>
      </c>
      <c r="H59" s="11" t="s">
        <v>48</v>
      </c>
      <c r="I59" s="11" t="s">
        <v>49</v>
      </c>
      <c r="J59" s="11" t="s">
        <v>50</v>
      </c>
    </row>
    <row r="60" ht="19.5" customHeight="1">
      <c r="A60" s="6">
        <v>59.0</v>
      </c>
      <c r="B60" s="8" t="s">
        <v>219</v>
      </c>
      <c r="C60" s="8" t="s">
        <v>220</v>
      </c>
      <c r="D60" s="6">
        <v>2.6355E7</v>
      </c>
      <c r="E60" s="8" t="s">
        <v>26</v>
      </c>
      <c r="F60" s="8" t="s">
        <v>75</v>
      </c>
      <c r="G60" s="8" t="s">
        <v>76</v>
      </c>
      <c r="H60" s="8" t="s">
        <v>48</v>
      </c>
      <c r="I60" s="8" t="s">
        <v>49</v>
      </c>
      <c r="J60" s="8" t="s">
        <v>50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35.0"/>
    <col customWidth="1" min="3" max="3" width="37.63"/>
    <col customWidth="1" min="4" max="4" width="10.5"/>
    <col customWidth="1" min="5" max="5" width="21.0"/>
    <col customWidth="1" min="6" max="6" width="23.63"/>
    <col customWidth="1" min="7" max="8" width="24.5"/>
    <col customWidth="1" min="9" max="9" width="40.25"/>
    <col customWidth="1" min="10" max="24" width="7.63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9.5" customHeight="1">
      <c r="A2" s="3">
        <v>1.0</v>
      </c>
      <c r="B2" s="5" t="s">
        <v>9</v>
      </c>
      <c r="C2" s="5" t="s">
        <v>14</v>
      </c>
      <c r="D2" s="7" t="s">
        <v>15</v>
      </c>
      <c r="E2" s="3">
        <v>8230000.0</v>
      </c>
      <c r="F2" s="5" t="s">
        <v>19</v>
      </c>
      <c r="G2" s="5" t="s">
        <v>20</v>
      </c>
      <c r="H2" s="5" t="s">
        <v>21</v>
      </c>
      <c r="I2" s="3">
        <v>1.5E7</v>
      </c>
    </row>
    <row r="3" ht="19.5" customHeight="1">
      <c r="A3" s="9">
        <v>2.0</v>
      </c>
      <c r="B3" s="11" t="s">
        <v>9</v>
      </c>
      <c r="C3" s="11" t="s">
        <v>23</v>
      </c>
      <c r="D3" s="13" t="s">
        <v>15</v>
      </c>
      <c r="E3" s="9">
        <v>7348000.0</v>
      </c>
      <c r="F3" s="11" t="s">
        <v>28</v>
      </c>
      <c r="G3" s="11" t="s">
        <v>30</v>
      </c>
      <c r="H3" s="11" t="s">
        <v>31</v>
      </c>
      <c r="I3" s="9">
        <v>1.5E7</v>
      </c>
    </row>
    <row r="4" ht="19.5" customHeight="1">
      <c r="A4" s="3">
        <v>3.0</v>
      </c>
      <c r="B4" s="5" t="s">
        <v>9</v>
      </c>
      <c r="C4" s="5" t="s">
        <v>33</v>
      </c>
      <c r="D4" s="7" t="s">
        <v>15</v>
      </c>
      <c r="E4" s="3">
        <v>7642000.0</v>
      </c>
      <c r="F4" s="5" t="s">
        <v>34</v>
      </c>
      <c r="G4" s="5" t="s">
        <v>35</v>
      </c>
      <c r="H4" s="5" t="s">
        <v>36</v>
      </c>
      <c r="I4" s="3">
        <v>1.5E7</v>
      </c>
    </row>
    <row r="5" ht="19.5" customHeight="1">
      <c r="A5" s="9">
        <v>4.0</v>
      </c>
      <c r="B5" s="11" t="s">
        <v>9</v>
      </c>
      <c r="C5" s="11" t="s">
        <v>37</v>
      </c>
      <c r="D5" s="13" t="s">
        <v>15</v>
      </c>
      <c r="E5" s="9">
        <v>7642000.0</v>
      </c>
      <c r="F5" s="11" t="s">
        <v>34</v>
      </c>
      <c r="G5" s="11" t="s">
        <v>38</v>
      </c>
      <c r="H5" s="11" t="s">
        <v>36</v>
      </c>
      <c r="I5" s="9">
        <v>1.5E7</v>
      </c>
    </row>
    <row r="6" ht="19.5" customHeight="1">
      <c r="A6" s="3">
        <v>5.0</v>
      </c>
      <c r="B6" s="5" t="s">
        <v>9</v>
      </c>
      <c r="C6" s="5" t="s">
        <v>40</v>
      </c>
      <c r="D6" s="7" t="s">
        <v>15</v>
      </c>
      <c r="E6" s="3">
        <v>8949000.0</v>
      </c>
      <c r="F6" s="5" t="s">
        <v>41</v>
      </c>
      <c r="G6" s="5" t="s">
        <v>43</v>
      </c>
      <c r="H6" s="5" t="s">
        <v>44</v>
      </c>
      <c r="I6" s="3">
        <v>1.5E7</v>
      </c>
    </row>
    <row r="7" ht="19.5" customHeight="1">
      <c r="A7" s="9">
        <v>6.0</v>
      </c>
      <c r="B7" s="11" t="s">
        <v>46</v>
      </c>
      <c r="C7" s="11" t="s">
        <v>47</v>
      </c>
      <c r="D7" s="13" t="s">
        <v>15</v>
      </c>
      <c r="E7" s="9">
        <v>2.6355E7</v>
      </c>
      <c r="F7" s="11" t="s">
        <v>48</v>
      </c>
      <c r="G7" s="11" t="s">
        <v>49</v>
      </c>
      <c r="H7" s="11" t="s">
        <v>50</v>
      </c>
      <c r="I7" s="9">
        <v>1.5E7</v>
      </c>
    </row>
    <row r="8" ht="19.5" customHeight="1">
      <c r="A8" s="3">
        <v>7.0</v>
      </c>
      <c r="B8" s="5" t="s">
        <v>52</v>
      </c>
      <c r="C8" s="5" t="s">
        <v>53</v>
      </c>
      <c r="D8" s="7" t="s">
        <v>15</v>
      </c>
      <c r="E8" s="3">
        <v>7642000.0</v>
      </c>
      <c r="F8" s="5" t="s">
        <v>55</v>
      </c>
      <c r="G8" s="5" t="s">
        <v>38</v>
      </c>
      <c r="H8" s="5" t="s">
        <v>36</v>
      </c>
      <c r="I8" s="3">
        <v>5000000.0</v>
      </c>
    </row>
    <row r="9" ht="19.5" customHeight="1">
      <c r="A9" s="9">
        <v>8.0</v>
      </c>
      <c r="B9" s="11" t="s">
        <v>57</v>
      </c>
      <c r="C9" s="11" t="s">
        <v>58</v>
      </c>
      <c r="D9" s="13" t="s">
        <v>15</v>
      </c>
      <c r="E9" s="9">
        <v>1.2238E7</v>
      </c>
      <c r="F9" s="11" t="s">
        <v>60</v>
      </c>
      <c r="G9" s="11" t="s">
        <v>61</v>
      </c>
      <c r="H9" s="11" t="s">
        <v>62</v>
      </c>
      <c r="I9" s="9">
        <v>4.0E7</v>
      </c>
    </row>
    <row r="10" ht="19.5" customHeight="1">
      <c r="A10" s="3">
        <v>9.0</v>
      </c>
      <c r="B10" s="5" t="s">
        <v>57</v>
      </c>
      <c r="C10" s="5" t="s">
        <v>63</v>
      </c>
      <c r="D10" s="7" t="s">
        <v>15</v>
      </c>
      <c r="E10" s="3">
        <v>1.1767E7</v>
      </c>
      <c r="F10" s="5" t="s">
        <v>65</v>
      </c>
      <c r="G10" s="5" t="s">
        <v>66</v>
      </c>
      <c r="H10" s="5" t="s">
        <v>67</v>
      </c>
      <c r="I10" s="3">
        <v>4.0E7</v>
      </c>
    </row>
    <row r="11" ht="19.5" customHeight="1">
      <c r="A11" s="9">
        <v>10.0</v>
      </c>
      <c r="B11" s="11" t="s">
        <v>57</v>
      </c>
      <c r="C11" s="11" t="s">
        <v>68</v>
      </c>
      <c r="D11" s="13" t="s">
        <v>15</v>
      </c>
      <c r="E11" s="9">
        <v>1.365E7</v>
      </c>
      <c r="F11" s="11" t="s">
        <v>69</v>
      </c>
      <c r="G11" s="11" t="s">
        <v>70</v>
      </c>
      <c r="H11" s="11" t="s">
        <v>71</v>
      </c>
      <c r="I11" s="9">
        <v>4.0E7</v>
      </c>
    </row>
    <row r="12" ht="19.5" customHeight="1">
      <c r="A12" s="3">
        <v>11.0</v>
      </c>
      <c r="B12" s="5" t="s">
        <v>57</v>
      </c>
      <c r="C12" s="5" t="s">
        <v>72</v>
      </c>
      <c r="D12" s="7" t="s">
        <v>15</v>
      </c>
      <c r="E12" s="3">
        <v>1.365E7</v>
      </c>
      <c r="F12" s="5" t="s">
        <v>69</v>
      </c>
      <c r="G12" s="5" t="s">
        <v>70</v>
      </c>
      <c r="H12" s="5" t="s">
        <v>71</v>
      </c>
      <c r="I12" s="3">
        <v>4.0E7</v>
      </c>
    </row>
    <row r="13" ht="19.5" customHeight="1">
      <c r="A13" s="9">
        <v>12.0</v>
      </c>
      <c r="B13" s="11" t="s">
        <v>57</v>
      </c>
      <c r="C13" s="11" t="s">
        <v>77</v>
      </c>
      <c r="D13" s="13" t="s">
        <v>15</v>
      </c>
      <c r="E13" s="9">
        <v>1.2709E7</v>
      </c>
      <c r="F13" s="11" t="s">
        <v>78</v>
      </c>
      <c r="G13" s="11" t="s">
        <v>79</v>
      </c>
      <c r="H13" s="11" t="s">
        <v>80</v>
      </c>
      <c r="I13" s="9">
        <v>3.0E7</v>
      </c>
    </row>
    <row r="14" ht="19.5" customHeight="1">
      <c r="A14" s="3">
        <v>13.0</v>
      </c>
      <c r="B14" s="5" t="s">
        <v>57</v>
      </c>
      <c r="C14" s="5" t="s">
        <v>82</v>
      </c>
      <c r="D14" s="7" t="s">
        <v>15</v>
      </c>
      <c r="E14" s="3">
        <v>1.1767E7</v>
      </c>
      <c r="F14" s="5" t="s">
        <v>84</v>
      </c>
      <c r="G14" s="5" t="s">
        <v>66</v>
      </c>
      <c r="H14" s="5" t="s">
        <v>67</v>
      </c>
      <c r="I14" s="3">
        <v>3.0E7</v>
      </c>
    </row>
    <row r="15" ht="19.5" customHeight="1">
      <c r="A15" s="9">
        <v>14.0</v>
      </c>
      <c r="B15" s="11" t="s">
        <v>57</v>
      </c>
      <c r="C15" s="11" t="s">
        <v>85</v>
      </c>
      <c r="D15" s="13" t="s">
        <v>15</v>
      </c>
      <c r="E15" s="9">
        <v>1.5343E7</v>
      </c>
      <c r="F15" s="11" t="s">
        <v>86</v>
      </c>
      <c r="G15" s="11" t="s">
        <v>87</v>
      </c>
      <c r="H15" s="11" t="s">
        <v>89</v>
      </c>
      <c r="I15" s="9">
        <v>3.0E7</v>
      </c>
    </row>
    <row r="16" ht="19.5" customHeight="1">
      <c r="A16" s="3">
        <v>15.0</v>
      </c>
      <c r="B16" s="5" t="s">
        <v>57</v>
      </c>
      <c r="C16" s="5" t="s">
        <v>90</v>
      </c>
      <c r="D16" s="7" t="s">
        <v>15</v>
      </c>
      <c r="E16" s="3">
        <v>1.1767E7</v>
      </c>
      <c r="F16" s="5" t="s">
        <v>84</v>
      </c>
      <c r="G16" s="5" t="s">
        <v>66</v>
      </c>
      <c r="H16" s="5" t="s">
        <v>67</v>
      </c>
      <c r="I16" s="3">
        <v>3.0E7</v>
      </c>
    </row>
    <row r="17" ht="19.5" customHeight="1">
      <c r="A17" s="9">
        <v>16.0</v>
      </c>
      <c r="B17" s="11" t="s">
        <v>57</v>
      </c>
      <c r="C17" s="11" t="s">
        <v>88</v>
      </c>
      <c r="D17" s="13" t="s">
        <v>15</v>
      </c>
      <c r="E17" s="9">
        <v>1.365E7</v>
      </c>
      <c r="F17" s="11" t="s">
        <v>69</v>
      </c>
      <c r="G17" s="11" t="s">
        <v>70</v>
      </c>
      <c r="H17" s="11" t="s">
        <v>94</v>
      </c>
      <c r="I17" s="9">
        <v>3.0E7</v>
      </c>
    </row>
    <row r="18" ht="19.5" customHeight="1">
      <c r="A18" s="3">
        <v>17.0</v>
      </c>
      <c r="B18" s="5" t="s">
        <v>57</v>
      </c>
      <c r="C18" s="5" t="s">
        <v>95</v>
      </c>
      <c r="D18" s="7" t="s">
        <v>15</v>
      </c>
      <c r="E18" s="3">
        <v>1.1767E7</v>
      </c>
      <c r="F18" s="5" t="s">
        <v>84</v>
      </c>
      <c r="G18" s="5" t="s">
        <v>66</v>
      </c>
      <c r="H18" s="5" t="s">
        <v>67</v>
      </c>
      <c r="I18" s="3">
        <v>5.0E7</v>
      </c>
    </row>
    <row r="19" ht="19.5" customHeight="1">
      <c r="A19" s="9">
        <v>18.0</v>
      </c>
      <c r="B19" s="11" t="s">
        <v>57</v>
      </c>
      <c r="C19" s="11" t="s">
        <v>93</v>
      </c>
      <c r="D19" s="13" t="s">
        <v>15</v>
      </c>
      <c r="E19" s="9">
        <v>1.365E7</v>
      </c>
      <c r="F19" s="11" t="s">
        <v>69</v>
      </c>
      <c r="G19" s="11" t="s">
        <v>70</v>
      </c>
      <c r="H19" s="11" t="s">
        <v>71</v>
      </c>
      <c r="I19" s="9">
        <v>5.0E7</v>
      </c>
    </row>
    <row r="20" ht="19.5" customHeight="1">
      <c r="A20" s="3">
        <v>19.0</v>
      </c>
      <c r="B20" s="5" t="s">
        <v>100</v>
      </c>
      <c r="C20" s="5" t="s">
        <v>102</v>
      </c>
      <c r="D20" s="7" t="s">
        <v>15</v>
      </c>
      <c r="E20" s="3">
        <v>1.0857E7</v>
      </c>
      <c r="F20" s="5" t="s">
        <v>103</v>
      </c>
      <c r="G20" s="5" t="s">
        <v>104</v>
      </c>
      <c r="H20" s="5" t="s">
        <v>105</v>
      </c>
      <c r="I20" s="3">
        <v>1.5E7</v>
      </c>
    </row>
    <row r="21" ht="19.5" customHeight="1">
      <c r="A21" s="9">
        <v>20.0</v>
      </c>
      <c r="B21" s="11" t="s">
        <v>100</v>
      </c>
      <c r="C21" s="11" t="s">
        <v>106</v>
      </c>
      <c r="D21" s="13" t="s">
        <v>15</v>
      </c>
      <c r="E21" s="9">
        <v>1.1463E7</v>
      </c>
      <c r="F21" s="11" t="s">
        <v>107</v>
      </c>
      <c r="G21" s="11" t="s">
        <v>109</v>
      </c>
      <c r="H21" s="11" t="s">
        <v>111</v>
      </c>
      <c r="I21" s="9">
        <v>1.5E7</v>
      </c>
    </row>
    <row r="22" ht="19.5" customHeight="1">
      <c r="A22" s="3">
        <v>21.0</v>
      </c>
      <c r="B22" s="5" t="s">
        <v>100</v>
      </c>
      <c r="C22" s="5" t="s">
        <v>113</v>
      </c>
      <c r="D22" s="7" t="s">
        <v>15</v>
      </c>
      <c r="E22" s="3">
        <v>1.0857E7</v>
      </c>
      <c r="F22" s="5" t="s">
        <v>103</v>
      </c>
      <c r="G22" s="5" t="s">
        <v>104</v>
      </c>
      <c r="H22" s="5" t="s">
        <v>105</v>
      </c>
      <c r="I22" s="3">
        <v>1.5E7</v>
      </c>
    </row>
    <row r="23" ht="19.5" customHeight="1">
      <c r="A23" s="9">
        <v>22.0</v>
      </c>
      <c r="B23" s="11" t="s">
        <v>100</v>
      </c>
      <c r="C23" s="11" t="s">
        <v>115</v>
      </c>
      <c r="D23" s="13" t="s">
        <v>15</v>
      </c>
      <c r="E23" s="9">
        <v>1.1055E7</v>
      </c>
      <c r="F23" s="11" t="s">
        <v>116</v>
      </c>
      <c r="G23" s="11" t="s">
        <v>117</v>
      </c>
      <c r="H23" s="11" t="s">
        <v>118</v>
      </c>
      <c r="I23" s="9">
        <v>1.5E7</v>
      </c>
    </row>
    <row r="24" ht="19.5" customHeight="1">
      <c r="A24" s="3">
        <v>23.0</v>
      </c>
      <c r="B24" s="5" t="s">
        <v>100</v>
      </c>
      <c r="C24" s="5" t="s">
        <v>119</v>
      </c>
      <c r="D24" s="7" t="s">
        <v>15</v>
      </c>
      <c r="E24" s="3">
        <v>1.1463E7</v>
      </c>
      <c r="F24" s="5" t="s">
        <v>120</v>
      </c>
      <c r="G24" s="5" t="s">
        <v>109</v>
      </c>
      <c r="H24" s="5" t="s">
        <v>121</v>
      </c>
      <c r="I24" s="3">
        <v>1.5E7</v>
      </c>
    </row>
    <row r="25" ht="19.5" customHeight="1">
      <c r="A25" s="9">
        <v>24.0</v>
      </c>
      <c r="B25" s="11" t="s">
        <v>100</v>
      </c>
      <c r="C25" s="11" t="s">
        <v>122</v>
      </c>
      <c r="D25" s="13" t="s">
        <v>15</v>
      </c>
      <c r="E25" s="9">
        <v>1.0857E7</v>
      </c>
      <c r="F25" s="11" t="s">
        <v>103</v>
      </c>
      <c r="G25" s="11" t="s">
        <v>104</v>
      </c>
      <c r="H25" s="11" t="s">
        <v>105</v>
      </c>
      <c r="I25" s="9">
        <v>1.5E7</v>
      </c>
    </row>
    <row r="26" ht="19.5" customHeight="1">
      <c r="A26" s="3">
        <v>25.0</v>
      </c>
      <c r="B26" s="5" t="s">
        <v>100</v>
      </c>
      <c r="C26" s="5" t="s">
        <v>125</v>
      </c>
      <c r="D26" s="7" t="s">
        <v>15</v>
      </c>
      <c r="E26" s="3">
        <v>1.4814E7</v>
      </c>
      <c r="F26" s="5" t="s">
        <v>126</v>
      </c>
      <c r="G26" s="5" t="s">
        <v>127</v>
      </c>
      <c r="H26" s="5" t="s">
        <v>128</v>
      </c>
      <c r="I26" s="3">
        <v>1.5E7</v>
      </c>
    </row>
    <row r="27" ht="19.5" customHeight="1">
      <c r="A27" s="9">
        <v>26.0</v>
      </c>
      <c r="B27" s="11" t="s">
        <v>100</v>
      </c>
      <c r="C27" s="11" t="s">
        <v>129</v>
      </c>
      <c r="D27" s="13" t="s">
        <v>15</v>
      </c>
      <c r="E27" s="9">
        <v>1.4814E7</v>
      </c>
      <c r="F27" s="11" t="s">
        <v>126</v>
      </c>
      <c r="G27" s="11" t="s">
        <v>127</v>
      </c>
      <c r="H27" s="11" t="s">
        <v>128</v>
      </c>
      <c r="I27" s="9">
        <v>1.5E7</v>
      </c>
    </row>
    <row r="28" ht="19.5" customHeight="1">
      <c r="A28" s="3">
        <v>27.0</v>
      </c>
      <c r="B28" s="5" t="s">
        <v>100</v>
      </c>
      <c r="C28" s="5" t="s">
        <v>134</v>
      </c>
      <c r="D28" s="7" t="s">
        <v>15</v>
      </c>
      <c r="E28" s="3">
        <v>7348000.0</v>
      </c>
      <c r="F28" s="5" t="s">
        <v>28</v>
      </c>
      <c r="G28" s="5" t="s">
        <v>30</v>
      </c>
      <c r="H28" s="5" t="s">
        <v>31</v>
      </c>
      <c r="I28" s="3">
        <v>1.5E7</v>
      </c>
    </row>
    <row r="29" ht="19.5" customHeight="1">
      <c r="A29" s="9">
        <v>28.0</v>
      </c>
      <c r="B29" s="11" t="s">
        <v>100</v>
      </c>
      <c r="C29" s="11" t="s">
        <v>136</v>
      </c>
      <c r="D29" s="13" t="s">
        <v>15</v>
      </c>
      <c r="E29" s="9">
        <v>7348000.0</v>
      </c>
      <c r="F29" s="11" t="s">
        <v>28</v>
      </c>
      <c r="G29" s="11" t="s">
        <v>30</v>
      </c>
      <c r="H29" s="11" t="s">
        <v>31</v>
      </c>
      <c r="I29" s="9">
        <v>1.5E7</v>
      </c>
    </row>
    <row r="30" ht="19.5" customHeight="1">
      <c r="A30" s="3">
        <v>29.0</v>
      </c>
      <c r="B30" s="5" t="s">
        <v>137</v>
      </c>
      <c r="C30" s="5" t="s">
        <v>138</v>
      </c>
      <c r="D30" s="7" t="s">
        <v>15</v>
      </c>
      <c r="E30" s="3">
        <v>7348000.0</v>
      </c>
      <c r="F30" s="5" t="s">
        <v>28</v>
      </c>
      <c r="G30" s="5" t="s">
        <v>30</v>
      </c>
      <c r="H30" s="5" t="s">
        <v>31</v>
      </c>
      <c r="I30" s="3">
        <v>5000000.0</v>
      </c>
    </row>
    <row r="31" ht="19.5" customHeight="1">
      <c r="A31" s="9">
        <v>30.0</v>
      </c>
      <c r="B31" s="11" t="s">
        <v>137</v>
      </c>
      <c r="C31" s="11" t="s">
        <v>139</v>
      </c>
      <c r="D31" s="13" t="s">
        <v>15</v>
      </c>
      <c r="E31" s="9">
        <v>1.0857E7</v>
      </c>
      <c r="F31" s="11" t="s">
        <v>103</v>
      </c>
      <c r="G31" s="11" t="s">
        <v>104</v>
      </c>
      <c r="H31" s="11" t="s">
        <v>105</v>
      </c>
      <c r="I31" s="9">
        <v>5000000.0</v>
      </c>
    </row>
    <row r="32" ht="19.5" customHeight="1">
      <c r="A32" s="3">
        <v>31.0</v>
      </c>
      <c r="B32" s="5" t="s">
        <v>137</v>
      </c>
      <c r="C32" s="5" t="s">
        <v>141</v>
      </c>
      <c r="D32" s="7" t="s">
        <v>15</v>
      </c>
      <c r="E32" s="3">
        <v>7348000.0</v>
      </c>
      <c r="F32" s="5" t="s">
        <v>28</v>
      </c>
      <c r="G32" s="5" t="s">
        <v>30</v>
      </c>
      <c r="H32" s="5" t="s">
        <v>31</v>
      </c>
      <c r="I32" s="3">
        <v>5000000.0</v>
      </c>
    </row>
    <row r="33" ht="19.5" customHeight="1">
      <c r="A33" s="9">
        <v>32.0</v>
      </c>
      <c r="B33" s="11" t="s">
        <v>137</v>
      </c>
      <c r="C33" s="11" t="s">
        <v>143</v>
      </c>
      <c r="D33" s="13" t="s">
        <v>15</v>
      </c>
      <c r="E33" s="9">
        <v>1.1463E7</v>
      </c>
      <c r="F33" s="11" t="s">
        <v>107</v>
      </c>
      <c r="G33" s="11" t="s">
        <v>109</v>
      </c>
      <c r="H33" s="11" t="s">
        <v>121</v>
      </c>
      <c r="I33" s="9">
        <v>5000000.0</v>
      </c>
    </row>
    <row r="34" ht="19.5" customHeight="1">
      <c r="A34" s="3">
        <v>33.0</v>
      </c>
      <c r="B34" s="5" t="s">
        <v>137</v>
      </c>
      <c r="C34" s="5" t="s">
        <v>144</v>
      </c>
      <c r="D34" s="7" t="s">
        <v>15</v>
      </c>
      <c r="E34" s="3">
        <v>8450000.0</v>
      </c>
      <c r="F34" s="5" t="s">
        <v>145</v>
      </c>
      <c r="G34" s="5" t="s">
        <v>146</v>
      </c>
      <c r="H34" s="5" t="s">
        <v>147</v>
      </c>
      <c r="I34" s="3">
        <v>5000000.0</v>
      </c>
    </row>
    <row r="35" ht="19.5" customHeight="1">
      <c r="A35" s="9">
        <v>34.0</v>
      </c>
      <c r="B35" s="11" t="s">
        <v>137</v>
      </c>
      <c r="C35" s="11" t="s">
        <v>148</v>
      </c>
      <c r="D35" s="13" t="s">
        <v>15</v>
      </c>
      <c r="E35" s="9">
        <v>9553000.0</v>
      </c>
      <c r="F35" s="11" t="s">
        <v>149</v>
      </c>
      <c r="G35" s="11" t="s">
        <v>150</v>
      </c>
      <c r="H35" s="11" t="s">
        <v>151</v>
      </c>
      <c r="I35" s="9">
        <v>5000000.0</v>
      </c>
    </row>
    <row r="36" ht="19.5" customHeight="1">
      <c r="A36" s="3">
        <v>35.0</v>
      </c>
      <c r="B36" s="5" t="s">
        <v>137</v>
      </c>
      <c r="C36" s="5" t="s">
        <v>152</v>
      </c>
      <c r="D36" s="7" t="s">
        <v>15</v>
      </c>
      <c r="E36" s="3">
        <v>9553000.0</v>
      </c>
      <c r="F36" s="5" t="s">
        <v>149</v>
      </c>
      <c r="G36" s="5" t="s">
        <v>153</v>
      </c>
      <c r="H36" s="5" t="s">
        <v>151</v>
      </c>
      <c r="I36" s="3">
        <v>5000000.0</v>
      </c>
    </row>
    <row r="37" ht="19.5" customHeight="1">
      <c r="A37" s="9">
        <v>36.0</v>
      </c>
      <c r="B37" s="11" t="s">
        <v>137</v>
      </c>
      <c r="C37" s="11" t="s">
        <v>155</v>
      </c>
      <c r="D37" s="13" t="s">
        <v>15</v>
      </c>
      <c r="E37" s="9">
        <v>1.2227E7</v>
      </c>
      <c r="F37" s="11" t="s">
        <v>156</v>
      </c>
      <c r="G37" s="11" t="s">
        <v>157</v>
      </c>
      <c r="H37" s="11" t="s">
        <v>158</v>
      </c>
      <c r="I37" s="9">
        <v>5000000.0</v>
      </c>
    </row>
    <row r="38" ht="19.5" customHeight="1">
      <c r="A38" s="3">
        <v>37.0</v>
      </c>
      <c r="B38" s="5" t="s">
        <v>137</v>
      </c>
      <c r="C38" s="5" t="s">
        <v>160</v>
      </c>
      <c r="D38" s="7" t="s">
        <v>15</v>
      </c>
      <c r="E38" s="3">
        <v>1.2463E7</v>
      </c>
      <c r="F38" s="5" t="s">
        <v>107</v>
      </c>
      <c r="G38" s="5" t="s">
        <v>109</v>
      </c>
      <c r="H38" s="5" t="s">
        <v>121</v>
      </c>
      <c r="I38" s="3">
        <v>5000000.0</v>
      </c>
    </row>
    <row r="39" ht="19.5" customHeight="1">
      <c r="A39" s="9">
        <v>38.0</v>
      </c>
      <c r="B39" s="11" t="s">
        <v>137</v>
      </c>
      <c r="C39" s="11" t="s">
        <v>161</v>
      </c>
      <c r="D39" s="13" t="s">
        <v>15</v>
      </c>
      <c r="E39" s="11" t="s">
        <v>162</v>
      </c>
      <c r="F39" s="11" t="s">
        <v>107</v>
      </c>
      <c r="G39" s="11" t="s">
        <v>163</v>
      </c>
      <c r="H39" s="11"/>
      <c r="I39" s="9">
        <v>5000000.0</v>
      </c>
    </row>
    <row r="40" ht="19.5" customHeight="1">
      <c r="A40" s="3">
        <v>39.0</v>
      </c>
      <c r="B40" s="5" t="s">
        <v>137</v>
      </c>
      <c r="C40" s="5" t="s">
        <v>164</v>
      </c>
      <c r="D40" s="7" t="s">
        <v>15</v>
      </c>
      <c r="E40" s="3">
        <v>1.1463E7</v>
      </c>
      <c r="F40" s="5" t="s">
        <v>165</v>
      </c>
      <c r="G40" s="5"/>
      <c r="H40" s="5"/>
      <c r="I40" s="3">
        <v>5000000.0</v>
      </c>
    </row>
    <row r="41" ht="19.5" customHeight="1">
      <c r="A41" s="9">
        <v>40.0</v>
      </c>
      <c r="B41" s="11" t="s">
        <v>137</v>
      </c>
      <c r="C41" s="11" t="s">
        <v>166</v>
      </c>
      <c r="D41" s="13" t="s">
        <v>15</v>
      </c>
      <c r="E41" s="9">
        <v>1.0439E7</v>
      </c>
      <c r="F41" s="11" t="s">
        <v>168</v>
      </c>
      <c r="G41" s="11" t="s">
        <v>169</v>
      </c>
      <c r="H41" s="11" t="s">
        <v>171</v>
      </c>
      <c r="I41" s="9">
        <v>5000000.0</v>
      </c>
    </row>
    <row r="42" ht="19.5" customHeight="1">
      <c r="A42" s="3">
        <v>41.0</v>
      </c>
      <c r="B42" s="5" t="s">
        <v>137</v>
      </c>
      <c r="C42" s="5" t="s">
        <v>172</v>
      </c>
      <c r="D42" s="7" t="s">
        <v>15</v>
      </c>
      <c r="E42" s="3">
        <v>7642000.0</v>
      </c>
      <c r="F42" s="5" t="s">
        <v>34</v>
      </c>
      <c r="G42" s="5" t="s">
        <v>38</v>
      </c>
      <c r="H42" s="5" t="s">
        <v>36</v>
      </c>
      <c r="I42" s="3">
        <v>5000000.0</v>
      </c>
    </row>
    <row r="43" ht="19.5" customHeight="1">
      <c r="A43" s="9">
        <v>42.0</v>
      </c>
      <c r="B43" s="11" t="s">
        <v>137</v>
      </c>
      <c r="C43" s="11" t="s">
        <v>173</v>
      </c>
      <c r="D43" s="13" t="s">
        <v>15</v>
      </c>
      <c r="E43" s="9">
        <v>7348000.0</v>
      </c>
      <c r="F43" s="11" t="s">
        <v>174</v>
      </c>
      <c r="G43" s="11" t="s">
        <v>30</v>
      </c>
      <c r="H43" s="11" t="s">
        <v>31</v>
      </c>
      <c r="I43" s="9">
        <v>5000000.0</v>
      </c>
    </row>
    <row r="44" ht="19.5" customHeight="1">
      <c r="A44" s="3">
        <v>43.0</v>
      </c>
      <c r="B44" s="5" t="s">
        <v>137</v>
      </c>
      <c r="C44" s="5" t="s">
        <v>176</v>
      </c>
      <c r="D44" s="7" t="s">
        <v>15</v>
      </c>
      <c r="E44" s="3">
        <v>8450000.0</v>
      </c>
      <c r="F44" s="5" t="s">
        <v>147</v>
      </c>
      <c r="G44" s="5"/>
      <c r="H44" s="5"/>
      <c r="I44" s="3">
        <v>5000000.0</v>
      </c>
    </row>
    <row r="45" ht="19.5" customHeight="1">
      <c r="A45" s="9">
        <v>44.0</v>
      </c>
      <c r="B45" s="11" t="s">
        <v>137</v>
      </c>
      <c r="C45" s="11" t="s">
        <v>178</v>
      </c>
      <c r="D45" s="13" t="s">
        <v>15</v>
      </c>
      <c r="E45" s="11" t="s">
        <v>179</v>
      </c>
      <c r="F45" s="11" t="s">
        <v>145</v>
      </c>
      <c r="G45" s="11" t="s">
        <v>146</v>
      </c>
      <c r="H45" s="11"/>
      <c r="I45" s="9">
        <v>5000000.0</v>
      </c>
    </row>
    <row r="46" ht="19.5" customHeight="1">
      <c r="A46" s="3">
        <v>45.0</v>
      </c>
      <c r="B46" s="5" t="s">
        <v>137</v>
      </c>
      <c r="C46" s="5" t="s">
        <v>181</v>
      </c>
      <c r="D46" s="7" t="s">
        <v>15</v>
      </c>
      <c r="E46" s="3">
        <v>2.6355E7</v>
      </c>
      <c r="F46" s="5" t="s">
        <v>48</v>
      </c>
      <c r="G46" s="5" t="s">
        <v>49</v>
      </c>
      <c r="H46" s="5" t="s">
        <v>50</v>
      </c>
      <c r="I46" s="3">
        <v>5000000.0</v>
      </c>
    </row>
    <row r="47" ht="19.5" customHeight="1">
      <c r="A47" s="9">
        <v>46.0</v>
      </c>
      <c r="B47" s="11" t="s">
        <v>182</v>
      </c>
      <c r="C47" s="11" t="s">
        <v>183</v>
      </c>
      <c r="D47" s="13" t="s">
        <v>15</v>
      </c>
      <c r="E47" s="9">
        <v>8450000.0</v>
      </c>
      <c r="F47" s="11" t="s">
        <v>145</v>
      </c>
      <c r="G47" s="11" t="s">
        <v>146</v>
      </c>
      <c r="H47" s="11" t="s">
        <v>147</v>
      </c>
      <c r="I47" s="9">
        <v>2.5E8</v>
      </c>
    </row>
    <row r="48" ht="19.5" customHeight="1">
      <c r="A48" s="3">
        <v>47.0</v>
      </c>
      <c r="B48" s="5" t="s">
        <v>182</v>
      </c>
      <c r="C48" s="5" t="s">
        <v>184</v>
      </c>
      <c r="D48" s="7" t="s">
        <v>15</v>
      </c>
      <c r="E48" s="3">
        <v>1.2227E7</v>
      </c>
      <c r="F48" s="5" t="s">
        <v>156</v>
      </c>
      <c r="G48" s="5" t="s">
        <v>157</v>
      </c>
      <c r="H48" s="5" t="s">
        <v>158</v>
      </c>
      <c r="I48" s="3">
        <v>3.0E7</v>
      </c>
    </row>
    <row r="49" ht="19.5" customHeight="1">
      <c r="A49" s="9">
        <v>48.0</v>
      </c>
      <c r="B49" s="11" t="s">
        <v>73</v>
      </c>
      <c r="C49" s="11" t="s">
        <v>187</v>
      </c>
      <c r="D49" s="13" t="s">
        <v>15</v>
      </c>
      <c r="E49" s="9">
        <v>2.5341E7</v>
      </c>
      <c r="F49" s="11" t="s">
        <v>188</v>
      </c>
      <c r="G49" s="11" t="s">
        <v>189</v>
      </c>
      <c r="H49" s="11" t="s">
        <v>190</v>
      </c>
      <c r="I49" s="9">
        <v>5000000.0</v>
      </c>
    </row>
    <row r="50" ht="19.5" customHeight="1">
      <c r="A50" s="3">
        <v>49.0</v>
      </c>
      <c r="B50" s="5" t="s">
        <v>73</v>
      </c>
      <c r="C50" s="5" t="s">
        <v>192</v>
      </c>
      <c r="D50" s="7" t="s">
        <v>15</v>
      </c>
      <c r="E50" s="3">
        <v>1.2227E7</v>
      </c>
      <c r="F50" s="5" t="s">
        <v>156</v>
      </c>
      <c r="G50" s="5" t="s">
        <v>157</v>
      </c>
      <c r="H50" s="5" t="s">
        <v>158</v>
      </c>
      <c r="I50" s="3">
        <v>3.0E7</v>
      </c>
    </row>
    <row r="51" ht="19.5" customHeight="1">
      <c r="A51" s="9">
        <v>50.0</v>
      </c>
      <c r="B51" s="11" t="s">
        <v>73</v>
      </c>
      <c r="C51" s="11" t="s">
        <v>193</v>
      </c>
      <c r="D51" s="13" t="s">
        <v>15</v>
      </c>
      <c r="E51" s="9">
        <v>1.2227E7</v>
      </c>
      <c r="F51" s="11" t="s">
        <v>156</v>
      </c>
      <c r="G51" s="11" t="s">
        <v>157</v>
      </c>
      <c r="H51" s="11" t="s">
        <v>158</v>
      </c>
      <c r="I51" s="9">
        <v>5000000.0</v>
      </c>
    </row>
    <row r="52" ht="19.5" customHeight="1">
      <c r="A52" s="3">
        <v>51.0</v>
      </c>
      <c r="B52" s="5" t="s">
        <v>73</v>
      </c>
      <c r="C52" s="5" t="s">
        <v>194</v>
      </c>
      <c r="D52" s="7" t="s">
        <v>15</v>
      </c>
      <c r="E52" s="3">
        <v>1.0857E7</v>
      </c>
      <c r="F52" s="5" t="s">
        <v>103</v>
      </c>
      <c r="G52" s="5" t="s">
        <v>104</v>
      </c>
      <c r="H52" s="5" t="s">
        <v>105</v>
      </c>
      <c r="I52" s="3">
        <v>5000000.0</v>
      </c>
    </row>
    <row r="53" ht="19.5" customHeight="1">
      <c r="A53" s="9">
        <v>52.0</v>
      </c>
      <c r="B53" s="11" t="s">
        <v>73</v>
      </c>
      <c r="C53" s="11" t="s">
        <v>195</v>
      </c>
      <c r="D53" s="13" t="s">
        <v>15</v>
      </c>
      <c r="E53" s="9">
        <v>1.0439E7</v>
      </c>
      <c r="F53" s="11" t="s">
        <v>168</v>
      </c>
      <c r="G53" s="11" t="s">
        <v>169</v>
      </c>
      <c r="H53" s="11" t="s">
        <v>171</v>
      </c>
      <c r="I53" s="9">
        <v>5000000.0</v>
      </c>
    </row>
    <row r="54" ht="19.5" customHeight="1">
      <c r="A54" s="3">
        <v>53.0</v>
      </c>
      <c r="B54" s="5" t="s">
        <v>73</v>
      </c>
      <c r="C54" s="5" t="s">
        <v>197</v>
      </c>
      <c r="D54" s="7" t="s">
        <v>15</v>
      </c>
      <c r="E54" s="3">
        <v>1.0857E7</v>
      </c>
      <c r="F54" s="5" t="s">
        <v>103</v>
      </c>
      <c r="G54" s="5" t="s">
        <v>104</v>
      </c>
      <c r="H54" s="5" t="s">
        <v>105</v>
      </c>
      <c r="I54" s="3">
        <v>1.0E7</v>
      </c>
    </row>
    <row r="55" ht="19.5" customHeight="1">
      <c r="A55" s="9">
        <v>54.0</v>
      </c>
      <c r="B55" s="11" t="s">
        <v>73</v>
      </c>
      <c r="C55" s="11" t="s">
        <v>198</v>
      </c>
      <c r="D55" s="13" t="s">
        <v>15</v>
      </c>
      <c r="E55" s="9">
        <v>7348000.0</v>
      </c>
      <c r="F55" s="11" t="s">
        <v>28</v>
      </c>
      <c r="G55" s="11" t="s">
        <v>30</v>
      </c>
      <c r="H55" s="11" t="s">
        <v>31</v>
      </c>
      <c r="I55" s="9">
        <v>2.5E7</v>
      </c>
    </row>
    <row r="56" ht="19.5" customHeight="1">
      <c r="A56" s="3">
        <v>55.0</v>
      </c>
      <c r="B56" s="5" t="s">
        <v>199</v>
      </c>
      <c r="C56" s="5" t="s">
        <v>200</v>
      </c>
      <c r="D56" s="7" t="s">
        <v>15</v>
      </c>
      <c r="E56" s="3">
        <v>7348000.0</v>
      </c>
      <c r="F56" s="5" t="s">
        <v>28</v>
      </c>
      <c r="G56" s="5" t="s">
        <v>30</v>
      </c>
      <c r="H56" s="5" t="s">
        <v>31</v>
      </c>
      <c r="I56" s="3">
        <v>5000000.0</v>
      </c>
    </row>
    <row r="57" ht="19.5" customHeight="1">
      <c r="A57" s="9">
        <v>56.0</v>
      </c>
      <c r="B57" s="11" t="s">
        <v>199</v>
      </c>
      <c r="C57" s="11" t="s">
        <v>203</v>
      </c>
      <c r="D57" s="13" t="s">
        <v>15</v>
      </c>
      <c r="E57" s="9">
        <v>7348000.0</v>
      </c>
      <c r="F57" s="11" t="s">
        <v>28</v>
      </c>
      <c r="G57" s="11" t="s">
        <v>30</v>
      </c>
      <c r="H57" s="11" t="s">
        <v>31</v>
      </c>
      <c r="I57" s="9">
        <v>5000000.0</v>
      </c>
    </row>
    <row r="58" ht="19.5" customHeight="1">
      <c r="A58" s="3">
        <v>57.0</v>
      </c>
      <c r="B58" s="5" t="s">
        <v>199</v>
      </c>
      <c r="C58" s="5" t="s">
        <v>204</v>
      </c>
      <c r="D58" s="7" t="s">
        <v>15</v>
      </c>
      <c r="E58" s="3">
        <v>1.1022E7</v>
      </c>
      <c r="F58" s="5" t="s">
        <v>205</v>
      </c>
      <c r="G58" s="5" t="s">
        <v>206</v>
      </c>
      <c r="H58" s="5" t="s">
        <v>207</v>
      </c>
      <c r="I58" s="3">
        <v>5000000.0</v>
      </c>
    </row>
    <row r="59" ht="19.5" customHeight="1">
      <c r="A59" s="9">
        <v>58.0</v>
      </c>
      <c r="B59" s="11" t="s">
        <v>199</v>
      </c>
      <c r="C59" s="11" t="s">
        <v>208</v>
      </c>
      <c r="D59" s="13" t="s">
        <v>15</v>
      </c>
      <c r="E59" s="9">
        <v>1.2046E7</v>
      </c>
      <c r="F59" s="11" t="s">
        <v>209</v>
      </c>
      <c r="G59" s="11" t="s">
        <v>210</v>
      </c>
      <c r="H59" s="11" t="s">
        <v>211</v>
      </c>
      <c r="I59" s="9">
        <v>5000000.0</v>
      </c>
    </row>
    <row r="60" ht="19.5" customHeight="1">
      <c r="A60" s="3">
        <v>59.0</v>
      </c>
      <c r="B60" s="5" t="s">
        <v>212</v>
      </c>
      <c r="C60" s="5" t="s">
        <v>213</v>
      </c>
      <c r="D60" s="7" t="s">
        <v>15</v>
      </c>
      <c r="E60" s="3">
        <v>1.1463E7</v>
      </c>
      <c r="F60" s="5" t="s">
        <v>107</v>
      </c>
      <c r="G60" s="5" t="s">
        <v>109</v>
      </c>
      <c r="H60" s="5" t="s">
        <v>121</v>
      </c>
      <c r="I60" s="3">
        <v>6000000.0</v>
      </c>
    </row>
    <row r="61" ht="19.5" customHeight="1">
      <c r="A61" s="9">
        <v>60.0</v>
      </c>
      <c r="B61" s="11" t="s">
        <v>212</v>
      </c>
      <c r="C61" s="11" t="s">
        <v>214</v>
      </c>
      <c r="D61" s="13" t="s">
        <v>15</v>
      </c>
      <c r="E61" s="9">
        <v>1.3227E7</v>
      </c>
      <c r="F61" s="11" t="s">
        <v>215</v>
      </c>
      <c r="G61" s="11" t="s">
        <v>216</v>
      </c>
      <c r="H61" s="11" t="s">
        <v>217</v>
      </c>
      <c r="I61" s="9">
        <v>6000000.0</v>
      </c>
    </row>
    <row r="62" ht="19.5" customHeight="1">
      <c r="A62" s="3">
        <v>61.0</v>
      </c>
      <c r="B62" s="5" t="s">
        <v>212</v>
      </c>
      <c r="C62" s="5" t="s">
        <v>218</v>
      </c>
      <c r="D62" s="7" t="s">
        <v>15</v>
      </c>
      <c r="E62" s="3">
        <v>2.6355E7</v>
      </c>
      <c r="F62" s="5" t="s">
        <v>48</v>
      </c>
      <c r="G62" s="5" t="s">
        <v>49</v>
      </c>
      <c r="H62" s="5" t="s">
        <v>50</v>
      </c>
      <c r="I62" s="3">
        <v>6000000.0</v>
      </c>
    </row>
    <row r="63" ht="19.5" customHeight="1">
      <c r="A63" s="9">
        <v>62.0</v>
      </c>
      <c r="B63" s="11" t="s">
        <v>219</v>
      </c>
      <c r="C63" s="11" t="s">
        <v>220</v>
      </c>
      <c r="D63" s="13" t="s">
        <v>15</v>
      </c>
      <c r="E63" s="9">
        <v>2.6355E7</v>
      </c>
      <c r="F63" s="11" t="s">
        <v>48</v>
      </c>
      <c r="G63" s="11" t="s">
        <v>49</v>
      </c>
      <c r="H63" s="11" t="s">
        <v>50</v>
      </c>
      <c r="I63" s="9">
        <v>4.0E7</v>
      </c>
    </row>
    <row r="64" ht="19.5" customHeight="1">
      <c r="A64" s="3">
        <v>63.0</v>
      </c>
      <c r="B64" s="5" t="s">
        <v>222</v>
      </c>
      <c r="C64" s="5" t="s">
        <v>223</v>
      </c>
      <c r="D64" s="7" t="s">
        <v>15</v>
      </c>
      <c r="E64" s="5"/>
      <c r="F64" s="5"/>
      <c r="G64" s="5"/>
      <c r="H64" s="5"/>
      <c r="I64" s="3">
        <v>2.5E8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26.25"/>
    <col customWidth="1" min="3" max="3" width="21.88"/>
    <col customWidth="1" min="4" max="6" width="10.5"/>
    <col customWidth="1" min="7" max="7" width="32.38"/>
    <col customWidth="1" min="8" max="8" width="29.75"/>
    <col customWidth="1" min="9" max="26" width="7.63"/>
  </cols>
  <sheetData>
    <row r="1" ht="27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10</v>
      </c>
      <c r="F1" s="2" t="s">
        <v>11</v>
      </c>
      <c r="G1" s="2" t="s">
        <v>12</v>
      </c>
      <c r="H1" s="2" t="s">
        <v>13</v>
      </c>
    </row>
    <row r="2" ht="19.5" customHeight="1">
      <c r="A2" s="6">
        <v>1.0</v>
      </c>
      <c r="B2" s="8" t="s">
        <v>9</v>
      </c>
      <c r="C2" s="8" t="s">
        <v>14</v>
      </c>
      <c r="D2" s="10" t="s">
        <v>22</v>
      </c>
      <c r="E2" s="10" t="s">
        <v>24</v>
      </c>
      <c r="F2" s="10" t="s">
        <v>25</v>
      </c>
      <c r="G2" s="6">
        <v>2500000.0</v>
      </c>
      <c r="H2" s="6">
        <v>5000000.0</v>
      </c>
    </row>
    <row r="3" ht="19.5" customHeight="1">
      <c r="A3" s="9">
        <v>2.0</v>
      </c>
      <c r="B3" s="11" t="s">
        <v>9</v>
      </c>
      <c r="C3" s="11" t="s">
        <v>32</v>
      </c>
      <c r="D3" s="13" t="s">
        <v>22</v>
      </c>
      <c r="E3" s="13" t="s">
        <v>24</v>
      </c>
      <c r="F3" s="13" t="s">
        <v>25</v>
      </c>
      <c r="G3" s="9">
        <v>2500000.0</v>
      </c>
      <c r="H3" s="9">
        <v>5000000.0</v>
      </c>
    </row>
    <row r="4" ht="19.5" customHeight="1">
      <c r="A4" s="6">
        <v>3.0</v>
      </c>
      <c r="B4" s="8" t="s">
        <v>9</v>
      </c>
      <c r="C4" s="8" t="s">
        <v>39</v>
      </c>
      <c r="D4" s="10" t="s">
        <v>22</v>
      </c>
      <c r="E4" s="10" t="s">
        <v>24</v>
      </c>
      <c r="F4" s="10" t="s">
        <v>25</v>
      </c>
      <c r="G4" s="6">
        <v>2500000.0</v>
      </c>
      <c r="H4" s="6">
        <v>5000000.0</v>
      </c>
    </row>
    <row r="5" ht="19.5" customHeight="1">
      <c r="A5" s="9">
        <v>4.0</v>
      </c>
      <c r="B5" s="11" t="s">
        <v>9</v>
      </c>
      <c r="C5" s="11" t="s">
        <v>51</v>
      </c>
      <c r="D5" s="13" t="s">
        <v>22</v>
      </c>
      <c r="E5" s="13" t="s">
        <v>24</v>
      </c>
      <c r="F5" s="13" t="s">
        <v>25</v>
      </c>
      <c r="G5" s="9">
        <v>2500000.0</v>
      </c>
      <c r="H5" s="9">
        <v>5000000.0</v>
      </c>
    </row>
    <row r="6" ht="19.5" customHeight="1">
      <c r="A6" s="6">
        <v>5.0</v>
      </c>
      <c r="B6" s="8" t="s">
        <v>9</v>
      </c>
      <c r="C6" s="8" t="s">
        <v>59</v>
      </c>
      <c r="D6" s="10" t="s">
        <v>22</v>
      </c>
      <c r="E6" s="10" t="s">
        <v>24</v>
      </c>
      <c r="F6" s="10" t="s">
        <v>25</v>
      </c>
      <c r="G6" s="6">
        <v>2500000.0</v>
      </c>
      <c r="H6" s="6">
        <v>5000000.0</v>
      </c>
    </row>
    <row r="7" ht="19.5" customHeight="1">
      <c r="A7" s="9">
        <v>6.0</v>
      </c>
      <c r="B7" s="11" t="s">
        <v>9</v>
      </c>
      <c r="C7" s="11" t="s">
        <v>64</v>
      </c>
      <c r="D7" s="13" t="s">
        <v>22</v>
      </c>
      <c r="E7" s="13" t="s">
        <v>24</v>
      </c>
      <c r="F7" s="13" t="s">
        <v>25</v>
      </c>
      <c r="G7" s="9">
        <v>2500000.0</v>
      </c>
      <c r="H7" s="9">
        <v>5000000.0</v>
      </c>
    </row>
    <row r="8" ht="19.5" customHeight="1">
      <c r="A8" s="6">
        <v>7.0</v>
      </c>
      <c r="B8" s="8" t="s">
        <v>73</v>
      </c>
      <c r="C8" s="8" t="s">
        <v>74</v>
      </c>
      <c r="D8" s="10" t="s">
        <v>22</v>
      </c>
      <c r="E8" s="10" t="s">
        <v>24</v>
      </c>
      <c r="F8" s="10" t="s">
        <v>25</v>
      </c>
      <c r="G8" s="6">
        <v>3500000.0</v>
      </c>
      <c r="H8" s="6">
        <v>7000000.0</v>
      </c>
    </row>
    <row r="9" ht="19.5" customHeight="1">
      <c r="A9" s="9">
        <v>8.0</v>
      </c>
      <c r="B9" s="11" t="s">
        <v>57</v>
      </c>
      <c r="C9" s="11" t="s">
        <v>81</v>
      </c>
      <c r="D9" s="13" t="s">
        <v>22</v>
      </c>
      <c r="E9" s="13" t="s">
        <v>24</v>
      </c>
      <c r="F9" s="13" t="s">
        <v>25</v>
      </c>
      <c r="G9" s="9">
        <v>2250000.0</v>
      </c>
      <c r="H9" s="9">
        <v>4500000.0</v>
      </c>
    </row>
    <row r="10" ht="19.5" customHeight="1">
      <c r="A10" s="6">
        <v>9.0</v>
      </c>
      <c r="B10" s="8" t="s">
        <v>57</v>
      </c>
      <c r="C10" s="8" t="s">
        <v>88</v>
      </c>
      <c r="D10" s="10" t="s">
        <v>22</v>
      </c>
      <c r="E10" s="10" t="s">
        <v>24</v>
      </c>
      <c r="F10" s="10" t="s">
        <v>25</v>
      </c>
      <c r="G10" s="6">
        <v>2500000.0</v>
      </c>
      <c r="H10" s="6">
        <v>5000000.0</v>
      </c>
    </row>
    <row r="11" ht="19.5" customHeight="1">
      <c r="A11" s="9">
        <v>10.0</v>
      </c>
      <c r="B11" s="11" t="s">
        <v>57</v>
      </c>
      <c r="C11" s="11" t="s">
        <v>93</v>
      </c>
      <c r="D11" s="13" t="s">
        <v>22</v>
      </c>
      <c r="E11" s="13" t="s">
        <v>24</v>
      </c>
      <c r="F11" s="13" t="s">
        <v>25</v>
      </c>
      <c r="G11" s="9">
        <v>2500000.0</v>
      </c>
      <c r="H11" s="9">
        <v>5000000.0</v>
      </c>
    </row>
    <row r="12" ht="19.5" customHeight="1">
      <c r="A12" s="6">
        <v>11.0</v>
      </c>
      <c r="B12" s="8" t="s">
        <v>57</v>
      </c>
      <c r="C12" s="8" t="s">
        <v>85</v>
      </c>
      <c r="D12" s="10" t="s">
        <v>22</v>
      </c>
      <c r="E12" s="10" t="s">
        <v>24</v>
      </c>
      <c r="F12" s="10" t="s">
        <v>25</v>
      </c>
      <c r="G12" s="6">
        <v>2500000.0</v>
      </c>
      <c r="H12" s="6">
        <v>5000000.0</v>
      </c>
    </row>
    <row r="13" ht="19.5" customHeight="1">
      <c r="A13" s="9">
        <v>12.0</v>
      </c>
      <c r="B13" s="11" t="s">
        <v>57</v>
      </c>
      <c r="C13" s="11" t="s">
        <v>101</v>
      </c>
      <c r="D13" s="13" t="s">
        <v>22</v>
      </c>
      <c r="E13" s="13" t="s">
        <v>24</v>
      </c>
      <c r="F13" s="13" t="s">
        <v>25</v>
      </c>
      <c r="G13" s="9">
        <v>2500000.0</v>
      </c>
      <c r="H13" s="9">
        <v>5000000.0</v>
      </c>
    </row>
    <row r="14" ht="19.5" customHeight="1">
      <c r="A14" s="6">
        <v>13.0</v>
      </c>
      <c r="B14" s="8" t="s">
        <v>100</v>
      </c>
      <c r="C14" s="8" t="s">
        <v>108</v>
      </c>
      <c r="D14" s="10" t="s">
        <v>22</v>
      </c>
      <c r="E14" s="10" t="s">
        <v>24</v>
      </c>
      <c r="F14" s="10" t="s">
        <v>25</v>
      </c>
      <c r="G14" s="6">
        <v>2500000.0</v>
      </c>
      <c r="H14" s="6">
        <v>5000000.0</v>
      </c>
    </row>
    <row r="15" ht="19.5" customHeight="1">
      <c r="A15" s="9">
        <v>14.0</v>
      </c>
      <c r="B15" s="11" t="s">
        <v>100</v>
      </c>
      <c r="C15" s="11" t="s">
        <v>114</v>
      </c>
      <c r="D15" s="13" t="s">
        <v>22</v>
      </c>
      <c r="E15" s="13" t="s">
        <v>24</v>
      </c>
      <c r="F15" s="13" t="s">
        <v>25</v>
      </c>
      <c r="G15" s="9">
        <v>2500000.0</v>
      </c>
      <c r="H15" s="9">
        <v>5000000.0</v>
      </c>
    </row>
    <row r="16" ht="19.5" customHeight="1">
      <c r="A16" s="6">
        <v>15.0</v>
      </c>
      <c r="B16" s="8" t="s">
        <v>46</v>
      </c>
      <c r="C16" s="8" t="s">
        <v>123</v>
      </c>
      <c r="D16" s="10" t="s">
        <v>22</v>
      </c>
      <c r="E16" s="10" t="s">
        <v>24</v>
      </c>
      <c r="F16" s="10" t="s">
        <v>25</v>
      </c>
      <c r="G16" s="6">
        <v>3000000.0</v>
      </c>
      <c r="H16" s="6">
        <v>6000000.0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26.25"/>
    <col customWidth="1" min="3" max="3" width="21.88"/>
    <col customWidth="1" min="4" max="6" width="10.5"/>
    <col customWidth="1" min="7" max="7" width="32.38"/>
    <col customWidth="1" min="8" max="8" width="29.75"/>
    <col customWidth="1" min="9" max="9" width="40.25"/>
    <col customWidth="1" min="10" max="26" width="7.63"/>
  </cols>
  <sheetData>
    <row r="1" ht="27.75" customHeight="1">
      <c r="A1" s="59" t="s">
        <v>0</v>
      </c>
      <c r="B1" s="59" t="s">
        <v>1</v>
      </c>
      <c r="C1" s="59" t="s">
        <v>2</v>
      </c>
      <c r="D1" s="59" t="s">
        <v>3</v>
      </c>
      <c r="E1" s="59" t="s">
        <v>10</v>
      </c>
      <c r="F1" s="59" t="s">
        <v>11</v>
      </c>
      <c r="G1" s="59" t="s">
        <v>12</v>
      </c>
      <c r="H1" s="59" t="s">
        <v>13</v>
      </c>
      <c r="I1" s="59" t="s">
        <v>8</v>
      </c>
    </row>
    <row r="2" ht="19.5" customHeight="1">
      <c r="A2" s="6">
        <v>1.0</v>
      </c>
      <c r="B2" s="8" t="s">
        <v>9</v>
      </c>
      <c r="C2" s="8" t="s">
        <v>14</v>
      </c>
      <c r="D2" s="10" t="s">
        <v>22</v>
      </c>
      <c r="E2" s="10" t="s">
        <v>253</v>
      </c>
      <c r="F2" s="10" t="s">
        <v>25</v>
      </c>
      <c r="G2" s="6">
        <v>2500000.0</v>
      </c>
      <c r="H2" s="6">
        <v>5000000.0</v>
      </c>
      <c r="I2" s="6">
        <v>5000000.0</v>
      </c>
    </row>
    <row r="3" ht="19.5" customHeight="1">
      <c r="A3" s="9">
        <v>2.0</v>
      </c>
      <c r="B3" s="11" t="s">
        <v>9</v>
      </c>
      <c r="C3" s="11" t="s">
        <v>32</v>
      </c>
      <c r="D3" s="13" t="s">
        <v>22</v>
      </c>
      <c r="E3" s="13" t="s">
        <v>253</v>
      </c>
      <c r="F3" s="13" t="s">
        <v>25</v>
      </c>
      <c r="G3" s="9">
        <v>2500000.0</v>
      </c>
      <c r="H3" s="9">
        <v>5000000.0</v>
      </c>
      <c r="I3" s="9">
        <v>5000000.0</v>
      </c>
    </row>
    <row r="4" ht="19.5" customHeight="1">
      <c r="A4" s="6">
        <v>3.0</v>
      </c>
      <c r="B4" s="8" t="s">
        <v>9</v>
      </c>
      <c r="C4" s="8" t="s">
        <v>39</v>
      </c>
      <c r="D4" s="10" t="s">
        <v>22</v>
      </c>
      <c r="E4" s="10" t="s">
        <v>253</v>
      </c>
      <c r="F4" s="10" t="s">
        <v>25</v>
      </c>
      <c r="G4" s="6">
        <v>2500000.0</v>
      </c>
      <c r="H4" s="6">
        <v>5000000.0</v>
      </c>
      <c r="I4" s="6">
        <v>5000000.0</v>
      </c>
    </row>
    <row r="5" ht="19.5" customHeight="1">
      <c r="A5" s="9">
        <v>4.0</v>
      </c>
      <c r="B5" s="11" t="s">
        <v>9</v>
      </c>
      <c r="C5" s="11" t="s">
        <v>51</v>
      </c>
      <c r="D5" s="13" t="s">
        <v>22</v>
      </c>
      <c r="E5" s="13" t="s">
        <v>253</v>
      </c>
      <c r="F5" s="13" t="s">
        <v>25</v>
      </c>
      <c r="G5" s="9">
        <v>2500000.0</v>
      </c>
      <c r="H5" s="9">
        <v>5000000.0</v>
      </c>
      <c r="I5" s="9">
        <v>5000000.0</v>
      </c>
    </row>
    <row r="6" ht="19.5" customHeight="1">
      <c r="A6" s="6">
        <v>5.0</v>
      </c>
      <c r="B6" s="8" t="s">
        <v>9</v>
      </c>
      <c r="C6" s="8" t="s">
        <v>59</v>
      </c>
      <c r="D6" s="10" t="s">
        <v>22</v>
      </c>
      <c r="E6" s="10" t="s">
        <v>253</v>
      </c>
      <c r="F6" s="10" t="s">
        <v>25</v>
      </c>
      <c r="G6" s="6">
        <v>2500000.0</v>
      </c>
      <c r="H6" s="6">
        <v>5000000.0</v>
      </c>
      <c r="I6" s="6">
        <v>5000000.0</v>
      </c>
    </row>
    <row r="7" ht="19.5" customHeight="1">
      <c r="A7" s="9">
        <v>6.0</v>
      </c>
      <c r="B7" s="11" t="s">
        <v>9</v>
      </c>
      <c r="C7" s="11" t="s">
        <v>64</v>
      </c>
      <c r="D7" s="13" t="s">
        <v>22</v>
      </c>
      <c r="E7" s="13" t="s">
        <v>253</v>
      </c>
      <c r="F7" s="13" t="s">
        <v>25</v>
      </c>
      <c r="G7" s="9">
        <v>2500000.0</v>
      </c>
      <c r="H7" s="9">
        <v>5000000.0</v>
      </c>
      <c r="I7" s="9">
        <v>5000000.0</v>
      </c>
    </row>
    <row r="8" ht="19.5" customHeight="1">
      <c r="A8" s="6">
        <v>7.0</v>
      </c>
      <c r="B8" s="8" t="s">
        <v>73</v>
      </c>
      <c r="C8" s="8" t="s">
        <v>74</v>
      </c>
      <c r="D8" s="10" t="s">
        <v>22</v>
      </c>
      <c r="E8" s="10" t="s">
        <v>253</v>
      </c>
      <c r="F8" s="10" t="s">
        <v>25</v>
      </c>
      <c r="G8" s="6">
        <v>3500000.0</v>
      </c>
      <c r="H8" s="6">
        <v>7000000.0</v>
      </c>
      <c r="I8" s="6">
        <v>0.0</v>
      </c>
    </row>
    <row r="9" ht="19.5" customHeight="1">
      <c r="A9" s="9">
        <v>8.0</v>
      </c>
      <c r="B9" s="11" t="s">
        <v>57</v>
      </c>
      <c r="C9" s="11" t="s">
        <v>81</v>
      </c>
      <c r="D9" s="13" t="s">
        <v>22</v>
      </c>
      <c r="E9" s="13" t="s">
        <v>253</v>
      </c>
      <c r="F9" s="13" t="s">
        <v>25</v>
      </c>
      <c r="G9" s="9">
        <v>2250000.0</v>
      </c>
      <c r="H9" s="9">
        <v>4500000.0</v>
      </c>
      <c r="I9" s="9">
        <v>0.0</v>
      </c>
    </row>
    <row r="10" ht="19.5" customHeight="1">
      <c r="A10" s="6">
        <v>9.0</v>
      </c>
      <c r="B10" s="8" t="s">
        <v>57</v>
      </c>
      <c r="C10" s="8" t="s">
        <v>88</v>
      </c>
      <c r="D10" s="10" t="s">
        <v>22</v>
      </c>
      <c r="E10" s="10" t="s">
        <v>253</v>
      </c>
      <c r="F10" s="10" t="s">
        <v>25</v>
      </c>
      <c r="G10" s="6">
        <v>2500000.0</v>
      </c>
      <c r="H10" s="6">
        <v>5000000.0</v>
      </c>
      <c r="I10" s="6">
        <v>5000000.0</v>
      </c>
    </row>
    <row r="11" ht="19.5" customHeight="1">
      <c r="A11" s="9">
        <v>10.0</v>
      </c>
      <c r="B11" s="11" t="s">
        <v>57</v>
      </c>
      <c r="C11" s="11" t="s">
        <v>93</v>
      </c>
      <c r="D11" s="13" t="s">
        <v>22</v>
      </c>
      <c r="E11" s="13" t="s">
        <v>253</v>
      </c>
      <c r="F11" s="13" t="s">
        <v>25</v>
      </c>
      <c r="G11" s="9">
        <v>2500000.0</v>
      </c>
      <c r="H11" s="9">
        <v>5000000.0</v>
      </c>
      <c r="I11" s="9">
        <v>5000000.0</v>
      </c>
    </row>
    <row r="12" ht="19.5" customHeight="1">
      <c r="A12" s="6">
        <v>11.0</v>
      </c>
      <c r="B12" s="8" t="s">
        <v>57</v>
      </c>
      <c r="C12" s="8" t="s">
        <v>85</v>
      </c>
      <c r="D12" s="10" t="s">
        <v>22</v>
      </c>
      <c r="E12" s="10" t="s">
        <v>253</v>
      </c>
      <c r="F12" s="10" t="s">
        <v>25</v>
      </c>
      <c r="G12" s="6">
        <v>2500000.0</v>
      </c>
      <c r="H12" s="6">
        <v>5000000.0</v>
      </c>
      <c r="I12" s="6">
        <v>5000000.0</v>
      </c>
    </row>
    <row r="13" ht="19.5" customHeight="1">
      <c r="A13" s="9">
        <v>12.0</v>
      </c>
      <c r="B13" s="11" t="s">
        <v>57</v>
      </c>
      <c r="C13" s="11" t="s">
        <v>101</v>
      </c>
      <c r="D13" s="13" t="s">
        <v>22</v>
      </c>
      <c r="E13" s="13" t="s">
        <v>253</v>
      </c>
      <c r="F13" s="13" t="s">
        <v>25</v>
      </c>
      <c r="G13" s="9">
        <v>2500000.0</v>
      </c>
      <c r="H13" s="9">
        <v>5000000.0</v>
      </c>
      <c r="I13" s="9">
        <v>5000000.0</v>
      </c>
    </row>
    <row r="14" ht="19.5" customHeight="1">
      <c r="A14" s="6">
        <v>13.0</v>
      </c>
      <c r="B14" s="8" t="s">
        <v>100</v>
      </c>
      <c r="C14" s="8" t="s">
        <v>108</v>
      </c>
      <c r="D14" s="10" t="s">
        <v>22</v>
      </c>
      <c r="E14" s="10" t="s">
        <v>253</v>
      </c>
      <c r="F14" s="10" t="s">
        <v>25</v>
      </c>
      <c r="G14" s="6">
        <v>2500000.0</v>
      </c>
      <c r="H14" s="6">
        <v>5000000.0</v>
      </c>
      <c r="I14" s="6">
        <v>0.0</v>
      </c>
    </row>
    <row r="15" ht="19.5" customHeight="1">
      <c r="A15" s="9">
        <v>14.0</v>
      </c>
      <c r="B15" s="11" t="s">
        <v>100</v>
      </c>
      <c r="C15" s="11" t="s">
        <v>114</v>
      </c>
      <c r="D15" s="13" t="s">
        <v>22</v>
      </c>
      <c r="E15" s="13" t="s">
        <v>253</v>
      </c>
      <c r="F15" s="13" t="s">
        <v>25</v>
      </c>
      <c r="G15" s="9">
        <v>2500000.0</v>
      </c>
      <c r="H15" s="9">
        <v>5000000.0</v>
      </c>
      <c r="I15" s="9">
        <v>0.0</v>
      </c>
    </row>
    <row r="16" ht="19.5" customHeight="1">
      <c r="A16" s="6">
        <v>15.0</v>
      </c>
      <c r="B16" s="8" t="s">
        <v>46</v>
      </c>
      <c r="C16" s="8" t="s">
        <v>123</v>
      </c>
      <c r="D16" s="10" t="s">
        <v>22</v>
      </c>
      <c r="E16" s="10" t="s">
        <v>253</v>
      </c>
      <c r="F16" s="10" t="s">
        <v>25</v>
      </c>
      <c r="G16" s="6">
        <v>3000000.0</v>
      </c>
      <c r="H16" s="6">
        <v>6000000.0</v>
      </c>
      <c r="I16" s="6">
        <v>2000000.0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34.13"/>
    <col customWidth="1" min="3" max="3" width="39.38"/>
    <col customWidth="1" min="4" max="4" width="10.5"/>
    <col customWidth="1" min="5" max="5" width="21.0"/>
    <col customWidth="1" min="6" max="6" width="19.25"/>
    <col customWidth="1" min="7" max="7" width="20.13"/>
    <col customWidth="1" min="8" max="8" width="21.0"/>
    <col customWidth="1" min="9" max="9" width="20.13"/>
    <col customWidth="1" min="10" max="10" width="19.25"/>
    <col customWidth="1" min="11" max="11" width="20.13"/>
    <col customWidth="1" min="12" max="12" width="21.0"/>
    <col customWidth="1" min="13" max="13" width="21.88"/>
    <col customWidth="1" min="14" max="24" width="7.63"/>
  </cols>
  <sheetData>
    <row r="1" ht="27.75" customHeight="1">
      <c r="A1" s="85" t="s">
        <v>0</v>
      </c>
      <c r="B1" s="85" t="s">
        <v>1</v>
      </c>
      <c r="C1" s="85" t="s">
        <v>2</v>
      </c>
      <c r="D1" s="85" t="s">
        <v>3</v>
      </c>
      <c r="E1" s="85" t="s">
        <v>4</v>
      </c>
      <c r="F1" s="85" t="s">
        <v>16</v>
      </c>
      <c r="G1" s="85" t="s">
        <v>17</v>
      </c>
      <c r="H1" s="85" t="s">
        <v>18</v>
      </c>
      <c r="I1" s="85" t="s">
        <v>5</v>
      </c>
      <c r="J1" s="85" t="s">
        <v>6</v>
      </c>
      <c r="K1" s="85" t="s">
        <v>7</v>
      </c>
      <c r="L1" s="85" t="s">
        <v>274</v>
      </c>
      <c r="M1" s="85" t="s">
        <v>275</v>
      </c>
    </row>
    <row r="2" ht="19.5" customHeight="1">
      <c r="A2" s="6">
        <v>1.0</v>
      </c>
      <c r="B2" s="8" t="s">
        <v>276</v>
      </c>
      <c r="C2" s="8" t="s">
        <v>33</v>
      </c>
      <c r="D2" s="10" t="s">
        <v>15</v>
      </c>
      <c r="E2" s="6">
        <v>7642000.0</v>
      </c>
      <c r="F2" s="6">
        <v>500000.0</v>
      </c>
      <c r="G2" s="6">
        <v>1000000.0</v>
      </c>
      <c r="H2" s="6">
        <v>2770000.0</v>
      </c>
      <c r="I2" s="6">
        <v>3324000.0</v>
      </c>
      <c r="J2" s="6">
        <v>3989000.0</v>
      </c>
      <c r="K2" s="6">
        <v>4787000.0</v>
      </c>
      <c r="L2" s="6">
        <v>5744000.0</v>
      </c>
      <c r="M2" s="6">
        <v>6893000.0</v>
      </c>
    </row>
    <row r="3" ht="19.5" customHeight="1">
      <c r="A3" s="9">
        <v>2.0</v>
      </c>
      <c r="B3" s="11" t="s">
        <v>276</v>
      </c>
      <c r="C3" s="11" t="s">
        <v>37</v>
      </c>
      <c r="D3" s="13" t="s">
        <v>15</v>
      </c>
      <c r="E3" s="9">
        <v>7642000.0</v>
      </c>
      <c r="F3" s="9">
        <v>500000.0</v>
      </c>
      <c r="G3" s="9">
        <v>1000000.0</v>
      </c>
      <c r="H3" s="9">
        <v>2770000.0</v>
      </c>
      <c r="I3" s="9">
        <v>3324000.0</v>
      </c>
      <c r="J3" s="9">
        <v>3989000.0</v>
      </c>
      <c r="K3" s="9">
        <v>4787000.0</v>
      </c>
      <c r="L3" s="9">
        <v>5744000.0</v>
      </c>
      <c r="M3" s="9">
        <v>6893000.0</v>
      </c>
    </row>
    <row r="4" ht="19.5" customHeight="1">
      <c r="A4" s="6">
        <v>3.0</v>
      </c>
      <c r="B4" s="8" t="s">
        <v>276</v>
      </c>
      <c r="C4" s="8" t="s">
        <v>14</v>
      </c>
      <c r="D4" s="10" t="s">
        <v>15</v>
      </c>
      <c r="E4" s="6">
        <v>7642000.0</v>
      </c>
      <c r="F4" s="6">
        <v>500000.0</v>
      </c>
      <c r="G4" s="6">
        <v>1000000.0</v>
      </c>
      <c r="H4" s="6">
        <v>2980000.0</v>
      </c>
      <c r="I4" s="6">
        <v>3576000.0</v>
      </c>
      <c r="J4" s="6">
        <v>4291000.0</v>
      </c>
      <c r="K4" s="6">
        <v>5149000.0</v>
      </c>
      <c r="L4" s="6">
        <v>6179000.0</v>
      </c>
      <c r="M4" s="6">
        <v>7415000.0</v>
      </c>
    </row>
    <row r="5" ht="19.5" customHeight="1">
      <c r="A5" s="9">
        <v>4.0</v>
      </c>
      <c r="B5" s="11" t="s">
        <v>276</v>
      </c>
      <c r="C5" s="11" t="s">
        <v>277</v>
      </c>
      <c r="D5" s="13" t="s">
        <v>278</v>
      </c>
      <c r="E5" s="9">
        <v>9695000.0</v>
      </c>
      <c r="F5" s="9">
        <v>500000.0</v>
      </c>
      <c r="G5" s="9">
        <v>1000000.0</v>
      </c>
      <c r="H5" s="9">
        <v>2980000.0</v>
      </c>
      <c r="I5" s="9">
        <v>3576000.0</v>
      </c>
      <c r="J5" s="9">
        <v>4291000.0</v>
      </c>
      <c r="K5" s="9">
        <v>5149000.0</v>
      </c>
      <c r="L5" s="9">
        <v>6179000.0</v>
      </c>
      <c r="M5" s="9">
        <v>7415000.0</v>
      </c>
    </row>
    <row r="6" ht="19.5" customHeight="1">
      <c r="A6" s="6">
        <v>5.0</v>
      </c>
      <c r="B6" s="8" t="s">
        <v>276</v>
      </c>
      <c r="C6" s="8" t="s">
        <v>23</v>
      </c>
      <c r="D6" s="10" t="s">
        <v>15</v>
      </c>
      <c r="E6" s="6">
        <v>7642000.0</v>
      </c>
      <c r="F6" s="6">
        <v>500000.0</v>
      </c>
      <c r="G6" s="6">
        <v>1000000.0</v>
      </c>
      <c r="H6" s="6">
        <v>2660000.0</v>
      </c>
      <c r="I6" s="6">
        <v>3192000.0</v>
      </c>
      <c r="J6" s="6">
        <v>3830000.0</v>
      </c>
      <c r="K6" s="6">
        <v>4596000.0</v>
      </c>
      <c r="L6" s="6">
        <v>5516000.0</v>
      </c>
      <c r="M6" s="6">
        <v>6619000.0</v>
      </c>
    </row>
    <row r="7" ht="19.5" customHeight="1">
      <c r="A7" s="9">
        <v>6.0</v>
      </c>
      <c r="B7" s="11" t="s">
        <v>281</v>
      </c>
      <c r="C7" s="11" t="s">
        <v>282</v>
      </c>
      <c r="D7" s="13" t="s">
        <v>15</v>
      </c>
      <c r="E7" s="9">
        <v>2.6355E7</v>
      </c>
      <c r="F7" s="9">
        <v>500000.0</v>
      </c>
      <c r="G7" s="9">
        <v>1000000.0</v>
      </c>
      <c r="H7" s="9">
        <v>4000000.0</v>
      </c>
      <c r="I7" s="9">
        <v>7000000.0</v>
      </c>
      <c r="J7" s="9">
        <v>1.0E7</v>
      </c>
      <c r="K7" s="9">
        <v>1.3E7</v>
      </c>
      <c r="L7" s="9">
        <v>1.5E7</v>
      </c>
      <c r="M7" s="9">
        <v>1.8E7</v>
      </c>
    </row>
    <row r="8" ht="19.5" customHeight="1">
      <c r="A8" s="6">
        <v>7.0</v>
      </c>
      <c r="B8" s="8" t="s">
        <v>283</v>
      </c>
      <c r="C8" s="8" t="s">
        <v>53</v>
      </c>
      <c r="D8" s="10" t="s">
        <v>15</v>
      </c>
      <c r="E8" s="6">
        <v>7642000.0</v>
      </c>
      <c r="F8" s="6">
        <v>500000.0</v>
      </c>
      <c r="G8" s="6">
        <v>1000000.0</v>
      </c>
      <c r="H8" s="6">
        <v>2770000.0</v>
      </c>
      <c r="I8" s="6">
        <v>3324000.0</v>
      </c>
      <c r="J8" s="6">
        <v>3989000.0</v>
      </c>
      <c r="K8" s="6">
        <v>4787000.0</v>
      </c>
      <c r="L8" s="6">
        <v>5744000.0</v>
      </c>
      <c r="M8" s="6">
        <v>6893000.0</v>
      </c>
    </row>
    <row r="9" ht="19.5" customHeight="1">
      <c r="A9" s="9">
        <v>8.0</v>
      </c>
      <c r="B9" s="11" t="s">
        <v>284</v>
      </c>
      <c r="C9" s="11" t="s">
        <v>93</v>
      </c>
      <c r="D9" s="13" t="s">
        <v>15</v>
      </c>
      <c r="E9" s="9">
        <v>1.365E7</v>
      </c>
      <c r="F9" s="9">
        <v>500000.0</v>
      </c>
      <c r="G9" s="9">
        <v>1000000.0</v>
      </c>
      <c r="H9" s="9">
        <v>4950000.0</v>
      </c>
      <c r="I9" s="9">
        <v>5940000.0</v>
      </c>
      <c r="J9" s="9">
        <v>7128000.0</v>
      </c>
      <c r="K9" s="9">
        <v>8554000.0</v>
      </c>
      <c r="L9" s="9">
        <v>1.0264E7</v>
      </c>
      <c r="M9" s="9">
        <v>1.2317E7</v>
      </c>
    </row>
    <row r="10" ht="19.5" customHeight="1">
      <c r="A10" s="6">
        <v>9.0</v>
      </c>
      <c r="B10" s="8" t="s">
        <v>284</v>
      </c>
      <c r="C10" s="8" t="s">
        <v>88</v>
      </c>
      <c r="D10" s="10" t="s">
        <v>15</v>
      </c>
      <c r="E10" s="6">
        <v>1.365E7</v>
      </c>
      <c r="F10" s="6">
        <v>500000.0</v>
      </c>
      <c r="G10" s="6">
        <v>1000000.0</v>
      </c>
      <c r="H10" s="6">
        <v>4950000.0</v>
      </c>
      <c r="I10" s="6">
        <v>5940000.0</v>
      </c>
      <c r="J10" s="6">
        <v>7128000.0</v>
      </c>
      <c r="K10" s="6">
        <v>8554000.0</v>
      </c>
      <c r="L10" s="6">
        <v>1.0264E7</v>
      </c>
      <c r="M10" s="6">
        <v>1.2317E7</v>
      </c>
    </row>
    <row r="11" ht="19.5" customHeight="1">
      <c r="A11" s="9">
        <v>10.0</v>
      </c>
      <c r="B11" s="11" t="s">
        <v>284</v>
      </c>
      <c r="C11" s="11" t="s">
        <v>85</v>
      </c>
      <c r="D11" s="13" t="s">
        <v>15</v>
      </c>
      <c r="E11" s="9">
        <v>1.5343E7</v>
      </c>
      <c r="F11" s="9">
        <v>500000.0</v>
      </c>
      <c r="G11" s="9">
        <v>1000000.0</v>
      </c>
      <c r="H11" s="9">
        <v>5560000.0</v>
      </c>
      <c r="I11" s="9">
        <v>6672000.0</v>
      </c>
      <c r="J11" s="9">
        <v>8006000.0</v>
      </c>
      <c r="K11" s="9">
        <v>9608000.0</v>
      </c>
      <c r="L11" s="9">
        <v>1.1529E7</v>
      </c>
      <c r="M11" s="9">
        <v>1.3835E7</v>
      </c>
    </row>
    <row r="12" ht="19.5" customHeight="1">
      <c r="A12" s="6">
        <v>11.0</v>
      </c>
      <c r="B12" s="8" t="s">
        <v>284</v>
      </c>
      <c r="C12" s="8" t="s">
        <v>58</v>
      </c>
      <c r="D12" s="10" t="s">
        <v>15</v>
      </c>
      <c r="E12" s="6">
        <v>1.2238E7</v>
      </c>
      <c r="F12" s="6">
        <v>500000.0</v>
      </c>
      <c r="G12" s="6">
        <v>1000000.0</v>
      </c>
      <c r="H12" s="6">
        <v>4440000.0</v>
      </c>
      <c r="I12" s="6">
        <v>5328000.0</v>
      </c>
      <c r="J12" s="6">
        <v>6394000.0</v>
      </c>
      <c r="K12" s="6">
        <v>7672000.0</v>
      </c>
      <c r="L12" s="6">
        <v>9207000.0</v>
      </c>
      <c r="M12" s="6">
        <v>1.1048E7</v>
      </c>
    </row>
    <row r="13" ht="19.5" customHeight="1">
      <c r="A13" s="9">
        <v>12.0</v>
      </c>
      <c r="B13" s="11" t="s">
        <v>284</v>
      </c>
      <c r="C13" s="11" t="s">
        <v>68</v>
      </c>
      <c r="D13" s="13" t="s">
        <v>15</v>
      </c>
      <c r="E13" s="9">
        <v>1.365E7</v>
      </c>
      <c r="F13" s="9">
        <v>500000.0</v>
      </c>
      <c r="G13" s="9">
        <v>1000000.0</v>
      </c>
      <c r="H13" s="9">
        <v>4950000.0</v>
      </c>
      <c r="I13" s="9">
        <v>5940000.0</v>
      </c>
      <c r="J13" s="9">
        <v>7128000.0</v>
      </c>
      <c r="K13" s="9">
        <v>8554000.0</v>
      </c>
      <c r="L13" s="9">
        <v>1.0264E7</v>
      </c>
      <c r="M13" s="9">
        <v>1.2317E7</v>
      </c>
    </row>
    <row r="14" ht="19.5" customHeight="1">
      <c r="A14" s="6">
        <v>13.0</v>
      </c>
      <c r="B14" s="8" t="s">
        <v>284</v>
      </c>
      <c r="C14" s="8" t="s">
        <v>82</v>
      </c>
      <c r="D14" s="10" t="s">
        <v>15</v>
      </c>
      <c r="E14" s="6">
        <v>1.2709E7</v>
      </c>
      <c r="F14" s="6">
        <v>500000.0</v>
      </c>
      <c r="G14" s="6">
        <v>1000000.0</v>
      </c>
      <c r="H14" s="6">
        <v>4270000.0</v>
      </c>
      <c r="I14" s="6">
        <v>5124000.0</v>
      </c>
      <c r="J14" s="6">
        <v>6149000.0</v>
      </c>
      <c r="K14" s="6">
        <v>7379000.0</v>
      </c>
      <c r="L14" s="6">
        <v>8854000.0</v>
      </c>
      <c r="M14" s="6">
        <v>1.0625E7</v>
      </c>
    </row>
    <row r="15" ht="19.5" customHeight="1">
      <c r="A15" s="9">
        <v>14.0</v>
      </c>
      <c r="B15" s="11" t="s">
        <v>284</v>
      </c>
      <c r="C15" s="11" t="s">
        <v>72</v>
      </c>
      <c r="D15" s="13" t="s">
        <v>15</v>
      </c>
      <c r="E15" s="9">
        <v>1.365E7</v>
      </c>
      <c r="F15" s="9">
        <v>500000.0</v>
      </c>
      <c r="G15" s="9">
        <v>1000000.0</v>
      </c>
      <c r="H15" s="9">
        <v>4950000.0</v>
      </c>
      <c r="I15" s="9">
        <v>5940000.0</v>
      </c>
      <c r="J15" s="9">
        <v>7128000.0</v>
      </c>
      <c r="K15" s="9">
        <v>8554000.0</v>
      </c>
      <c r="L15" s="9">
        <v>1.0264E7</v>
      </c>
      <c r="M15" s="9">
        <v>1.2317E7</v>
      </c>
    </row>
    <row r="16" ht="19.5" customHeight="1">
      <c r="A16" s="6">
        <v>15.0</v>
      </c>
      <c r="B16" s="8" t="s">
        <v>284</v>
      </c>
      <c r="C16" s="8" t="s">
        <v>95</v>
      </c>
      <c r="D16" s="10" t="s">
        <v>15</v>
      </c>
      <c r="E16" s="6">
        <v>1.1767E7</v>
      </c>
      <c r="F16" s="6">
        <v>500000.0</v>
      </c>
      <c r="G16" s="6">
        <v>1000000.0</v>
      </c>
      <c r="H16" s="6">
        <v>4270000.0</v>
      </c>
      <c r="I16" s="6">
        <v>5124000.0</v>
      </c>
      <c r="J16" s="6">
        <v>6149000.0</v>
      </c>
      <c r="K16" s="6">
        <v>7379000.0</v>
      </c>
      <c r="L16" s="6">
        <v>8854000.0</v>
      </c>
      <c r="M16" s="6">
        <v>1.0625E7</v>
      </c>
    </row>
    <row r="17" ht="19.5" customHeight="1">
      <c r="A17" s="9">
        <v>16.0</v>
      </c>
      <c r="B17" s="11" t="s">
        <v>284</v>
      </c>
      <c r="C17" s="11" t="s">
        <v>77</v>
      </c>
      <c r="D17" s="13" t="s">
        <v>15</v>
      </c>
      <c r="E17" s="9">
        <v>1.1767E7</v>
      </c>
      <c r="F17" s="9">
        <v>500000.0</v>
      </c>
      <c r="G17" s="9">
        <v>1000000.0</v>
      </c>
      <c r="H17" s="9">
        <v>4610000.0</v>
      </c>
      <c r="I17" s="9">
        <v>5532000.0</v>
      </c>
      <c r="J17" s="9">
        <v>6638000.0</v>
      </c>
      <c r="K17" s="9">
        <v>7966000.0</v>
      </c>
      <c r="L17" s="9">
        <v>9559000.0</v>
      </c>
      <c r="M17" s="9">
        <v>1.1471E7</v>
      </c>
    </row>
    <row r="18" ht="19.5" customHeight="1">
      <c r="A18" s="6">
        <v>17.0</v>
      </c>
      <c r="B18" s="8" t="s">
        <v>284</v>
      </c>
      <c r="C18" s="8" t="s">
        <v>63</v>
      </c>
      <c r="D18" s="10" t="s">
        <v>15</v>
      </c>
      <c r="E18" s="6">
        <v>1.1767E7</v>
      </c>
      <c r="F18" s="6">
        <v>500000.0</v>
      </c>
      <c r="G18" s="6">
        <v>1000000.0</v>
      </c>
      <c r="H18" s="6">
        <v>4270000.0</v>
      </c>
      <c r="I18" s="6">
        <v>5124000.0</v>
      </c>
      <c r="J18" s="6">
        <v>6149000.0</v>
      </c>
      <c r="K18" s="6">
        <v>7379000.0</v>
      </c>
      <c r="L18" s="6">
        <v>8854000.0</v>
      </c>
      <c r="M18" s="6">
        <v>1.0625E7</v>
      </c>
    </row>
    <row r="19" ht="19.5" customHeight="1">
      <c r="A19" s="9">
        <v>18.0</v>
      </c>
      <c r="B19" s="11" t="s">
        <v>284</v>
      </c>
      <c r="C19" s="11" t="s">
        <v>90</v>
      </c>
      <c r="D19" s="13" t="s">
        <v>15</v>
      </c>
      <c r="E19" s="9">
        <v>1.1767E7</v>
      </c>
      <c r="F19" s="9">
        <v>500000.0</v>
      </c>
      <c r="G19" s="9">
        <v>1000000.0</v>
      </c>
      <c r="H19" s="9">
        <v>4270000.0</v>
      </c>
      <c r="I19" s="9">
        <v>5124000.0</v>
      </c>
      <c r="J19" s="9">
        <v>6149000.0</v>
      </c>
      <c r="K19" s="9">
        <v>7379000.0</v>
      </c>
      <c r="L19" s="9">
        <v>8854000.0</v>
      </c>
      <c r="M19" s="9">
        <v>1.0625E7</v>
      </c>
    </row>
    <row r="20" ht="19.5" customHeight="1">
      <c r="A20" s="6">
        <v>19.0</v>
      </c>
      <c r="B20" s="8" t="s">
        <v>287</v>
      </c>
      <c r="C20" s="8" t="s">
        <v>106</v>
      </c>
      <c r="D20" s="10" t="s">
        <v>15</v>
      </c>
      <c r="E20" s="6">
        <v>1.1463E7</v>
      </c>
      <c r="F20" s="6">
        <v>500000.0</v>
      </c>
      <c r="G20" s="6">
        <v>1000000.0</v>
      </c>
      <c r="H20" s="6">
        <v>4160000.0</v>
      </c>
      <c r="I20" s="6">
        <v>4992000.0</v>
      </c>
      <c r="J20" s="6">
        <v>5990000.0</v>
      </c>
      <c r="K20" s="6">
        <v>7188000.0</v>
      </c>
      <c r="L20" s="6">
        <v>8626000.0</v>
      </c>
      <c r="M20" s="6">
        <v>1.0351E7</v>
      </c>
    </row>
    <row r="21" ht="19.5" customHeight="1">
      <c r="A21" s="9">
        <v>20.0</v>
      </c>
      <c r="B21" s="11" t="s">
        <v>287</v>
      </c>
      <c r="C21" s="11" t="s">
        <v>102</v>
      </c>
      <c r="D21" s="13" t="s">
        <v>15</v>
      </c>
      <c r="E21" s="9">
        <v>1.0857E7</v>
      </c>
      <c r="F21" s="9">
        <v>500000.0</v>
      </c>
      <c r="G21" s="9">
        <v>1000000.0</v>
      </c>
      <c r="H21" s="9">
        <v>3940000.0</v>
      </c>
      <c r="I21" s="9">
        <v>4728000.0</v>
      </c>
      <c r="J21" s="9">
        <v>5674000.0</v>
      </c>
      <c r="K21" s="9">
        <v>6808000.0</v>
      </c>
      <c r="L21" s="9">
        <v>8170000.0</v>
      </c>
      <c r="M21" s="9">
        <v>9804000.0</v>
      </c>
    </row>
    <row r="22" ht="19.5" customHeight="1">
      <c r="A22" s="6">
        <v>21.0</v>
      </c>
      <c r="B22" s="8" t="s">
        <v>287</v>
      </c>
      <c r="C22" s="8" t="s">
        <v>129</v>
      </c>
      <c r="D22" s="10" t="s">
        <v>15</v>
      </c>
      <c r="E22" s="6">
        <v>1.1463E7</v>
      </c>
      <c r="F22" s="6">
        <v>500000.0</v>
      </c>
      <c r="G22" s="6">
        <v>1000000.0</v>
      </c>
      <c r="H22" s="6">
        <v>4160000.0</v>
      </c>
      <c r="I22" s="6">
        <v>4992000.0</v>
      </c>
      <c r="J22" s="6">
        <v>5990000.0</v>
      </c>
      <c r="K22" s="6">
        <v>7188000.0</v>
      </c>
      <c r="L22" s="6">
        <v>8626000.0</v>
      </c>
      <c r="M22" s="6">
        <v>1.0351E7</v>
      </c>
    </row>
    <row r="23" ht="19.5" customHeight="1">
      <c r="A23" s="9">
        <v>22.0</v>
      </c>
      <c r="B23" s="11" t="s">
        <v>287</v>
      </c>
      <c r="C23" s="11" t="s">
        <v>134</v>
      </c>
      <c r="D23" s="13" t="s">
        <v>15</v>
      </c>
      <c r="E23" s="9">
        <v>1.3756E7</v>
      </c>
      <c r="F23" s="9">
        <v>500000.0</v>
      </c>
      <c r="G23" s="9">
        <v>1000000.0</v>
      </c>
      <c r="H23" s="9">
        <v>5370000.0</v>
      </c>
      <c r="I23" s="9">
        <v>6444000.0</v>
      </c>
      <c r="J23" s="9">
        <v>7733000.0</v>
      </c>
      <c r="K23" s="9">
        <v>9279000.0</v>
      </c>
      <c r="L23" s="9">
        <v>1.1135E7</v>
      </c>
      <c r="M23" s="9">
        <v>1.3362E7</v>
      </c>
    </row>
    <row r="24" ht="19.5" customHeight="1">
      <c r="A24" s="6">
        <v>23.0</v>
      </c>
      <c r="B24" s="8" t="s">
        <v>287</v>
      </c>
      <c r="C24" s="8" t="s">
        <v>136</v>
      </c>
      <c r="D24" s="10" t="s">
        <v>15</v>
      </c>
      <c r="E24" s="6">
        <v>1.3756E7</v>
      </c>
      <c r="F24" s="6">
        <v>500000.0</v>
      </c>
      <c r="G24" s="6">
        <v>1000000.0</v>
      </c>
      <c r="H24" s="6">
        <v>5370000.0</v>
      </c>
      <c r="I24" s="6">
        <v>6444000.0</v>
      </c>
      <c r="J24" s="6">
        <v>7733000.0</v>
      </c>
      <c r="K24" s="6">
        <v>9279000.0</v>
      </c>
      <c r="L24" s="6">
        <v>1.1135E7</v>
      </c>
      <c r="M24" s="6">
        <v>1.3362E7</v>
      </c>
    </row>
    <row r="25" ht="19.5" customHeight="1">
      <c r="A25" s="9">
        <v>24.0</v>
      </c>
      <c r="B25" s="11" t="s">
        <v>287</v>
      </c>
      <c r="C25" s="11" t="s">
        <v>115</v>
      </c>
      <c r="D25" s="13" t="s">
        <v>15</v>
      </c>
      <c r="E25" s="9">
        <v>1.0857E7</v>
      </c>
      <c r="F25" s="9">
        <v>500000.0</v>
      </c>
      <c r="G25" s="9">
        <v>1000000.0</v>
      </c>
      <c r="H25" s="9">
        <v>3940000.0</v>
      </c>
      <c r="I25" s="9">
        <v>4728000.0</v>
      </c>
      <c r="J25" s="9">
        <v>5674000.0</v>
      </c>
      <c r="K25" s="9">
        <v>6808000.0</v>
      </c>
      <c r="L25" s="9">
        <v>8170000.0</v>
      </c>
      <c r="M25" s="9">
        <v>9804000.0</v>
      </c>
    </row>
    <row r="26" ht="19.5" customHeight="1">
      <c r="A26" s="6">
        <v>25.0</v>
      </c>
      <c r="B26" s="8" t="s">
        <v>287</v>
      </c>
      <c r="C26" s="8" t="s">
        <v>125</v>
      </c>
      <c r="D26" s="10" t="s">
        <v>15</v>
      </c>
      <c r="E26" s="6">
        <v>1.0857E7</v>
      </c>
      <c r="F26" s="6">
        <v>500000.0</v>
      </c>
      <c r="G26" s="6">
        <v>1000000.0</v>
      </c>
      <c r="H26" s="6">
        <v>3940000.0</v>
      </c>
      <c r="I26" s="6">
        <v>4728000.0</v>
      </c>
      <c r="J26" s="6">
        <v>5674000.0</v>
      </c>
      <c r="K26" s="6">
        <v>6808000.0</v>
      </c>
      <c r="L26" s="6">
        <v>8170000.0</v>
      </c>
      <c r="M26" s="6">
        <v>9804000.0</v>
      </c>
    </row>
    <row r="27" ht="19.5" customHeight="1">
      <c r="A27" s="9">
        <v>26.0</v>
      </c>
      <c r="B27" s="11" t="s">
        <v>287</v>
      </c>
      <c r="C27" s="11" t="s">
        <v>119</v>
      </c>
      <c r="D27" s="13" t="s">
        <v>15</v>
      </c>
      <c r="E27" s="9">
        <v>1.1055E7</v>
      </c>
      <c r="F27" s="9">
        <v>500000.0</v>
      </c>
      <c r="G27" s="9">
        <v>1000000.0</v>
      </c>
      <c r="H27" s="9">
        <v>4010000.0</v>
      </c>
      <c r="I27" s="9">
        <v>4812000.0</v>
      </c>
      <c r="J27" s="9">
        <v>5774000.0</v>
      </c>
      <c r="K27" s="9">
        <v>6929000.0</v>
      </c>
      <c r="L27" s="9">
        <v>8315000.0</v>
      </c>
      <c r="M27" s="9">
        <v>9978000.0</v>
      </c>
    </row>
    <row r="28" ht="19.5" customHeight="1">
      <c r="A28" s="6">
        <v>27.0</v>
      </c>
      <c r="B28" s="8" t="s">
        <v>290</v>
      </c>
      <c r="C28" s="8" t="s">
        <v>176</v>
      </c>
      <c r="D28" s="10" t="s">
        <v>15</v>
      </c>
      <c r="E28" s="6">
        <v>7642000.0</v>
      </c>
      <c r="F28" s="6">
        <v>500000.0</v>
      </c>
      <c r="G28" s="6">
        <v>1000000.0</v>
      </c>
      <c r="H28" s="6">
        <v>2770000.0</v>
      </c>
      <c r="I28" s="6">
        <v>3324000.0</v>
      </c>
      <c r="J28" s="6">
        <v>3989000.0</v>
      </c>
      <c r="K28" s="6">
        <v>4787000.0</v>
      </c>
      <c r="L28" s="6">
        <v>5744000.0</v>
      </c>
      <c r="M28" s="6">
        <v>6893000.0</v>
      </c>
    </row>
    <row r="29" ht="19.5" customHeight="1">
      <c r="A29" s="9">
        <v>28.0</v>
      </c>
      <c r="B29" s="11" t="s">
        <v>290</v>
      </c>
      <c r="C29" s="11" t="s">
        <v>178</v>
      </c>
      <c r="D29" s="13" t="s">
        <v>15</v>
      </c>
      <c r="E29" s="9">
        <v>7642000.0</v>
      </c>
      <c r="F29" s="9">
        <v>500000.0</v>
      </c>
      <c r="G29" s="9">
        <v>1000000.0</v>
      </c>
      <c r="H29" s="9">
        <v>2660000.0</v>
      </c>
      <c r="I29" s="9">
        <v>3192000.0</v>
      </c>
      <c r="J29" s="9">
        <v>3830000.0</v>
      </c>
      <c r="K29" s="9">
        <v>4596000.0</v>
      </c>
      <c r="L29" s="9">
        <v>5516000.0</v>
      </c>
      <c r="M29" s="9">
        <v>6619000.0</v>
      </c>
    </row>
    <row r="30" ht="19.5" customHeight="1">
      <c r="A30" s="6">
        <v>29.0</v>
      </c>
      <c r="B30" s="8" t="s">
        <v>290</v>
      </c>
      <c r="C30" s="8" t="s">
        <v>148</v>
      </c>
      <c r="D30" s="10" t="s">
        <v>15</v>
      </c>
      <c r="E30" s="6">
        <v>7642000.0</v>
      </c>
      <c r="F30" s="6">
        <v>500000.0</v>
      </c>
      <c r="G30" s="6">
        <v>1000000.0</v>
      </c>
      <c r="H30" s="6">
        <v>2660000.0</v>
      </c>
      <c r="I30" s="6">
        <v>3192000.0</v>
      </c>
      <c r="J30" s="6">
        <v>3830000.0</v>
      </c>
      <c r="K30" s="6">
        <v>4596000.0</v>
      </c>
      <c r="L30" s="6">
        <v>5516000.0</v>
      </c>
      <c r="M30" s="6">
        <v>6619000.0</v>
      </c>
    </row>
    <row r="31" ht="19.5" customHeight="1">
      <c r="A31" s="9">
        <v>30.0</v>
      </c>
      <c r="B31" s="11" t="s">
        <v>290</v>
      </c>
      <c r="C31" s="11" t="s">
        <v>155</v>
      </c>
      <c r="D31" s="13" t="s">
        <v>15</v>
      </c>
      <c r="E31" s="9">
        <v>8788000.0</v>
      </c>
      <c r="F31" s="9">
        <v>500000.0</v>
      </c>
      <c r="G31" s="9">
        <v>1000000.0</v>
      </c>
      <c r="H31" s="9">
        <v>3060000.0</v>
      </c>
      <c r="I31" s="9">
        <v>3672000.0</v>
      </c>
      <c r="J31" s="9">
        <v>4406000.0</v>
      </c>
      <c r="K31" s="9">
        <v>5288000.0</v>
      </c>
      <c r="L31" s="9">
        <v>6345000.0</v>
      </c>
      <c r="M31" s="9">
        <v>7614000.0</v>
      </c>
    </row>
    <row r="32" ht="19.5" customHeight="1">
      <c r="A32" s="6">
        <v>31.0</v>
      </c>
      <c r="B32" s="8" t="s">
        <v>290</v>
      </c>
      <c r="C32" s="8" t="s">
        <v>291</v>
      </c>
      <c r="D32" s="10" t="s">
        <v>15</v>
      </c>
      <c r="E32" s="6">
        <v>7054000.0</v>
      </c>
      <c r="F32" s="6">
        <v>500000.0</v>
      </c>
      <c r="G32" s="6">
        <v>1000000.0</v>
      </c>
      <c r="H32" s="6">
        <v>2660000.0</v>
      </c>
      <c r="I32" s="6">
        <v>3192000.0</v>
      </c>
      <c r="J32" s="6">
        <v>3830000.0</v>
      </c>
      <c r="K32" s="6">
        <v>4596000.0</v>
      </c>
      <c r="L32" s="6">
        <v>5516000.0</v>
      </c>
      <c r="M32" s="6">
        <v>6619000.0</v>
      </c>
    </row>
    <row r="33" ht="19.5" customHeight="1">
      <c r="A33" s="9">
        <v>32.0</v>
      </c>
      <c r="B33" s="11" t="s">
        <v>290</v>
      </c>
      <c r="C33" s="11" t="s">
        <v>141</v>
      </c>
      <c r="D33" s="13" t="s">
        <v>15</v>
      </c>
      <c r="E33" s="9">
        <v>7348000.0</v>
      </c>
      <c r="F33" s="9">
        <v>500000.0</v>
      </c>
      <c r="G33" s="9">
        <v>1000000.0</v>
      </c>
      <c r="H33" s="9">
        <v>2660000.0</v>
      </c>
      <c r="I33" s="9">
        <v>3192000.0</v>
      </c>
      <c r="J33" s="9">
        <v>3830000.0</v>
      </c>
      <c r="K33" s="9">
        <v>4596000.0</v>
      </c>
      <c r="L33" s="9">
        <v>5516000.0</v>
      </c>
      <c r="M33" s="9">
        <v>6619000.0</v>
      </c>
    </row>
    <row r="34" ht="19.5" customHeight="1">
      <c r="A34" s="6">
        <v>33.0</v>
      </c>
      <c r="B34" s="8" t="s">
        <v>290</v>
      </c>
      <c r="C34" s="8" t="s">
        <v>181</v>
      </c>
      <c r="D34" s="10" t="s">
        <v>15</v>
      </c>
      <c r="E34" s="6">
        <v>8788000.0</v>
      </c>
      <c r="F34" s="6">
        <v>500000.0</v>
      </c>
      <c r="G34" s="6">
        <v>1000000.0</v>
      </c>
      <c r="H34" s="6">
        <v>3060000.0</v>
      </c>
      <c r="I34" s="6">
        <v>3672000.0</v>
      </c>
      <c r="J34" s="6">
        <v>4406000.0</v>
      </c>
      <c r="K34" s="6">
        <v>5288000.0</v>
      </c>
      <c r="L34" s="6">
        <v>6345000.0</v>
      </c>
      <c r="M34" s="6">
        <v>7614000.0</v>
      </c>
    </row>
    <row r="35" ht="19.5" customHeight="1">
      <c r="A35" s="9">
        <v>34.0</v>
      </c>
      <c r="B35" s="11" t="s">
        <v>290</v>
      </c>
      <c r="C35" s="11" t="s">
        <v>143</v>
      </c>
      <c r="D35" s="13" t="s">
        <v>15</v>
      </c>
      <c r="E35" s="9">
        <v>1.0857E7</v>
      </c>
      <c r="F35" s="9">
        <v>500000.0</v>
      </c>
      <c r="G35" s="9">
        <v>1000000.0</v>
      </c>
      <c r="H35" s="9">
        <v>3940000.0</v>
      </c>
      <c r="I35" s="9">
        <v>4728000.0</v>
      </c>
      <c r="J35" s="9">
        <v>5674000.0</v>
      </c>
      <c r="K35" s="9">
        <v>6808000.0</v>
      </c>
      <c r="L35" s="9">
        <v>8170000.0</v>
      </c>
      <c r="M35" s="9">
        <v>9804000.0</v>
      </c>
    </row>
    <row r="36" ht="19.5" customHeight="1">
      <c r="A36" s="6">
        <v>35.0</v>
      </c>
      <c r="B36" s="8" t="s">
        <v>290</v>
      </c>
      <c r="C36" s="8" t="s">
        <v>173</v>
      </c>
      <c r="D36" s="10" t="s">
        <v>15</v>
      </c>
      <c r="E36" s="6">
        <v>1.0857E7</v>
      </c>
      <c r="F36" s="6">
        <v>500000.0</v>
      </c>
      <c r="G36" s="6">
        <v>1000000.0</v>
      </c>
      <c r="H36" s="6">
        <v>3780000.0</v>
      </c>
      <c r="I36" s="6">
        <v>4536000.0</v>
      </c>
      <c r="J36" s="6">
        <v>5443000.0</v>
      </c>
      <c r="K36" s="6">
        <v>6532000.0</v>
      </c>
      <c r="L36" s="6">
        <v>7838000.0</v>
      </c>
      <c r="M36" s="6">
        <v>9406000.0</v>
      </c>
    </row>
    <row r="37" ht="19.5" customHeight="1">
      <c r="A37" s="9">
        <v>36.0</v>
      </c>
      <c r="B37" s="11" t="s">
        <v>290</v>
      </c>
      <c r="C37" s="11" t="s">
        <v>152</v>
      </c>
      <c r="D37" s="13" t="s">
        <v>15</v>
      </c>
      <c r="E37" s="9">
        <v>1.1463E7</v>
      </c>
      <c r="F37" s="9">
        <v>500000.0</v>
      </c>
      <c r="G37" s="9">
        <v>1000000.0</v>
      </c>
      <c r="H37" s="9">
        <v>4160000.0</v>
      </c>
      <c r="I37" s="9">
        <v>4992000.0</v>
      </c>
      <c r="J37" s="9">
        <v>5990000.0</v>
      </c>
      <c r="K37" s="9">
        <v>7188000.0</v>
      </c>
      <c r="L37" s="9">
        <v>8626000.0</v>
      </c>
      <c r="M37" s="9">
        <v>1.0351E7</v>
      </c>
    </row>
    <row r="38" ht="19.5" customHeight="1">
      <c r="A38" s="6">
        <v>37.0</v>
      </c>
      <c r="B38" s="8" t="s">
        <v>290</v>
      </c>
      <c r="C38" s="8" t="s">
        <v>172</v>
      </c>
      <c r="D38" s="10" t="s">
        <v>15</v>
      </c>
      <c r="E38" s="6">
        <v>1.1463E7</v>
      </c>
      <c r="F38" s="6">
        <v>500000.0</v>
      </c>
      <c r="G38" s="6">
        <v>1000000.0</v>
      </c>
      <c r="H38" s="6">
        <v>4160000.0</v>
      </c>
      <c r="I38" s="6">
        <v>4992000.0</v>
      </c>
      <c r="J38" s="6">
        <v>5990000.0</v>
      </c>
      <c r="K38" s="6">
        <v>7188000.0</v>
      </c>
      <c r="L38" s="6">
        <v>8626000.0</v>
      </c>
      <c r="M38" s="6">
        <v>1.0351E7</v>
      </c>
    </row>
    <row r="39" ht="19.5" customHeight="1">
      <c r="A39" s="9">
        <v>38.0</v>
      </c>
      <c r="B39" s="11" t="s">
        <v>290</v>
      </c>
      <c r="C39" s="11" t="s">
        <v>166</v>
      </c>
      <c r="D39" s="13" t="s">
        <v>15</v>
      </c>
      <c r="E39" s="9">
        <v>1.1497E7</v>
      </c>
      <c r="F39" s="9">
        <v>500000.0</v>
      </c>
      <c r="G39" s="9">
        <v>1000000.0</v>
      </c>
      <c r="H39" s="9">
        <v>4160000.0</v>
      </c>
      <c r="I39" s="9">
        <v>4992000.0</v>
      </c>
      <c r="J39" s="9">
        <v>5990000.0</v>
      </c>
      <c r="K39" s="9">
        <v>7188000.0</v>
      </c>
      <c r="L39" s="9">
        <v>8626000.0</v>
      </c>
      <c r="M39" s="9">
        <v>1.0351E7</v>
      </c>
    </row>
    <row r="40" ht="19.5" customHeight="1">
      <c r="A40" s="6">
        <v>39.0</v>
      </c>
      <c r="B40" s="8" t="s">
        <v>290</v>
      </c>
      <c r="C40" s="8" t="s">
        <v>294</v>
      </c>
      <c r="D40" s="10" t="s">
        <v>15</v>
      </c>
      <c r="E40" s="6">
        <v>1.2227E7</v>
      </c>
      <c r="F40" s="6">
        <v>500000.0</v>
      </c>
      <c r="G40" s="6">
        <v>1000000.0</v>
      </c>
      <c r="H40" s="6">
        <v>4430000.0</v>
      </c>
      <c r="I40" s="6">
        <v>5316000.0</v>
      </c>
      <c r="J40" s="6">
        <v>6379000.0</v>
      </c>
      <c r="K40" s="6">
        <v>7655000.0</v>
      </c>
      <c r="L40" s="6">
        <v>9186000.0</v>
      </c>
      <c r="M40" s="6">
        <v>1.1023E7</v>
      </c>
    </row>
    <row r="41" ht="19.5" customHeight="1">
      <c r="A41" s="9">
        <v>40.0</v>
      </c>
      <c r="B41" s="11" t="s">
        <v>290</v>
      </c>
      <c r="C41" s="11" t="s">
        <v>138</v>
      </c>
      <c r="D41" s="13" t="s">
        <v>15</v>
      </c>
      <c r="E41" s="9">
        <v>7348000.0</v>
      </c>
      <c r="F41" s="9">
        <v>500000.0</v>
      </c>
      <c r="G41" s="9">
        <v>1000000.0</v>
      </c>
      <c r="H41" s="9">
        <v>2660000.0</v>
      </c>
      <c r="I41" s="9">
        <v>3192000.0</v>
      </c>
      <c r="J41" s="9">
        <v>3830000.0</v>
      </c>
      <c r="K41" s="9">
        <v>4596000.0</v>
      </c>
      <c r="L41" s="9">
        <v>5516000.0</v>
      </c>
      <c r="M41" s="9">
        <v>6619000.0</v>
      </c>
    </row>
    <row r="42" ht="19.5" customHeight="1">
      <c r="A42" s="6">
        <v>41.0</v>
      </c>
      <c r="B42" s="8" t="s">
        <v>290</v>
      </c>
      <c r="C42" s="8" t="s">
        <v>297</v>
      </c>
      <c r="D42" s="10" t="s">
        <v>15</v>
      </c>
      <c r="E42" s="6">
        <v>9553000.0</v>
      </c>
      <c r="F42" s="6">
        <v>500000.0</v>
      </c>
      <c r="G42" s="6">
        <v>1000000.0</v>
      </c>
      <c r="H42" s="6">
        <v>3460000.0</v>
      </c>
      <c r="I42" s="6">
        <v>4152000.0</v>
      </c>
      <c r="J42" s="6">
        <v>4982000.0</v>
      </c>
      <c r="K42" s="6">
        <v>5979000.0</v>
      </c>
      <c r="L42" s="6">
        <v>7175000.0</v>
      </c>
      <c r="M42" s="6">
        <v>8610000.0</v>
      </c>
    </row>
    <row r="43" ht="19.5" customHeight="1">
      <c r="A43" s="9">
        <v>42.0</v>
      </c>
      <c r="B43" s="11" t="s">
        <v>290</v>
      </c>
      <c r="C43" s="11" t="s">
        <v>298</v>
      </c>
      <c r="D43" s="13" t="s">
        <v>15</v>
      </c>
      <c r="E43" s="9">
        <v>9553000.0</v>
      </c>
      <c r="F43" s="9">
        <v>500000.0</v>
      </c>
      <c r="G43" s="9">
        <v>1000000.0</v>
      </c>
      <c r="H43" s="9">
        <v>3460000.0</v>
      </c>
      <c r="I43" s="9">
        <v>4152000.0</v>
      </c>
      <c r="J43" s="9">
        <v>4982000.0</v>
      </c>
      <c r="K43" s="9">
        <v>5979000.0</v>
      </c>
      <c r="L43" s="9">
        <v>7175000.0</v>
      </c>
      <c r="M43" s="9">
        <v>8610000.0</v>
      </c>
    </row>
    <row r="44" ht="19.5" customHeight="1">
      <c r="A44" s="6">
        <v>43.0</v>
      </c>
      <c r="B44" s="8" t="s">
        <v>299</v>
      </c>
      <c r="C44" s="8" t="s">
        <v>183</v>
      </c>
      <c r="D44" s="10" t="s">
        <v>15</v>
      </c>
      <c r="E44" s="6">
        <v>2.6355E7</v>
      </c>
      <c r="F44" s="6">
        <v>500000.0</v>
      </c>
      <c r="G44" s="6">
        <v>1000000.0</v>
      </c>
      <c r="H44" s="6">
        <v>5500000.0</v>
      </c>
      <c r="I44" s="6">
        <v>8500000.0</v>
      </c>
      <c r="J44" s="6">
        <v>1.15E7</v>
      </c>
      <c r="K44" s="6">
        <v>1.45E7</v>
      </c>
      <c r="L44" s="6">
        <v>1.75E7</v>
      </c>
      <c r="M44" s="6">
        <v>2.1E7</v>
      </c>
    </row>
    <row r="45" ht="19.5" customHeight="1">
      <c r="A45" s="9">
        <v>44.0</v>
      </c>
      <c r="B45" s="11" t="s">
        <v>299</v>
      </c>
      <c r="C45" s="11" t="s">
        <v>184</v>
      </c>
      <c r="D45" s="13" t="s">
        <v>15</v>
      </c>
      <c r="E45" s="9">
        <v>8450000.0</v>
      </c>
      <c r="F45" s="9">
        <v>500000.0</v>
      </c>
      <c r="G45" s="9">
        <v>1000000.0</v>
      </c>
      <c r="H45" s="9">
        <v>3549643.0</v>
      </c>
      <c r="I45" s="9">
        <v>4176050.0</v>
      </c>
      <c r="J45" s="9">
        <v>4913000.0</v>
      </c>
      <c r="K45" s="9">
        <v>5780000.0</v>
      </c>
      <c r="L45" s="9">
        <v>6800000.0</v>
      </c>
      <c r="M45" s="9">
        <v>8000000.0</v>
      </c>
    </row>
    <row r="46" ht="19.5" customHeight="1">
      <c r="A46" s="6">
        <v>45.0</v>
      </c>
      <c r="B46" s="8" t="s">
        <v>300</v>
      </c>
      <c r="C46" s="8" t="s">
        <v>195</v>
      </c>
      <c r="D46" s="10" t="s">
        <v>15</v>
      </c>
      <c r="E46" s="6">
        <v>1.0857E7</v>
      </c>
      <c r="F46" s="6">
        <v>500000.0</v>
      </c>
      <c r="G46" s="6">
        <v>1000000.0</v>
      </c>
      <c r="H46" s="6">
        <v>3940000.0</v>
      </c>
      <c r="I46" s="6">
        <v>4728000.0</v>
      </c>
      <c r="J46" s="6">
        <v>5674000.0</v>
      </c>
      <c r="K46" s="6">
        <v>6808000.0</v>
      </c>
      <c r="L46" s="6">
        <v>8170000.0</v>
      </c>
      <c r="M46" s="6">
        <v>9804000.0</v>
      </c>
    </row>
    <row r="47" ht="19.5" customHeight="1">
      <c r="A47" s="9">
        <v>46.0</v>
      </c>
      <c r="B47" s="11" t="s">
        <v>300</v>
      </c>
      <c r="C47" s="11" t="s">
        <v>193</v>
      </c>
      <c r="D47" s="13" t="s">
        <v>15</v>
      </c>
      <c r="E47" s="9">
        <v>1.2227E7</v>
      </c>
      <c r="F47" s="9">
        <v>500000.0</v>
      </c>
      <c r="G47" s="9">
        <v>1000000.0</v>
      </c>
      <c r="H47" s="9">
        <v>4430000.0</v>
      </c>
      <c r="I47" s="9">
        <v>5316000.0</v>
      </c>
      <c r="J47" s="9">
        <v>6379000.0</v>
      </c>
      <c r="K47" s="9">
        <v>7655000.0</v>
      </c>
      <c r="L47" s="9">
        <v>9186000.0</v>
      </c>
      <c r="M47" s="9">
        <v>1.1023E7</v>
      </c>
    </row>
    <row r="48" ht="19.5" customHeight="1">
      <c r="A48" s="6">
        <v>47.0</v>
      </c>
      <c r="B48" s="8" t="s">
        <v>300</v>
      </c>
      <c r="C48" s="8" t="s">
        <v>194</v>
      </c>
      <c r="D48" s="10" t="s">
        <v>15</v>
      </c>
      <c r="E48" s="6">
        <v>1.2227E7</v>
      </c>
      <c r="F48" s="6">
        <v>500000.0</v>
      </c>
      <c r="G48" s="6">
        <v>1000000.0</v>
      </c>
      <c r="H48" s="6">
        <v>4430000.0</v>
      </c>
      <c r="I48" s="6">
        <v>5316000.0</v>
      </c>
      <c r="J48" s="6">
        <v>6379000.0</v>
      </c>
      <c r="K48" s="6">
        <v>7655000.0</v>
      </c>
      <c r="L48" s="6">
        <v>9186000.0</v>
      </c>
      <c r="M48" s="6">
        <v>1.1023E7</v>
      </c>
    </row>
    <row r="49" ht="19.5" customHeight="1">
      <c r="A49" s="9">
        <v>48.0</v>
      </c>
      <c r="B49" s="11" t="s">
        <v>300</v>
      </c>
      <c r="C49" s="11" t="s">
        <v>187</v>
      </c>
      <c r="D49" s="13" t="s">
        <v>15</v>
      </c>
      <c r="E49" s="9">
        <v>1.2227E7</v>
      </c>
      <c r="F49" s="9">
        <v>500000.0</v>
      </c>
      <c r="G49" s="9">
        <v>1000000.0</v>
      </c>
      <c r="H49" s="9">
        <v>4430000.0</v>
      </c>
      <c r="I49" s="9">
        <v>5316000.0</v>
      </c>
      <c r="J49" s="9">
        <v>6379000.0</v>
      </c>
      <c r="K49" s="9">
        <v>7655000.0</v>
      </c>
      <c r="L49" s="9">
        <v>9186000.0</v>
      </c>
      <c r="M49" s="9">
        <v>1.1023E7</v>
      </c>
    </row>
    <row r="50" ht="19.5" customHeight="1">
      <c r="A50" s="6">
        <v>49.0</v>
      </c>
      <c r="B50" s="8" t="s">
        <v>300</v>
      </c>
      <c r="C50" s="8" t="s">
        <v>198</v>
      </c>
      <c r="D50" s="10" t="s">
        <v>15</v>
      </c>
      <c r="E50" s="6">
        <v>1.0857E7</v>
      </c>
      <c r="F50" s="6">
        <v>500000.0</v>
      </c>
      <c r="G50" s="6">
        <v>1000000.0</v>
      </c>
      <c r="H50" s="6">
        <v>3940000.0</v>
      </c>
      <c r="I50" s="6">
        <v>4728000.0</v>
      </c>
      <c r="J50" s="6">
        <v>5674000.0</v>
      </c>
      <c r="K50" s="6">
        <v>6808000.0</v>
      </c>
      <c r="L50" s="6">
        <v>8170000.0</v>
      </c>
      <c r="M50" s="6">
        <v>9804000.0</v>
      </c>
    </row>
    <row r="51" ht="19.5" customHeight="1">
      <c r="A51" s="9">
        <v>50.0</v>
      </c>
      <c r="B51" s="11" t="s">
        <v>300</v>
      </c>
      <c r="C51" s="11" t="s">
        <v>197</v>
      </c>
      <c r="D51" s="13" t="s">
        <v>15</v>
      </c>
      <c r="E51" s="9">
        <v>1.0439E7</v>
      </c>
      <c r="F51" s="9">
        <v>500000.0</v>
      </c>
      <c r="G51" s="9">
        <v>1000000.0</v>
      </c>
      <c r="H51" s="9">
        <v>3780000.0</v>
      </c>
      <c r="I51" s="9">
        <v>4536000.0</v>
      </c>
      <c r="J51" s="9">
        <v>5443000.0</v>
      </c>
      <c r="K51" s="9">
        <v>6532000.0</v>
      </c>
      <c r="L51" s="9">
        <v>7838000.0</v>
      </c>
      <c r="M51" s="9">
        <v>9406000.0</v>
      </c>
    </row>
    <row r="52" ht="19.5" customHeight="1">
      <c r="A52" s="6">
        <v>51.0</v>
      </c>
      <c r="B52" s="8" t="s">
        <v>300</v>
      </c>
      <c r="C52" s="8" t="s">
        <v>192</v>
      </c>
      <c r="D52" s="10" t="s">
        <v>15</v>
      </c>
      <c r="E52" s="6">
        <v>2.5341E7</v>
      </c>
      <c r="F52" s="6">
        <v>500000.0</v>
      </c>
      <c r="G52" s="6">
        <v>1000000.0</v>
      </c>
      <c r="H52" s="6">
        <v>4500000.0</v>
      </c>
      <c r="I52" s="6">
        <v>7500000.0</v>
      </c>
      <c r="J52" s="6">
        <v>1.05E7</v>
      </c>
      <c r="K52" s="6">
        <v>1.35E7</v>
      </c>
      <c r="L52" s="6">
        <v>1.65E7</v>
      </c>
      <c r="M52" s="6">
        <v>1.95E7</v>
      </c>
    </row>
    <row r="53" ht="19.5" customHeight="1">
      <c r="A53" s="9">
        <v>52.0</v>
      </c>
      <c r="B53" s="11" t="s">
        <v>303</v>
      </c>
      <c r="C53" s="11" t="s">
        <v>208</v>
      </c>
      <c r="D53" s="13" t="s">
        <v>15</v>
      </c>
      <c r="E53" s="9">
        <v>7348000.0</v>
      </c>
      <c r="F53" s="9">
        <v>500000.0</v>
      </c>
      <c r="G53" s="9">
        <v>1000000.0</v>
      </c>
      <c r="H53" s="9">
        <v>2660000.0</v>
      </c>
      <c r="I53" s="9">
        <v>3192000.0</v>
      </c>
      <c r="J53" s="9">
        <v>3830000.0</v>
      </c>
      <c r="K53" s="9">
        <v>4596000.0</v>
      </c>
      <c r="L53" s="9">
        <v>5516000.0</v>
      </c>
      <c r="M53" s="9">
        <v>6619000.0</v>
      </c>
    </row>
    <row r="54" ht="19.5" customHeight="1">
      <c r="A54" s="6">
        <v>53.0</v>
      </c>
      <c r="B54" s="8" t="s">
        <v>303</v>
      </c>
      <c r="C54" s="8" t="s">
        <v>200</v>
      </c>
      <c r="D54" s="10" t="s">
        <v>15</v>
      </c>
      <c r="E54" s="6">
        <v>7348000.0</v>
      </c>
      <c r="F54" s="6">
        <v>500000.0</v>
      </c>
      <c r="G54" s="6">
        <v>1000000.0</v>
      </c>
      <c r="H54" s="6">
        <v>2660000.0</v>
      </c>
      <c r="I54" s="6">
        <v>3192000.0</v>
      </c>
      <c r="J54" s="6">
        <v>3830000.0</v>
      </c>
      <c r="K54" s="6">
        <v>4596000.0</v>
      </c>
      <c r="L54" s="6">
        <v>5516000.0</v>
      </c>
      <c r="M54" s="6">
        <v>6619000.0</v>
      </c>
    </row>
    <row r="55" ht="19.5" customHeight="1">
      <c r="A55" s="9">
        <v>54.0</v>
      </c>
      <c r="B55" s="11" t="s">
        <v>303</v>
      </c>
      <c r="C55" s="11" t="s">
        <v>204</v>
      </c>
      <c r="D55" s="13" t="s">
        <v>15</v>
      </c>
      <c r="E55" s="9">
        <v>7348000.0</v>
      </c>
      <c r="F55" s="9">
        <v>500000.0</v>
      </c>
      <c r="G55" s="9">
        <v>1000000.0</v>
      </c>
      <c r="H55" s="9">
        <v>2660000.0</v>
      </c>
      <c r="I55" s="9">
        <v>3192000.0</v>
      </c>
      <c r="J55" s="9">
        <v>3830000.0</v>
      </c>
      <c r="K55" s="9">
        <v>4596000.0</v>
      </c>
      <c r="L55" s="9">
        <v>5516000.0</v>
      </c>
      <c r="M55" s="9">
        <v>6619000.0</v>
      </c>
    </row>
    <row r="56" ht="19.5" customHeight="1">
      <c r="A56" s="6">
        <v>55.0</v>
      </c>
      <c r="B56" s="8" t="s">
        <v>303</v>
      </c>
      <c r="C56" s="8" t="s">
        <v>203</v>
      </c>
      <c r="D56" s="10" t="s">
        <v>15</v>
      </c>
      <c r="E56" s="6">
        <v>7348000.0</v>
      </c>
      <c r="F56" s="6">
        <v>500000.0</v>
      </c>
      <c r="G56" s="6">
        <v>1000000.0</v>
      </c>
      <c r="H56" s="6">
        <v>2660000.0</v>
      </c>
      <c r="I56" s="6">
        <v>3192000.0</v>
      </c>
      <c r="J56" s="6">
        <v>3830000.0</v>
      </c>
      <c r="K56" s="6">
        <v>4596000.0</v>
      </c>
      <c r="L56" s="6">
        <v>5516000.0</v>
      </c>
      <c r="M56" s="6">
        <v>6619000.0</v>
      </c>
    </row>
    <row r="57" ht="19.5" customHeight="1">
      <c r="A57" s="9">
        <v>56.0</v>
      </c>
      <c r="B57" s="11" t="s">
        <v>306</v>
      </c>
      <c r="C57" s="11" t="s">
        <v>214</v>
      </c>
      <c r="D57" s="13" t="s">
        <v>15</v>
      </c>
      <c r="E57" s="9">
        <v>1.1463E7</v>
      </c>
      <c r="F57" s="9">
        <v>500000.0</v>
      </c>
      <c r="G57" s="9">
        <v>1000000.0</v>
      </c>
      <c r="H57" s="9">
        <v>4160000.0</v>
      </c>
      <c r="I57" s="9">
        <v>4992000.0</v>
      </c>
      <c r="J57" s="9">
        <v>5990000.0</v>
      </c>
      <c r="K57" s="9">
        <v>7188000.0</v>
      </c>
      <c r="L57" s="9">
        <v>8626000.0</v>
      </c>
      <c r="M57" s="9">
        <v>1.0351E7</v>
      </c>
    </row>
    <row r="58" ht="19.5" customHeight="1">
      <c r="A58" s="6">
        <v>57.0</v>
      </c>
      <c r="B58" s="8" t="s">
        <v>306</v>
      </c>
      <c r="C58" s="8" t="s">
        <v>307</v>
      </c>
      <c r="D58" s="10" t="s">
        <v>15</v>
      </c>
      <c r="E58" s="6">
        <v>1.0439E7</v>
      </c>
      <c r="F58" s="6">
        <v>500000.0</v>
      </c>
      <c r="G58" s="6">
        <v>1000000.0</v>
      </c>
      <c r="H58" s="6">
        <v>4370000.0</v>
      </c>
      <c r="I58" s="6">
        <v>5244000.0</v>
      </c>
      <c r="J58" s="6">
        <v>6293000.0</v>
      </c>
      <c r="K58" s="6">
        <v>7551000.0</v>
      </c>
      <c r="L58" s="6">
        <v>9062000.0</v>
      </c>
      <c r="M58" s="6">
        <v>1.0439E7</v>
      </c>
    </row>
    <row r="59" ht="19.5" customHeight="1">
      <c r="A59" s="9">
        <v>58.0</v>
      </c>
      <c r="B59" s="11" t="s">
        <v>306</v>
      </c>
      <c r="C59" s="11" t="s">
        <v>218</v>
      </c>
      <c r="D59" s="13" t="s">
        <v>15</v>
      </c>
      <c r="E59" s="9">
        <v>1.1022E7</v>
      </c>
      <c r="F59" s="9">
        <v>500000.0</v>
      </c>
      <c r="G59" s="9">
        <v>1000000.0</v>
      </c>
      <c r="H59" s="9">
        <v>4790000.0</v>
      </c>
      <c r="I59" s="9">
        <v>6095000.0</v>
      </c>
      <c r="J59" s="9">
        <v>7400000.0</v>
      </c>
      <c r="K59" s="9">
        <v>8705000.0</v>
      </c>
      <c r="L59" s="9">
        <v>1.001E7</v>
      </c>
      <c r="M59" s="9">
        <v>1.1022E7</v>
      </c>
    </row>
    <row r="60" ht="19.5" customHeight="1">
      <c r="A60" s="6">
        <v>59.0</v>
      </c>
      <c r="B60" s="8" t="s">
        <v>312</v>
      </c>
      <c r="C60" s="8" t="s">
        <v>220</v>
      </c>
      <c r="D60" s="10" t="s">
        <v>15</v>
      </c>
      <c r="E60" s="6">
        <v>2.6355E7</v>
      </c>
      <c r="F60" s="6">
        <v>500000.0</v>
      </c>
      <c r="G60" s="6">
        <v>1000000.0</v>
      </c>
      <c r="H60" s="6">
        <v>4500000.0</v>
      </c>
      <c r="I60" s="6">
        <v>7500000.0</v>
      </c>
      <c r="J60" s="6">
        <v>1.05E7</v>
      </c>
      <c r="K60" s="6">
        <v>1.35E7</v>
      </c>
      <c r="L60" s="6">
        <v>1.65E7</v>
      </c>
      <c r="M60" s="6">
        <v>1.95E7</v>
      </c>
    </row>
    <row r="61" ht="19.5" customHeight="1">
      <c r="A61" s="9">
        <v>60.0</v>
      </c>
      <c r="B61" s="11" t="s">
        <v>314</v>
      </c>
      <c r="C61" s="11" t="s">
        <v>223</v>
      </c>
      <c r="D61" s="13" t="s">
        <v>15</v>
      </c>
      <c r="E61" s="9">
        <v>2.6355E7</v>
      </c>
      <c r="F61" s="9">
        <v>500000.0</v>
      </c>
      <c r="G61" s="9">
        <v>1000000.0</v>
      </c>
      <c r="H61" s="9">
        <v>5000000.0</v>
      </c>
      <c r="I61" s="9">
        <v>8000000.0</v>
      </c>
      <c r="J61" s="9">
        <v>1.1E7</v>
      </c>
      <c r="K61" s="9">
        <v>1.4E7</v>
      </c>
      <c r="L61" s="9">
        <v>1.7E7</v>
      </c>
      <c r="M61" s="9">
        <v>2.0E7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34.13"/>
    <col customWidth="1" min="3" max="3" width="39.38"/>
    <col customWidth="1" min="4" max="4" width="10.5"/>
    <col customWidth="1" min="5" max="5" width="21.0"/>
    <col customWidth="1" min="6" max="6" width="20.13"/>
    <col customWidth="1" min="7" max="7" width="19.25"/>
    <col customWidth="1" min="8" max="8" width="20.13"/>
    <col customWidth="1" min="9" max="9" width="21.0"/>
    <col customWidth="1" min="10" max="10" width="21.88"/>
    <col customWidth="1" min="11" max="11" width="40.25"/>
    <col customWidth="1" min="12" max="24" width="7.63"/>
  </cols>
  <sheetData>
    <row r="1" ht="27.75" customHeight="1">
      <c r="A1" s="87" t="s">
        <v>0</v>
      </c>
      <c r="B1" s="87" t="s">
        <v>1</v>
      </c>
      <c r="C1" s="87" t="s">
        <v>2</v>
      </c>
      <c r="D1" s="87" t="s">
        <v>3</v>
      </c>
      <c r="E1" s="87" t="s">
        <v>4</v>
      </c>
      <c r="F1" s="87" t="s">
        <v>5</v>
      </c>
      <c r="G1" s="87" t="s">
        <v>6</v>
      </c>
      <c r="H1" s="87" t="s">
        <v>7</v>
      </c>
      <c r="I1" s="87" t="s">
        <v>274</v>
      </c>
      <c r="J1" s="87" t="s">
        <v>275</v>
      </c>
      <c r="K1" s="87" t="s">
        <v>8</v>
      </c>
    </row>
    <row r="2" ht="19.5" customHeight="1">
      <c r="A2" s="6">
        <v>1.0</v>
      </c>
      <c r="B2" s="8" t="s">
        <v>276</v>
      </c>
      <c r="C2" s="8" t="s">
        <v>33</v>
      </c>
      <c r="D2" s="10" t="s">
        <v>15</v>
      </c>
      <c r="E2" s="6">
        <v>7642000.0</v>
      </c>
      <c r="F2" s="6">
        <v>3324000.0</v>
      </c>
      <c r="G2" s="6">
        <v>3989000.0</v>
      </c>
      <c r="H2" s="6">
        <v>4787000.0</v>
      </c>
      <c r="I2" s="6">
        <v>5744000.0</v>
      </c>
      <c r="J2" s="6">
        <v>6893000.0</v>
      </c>
      <c r="K2" s="6">
        <v>1.5E7</v>
      </c>
    </row>
    <row r="3" ht="19.5" customHeight="1">
      <c r="A3" s="9">
        <v>2.0</v>
      </c>
      <c r="B3" s="11" t="s">
        <v>276</v>
      </c>
      <c r="C3" s="11" t="s">
        <v>37</v>
      </c>
      <c r="D3" s="13" t="s">
        <v>15</v>
      </c>
      <c r="E3" s="9">
        <v>7642000.0</v>
      </c>
      <c r="F3" s="9">
        <v>3324000.0</v>
      </c>
      <c r="G3" s="9">
        <v>3989000.0</v>
      </c>
      <c r="H3" s="9">
        <v>4787000.0</v>
      </c>
      <c r="I3" s="9">
        <v>5744000.0</v>
      </c>
      <c r="J3" s="9">
        <v>6893000.0</v>
      </c>
      <c r="K3" s="9">
        <v>1.5E7</v>
      </c>
    </row>
    <row r="4" ht="19.5" customHeight="1">
      <c r="A4" s="6">
        <v>3.0</v>
      </c>
      <c r="B4" s="8" t="s">
        <v>276</v>
      </c>
      <c r="C4" s="8" t="s">
        <v>14</v>
      </c>
      <c r="D4" s="10" t="s">
        <v>15</v>
      </c>
      <c r="E4" s="6">
        <v>7642000.0</v>
      </c>
      <c r="F4" s="6">
        <v>3576000.0</v>
      </c>
      <c r="G4" s="6">
        <v>4291000.0</v>
      </c>
      <c r="H4" s="6">
        <v>5149000.0</v>
      </c>
      <c r="I4" s="6">
        <v>6179000.0</v>
      </c>
      <c r="J4" s="6">
        <v>7415000.0</v>
      </c>
      <c r="K4" s="6">
        <v>1.5E7</v>
      </c>
    </row>
    <row r="5" ht="19.5" customHeight="1">
      <c r="A5" s="9">
        <v>4.0</v>
      </c>
      <c r="B5" s="11" t="s">
        <v>276</v>
      </c>
      <c r="C5" s="11" t="s">
        <v>277</v>
      </c>
      <c r="D5" s="13" t="s">
        <v>278</v>
      </c>
      <c r="E5" s="9">
        <v>9695000.0</v>
      </c>
      <c r="F5" s="9">
        <v>3576000.0</v>
      </c>
      <c r="G5" s="9">
        <v>4291000.0</v>
      </c>
      <c r="H5" s="9">
        <v>5149000.0</v>
      </c>
      <c r="I5" s="9">
        <v>6179000.0</v>
      </c>
      <c r="J5" s="9">
        <v>7415000.0</v>
      </c>
      <c r="K5" s="9">
        <v>1.5E7</v>
      </c>
    </row>
    <row r="6" ht="19.5" customHeight="1">
      <c r="A6" s="6">
        <v>5.0</v>
      </c>
      <c r="B6" s="8" t="s">
        <v>276</v>
      </c>
      <c r="C6" s="8" t="s">
        <v>23</v>
      </c>
      <c r="D6" s="10" t="s">
        <v>15</v>
      </c>
      <c r="E6" s="6">
        <v>7642000.0</v>
      </c>
      <c r="F6" s="6">
        <v>3192000.0</v>
      </c>
      <c r="G6" s="6">
        <v>3830000.0</v>
      </c>
      <c r="H6" s="6">
        <v>4596000.0</v>
      </c>
      <c r="I6" s="6">
        <v>5516000.0</v>
      </c>
      <c r="J6" s="6">
        <v>6619000.0</v>
      </c>
      <c r="K6" s="6">
        <v>1.5E7</v>
      </c>
    </row>
    <row r="7" ht="19.5" customHeight="1">
      <c r="A7" s="9">
        <v>6.0</v>
      </c>
      <c r="B7" s="11" t="s">
        <v>281</v>
      </c>
      <c r="C7" s="11" t="s">
        <v>282</v>
      </c>
      <c r="D7" s="13" t="s">
        <v>15</v>
      </c>
      <c r="E7" s="9">
        <v>2.6355E7</v>
      </c>
      <c r="F7" s="9">
        <v>7000000.0</v>
      </c>
      <c r="G7" s="9">
        <v>1.0E7</v>
      </c>
      <c r="H7" s="9">
        <v>1.3E7</v>
      </c>
      <c r="I7" s="9">
        <v>1.5E7</v>
      </c>
      <c r="J7" s="9">
        <v>1.8E7</v>
      </c>
      <c r="K7" s="9">
        <v>1.5E7</v>
      </c>
    </row>
    <row r="8" ht="19.5" customHeight="1">
      <c r="A8" s="6">
        <v>7.0</v>
      </c>
      <c r="B8" s="8" t="s">
        <v>283</v>
      </c>
      <c r="C8" s="8" t="s">
        <v>53</v>
      </c>
      <c r="D8" s="10" t="s">
        <v>15</v>
      </c>
      <c r="E8" s="6">
        <v>7642000.0</v>
      </c>
      <c r="F8" s="6">
        <v>3324000.0</v>
      </c>
      <c r="G8" s="6">
        <v>3989000.0</v>
      </c>
      <c r="H8" s="6">
        <v>4787000.0</v>
      </c>
      <c r="I8" s="6">
        <v>5744000.0</v>
      </c>
      <c r="J8" s="6">
        <v>6893000.0</v>
      </c>
      <c r="K8" s="6">
        <v>5000000.0</v>
      </c>
    </row>
    <row r="9" ht="19.5" customHeight="1">
      <c r="A9" s="9">
        <v>8.0</v>
      </c>
      <c r="B9" s="11" t="s">
        <v>284</v>
      </c>
      <c r="C9" s="11" t="s">
        <v>93</v>
      </c>
      <c r="D9" s="13" t="s">
        <v>15</v>
      </c>
      <c r="E9" s="9">
        <v>1.365E7</v>
      </c>
      <c r="F9" s="9">
        <v>5940000.0</v>
      </c>
      <c r="G9" s="9">
        <v>7128000.0</v>
      </c>
      <c r="H9" s="9">
        <v>8554000.0</v>
      </c>
      <c r="I9" s="9">
        <v>1.0264E7</v>
      </c>
      <c r="J9" s="9">
        <v>1.2317E7</v>
      </c>
      <c r="K9" s="9">
        <v>5.0E7</v>
      </c>
    </row>
    <row r="10" ht="19.5" customHeight="1">
      <c r="A10" s="6">
        <v>9.0</v>
      </c>
      <c r="B10" s="8" t="s">
        <v>284</v>
      </c>
      <c r="C10" s="8" t="s">
        <v>88</v>
      </c>
      <c r="D10" s="10" t="s">
        <v>15</v>
      </c>
      <c r="E10" s="6">
        <v>1.365E7</v>
      </c>
      <c r="F10" s="6">
        <v>5940000.0</v>
      </c>
      <c r="G10" s="6">
        <v>7128000.0</v>
      </c>
      <c r="H10" s="6">
        <v>8554000.0</v>
      </c>
      <c r="I10" s="6">
        <v>1.0264E7</v>
      </c>
      <c r="J10" s="6">
        <v>1.2317E7</v>
      </c>
      <c r="K10" s="6">
        <v>3.0E7</v>
      </c>
    </row>
    <row r="11" ht="19.5" customHeight="1">
      <c r="A11" s="9">
        <v>10.0</v>
      </c>
      <c r="B11" s="11" t="s">
        <v>284</v>
      </c>
      <c r="C11" s="11" t="s">
        <v>85</v>
      </c>
      <c r="D11" s="13" t="s">
        <v>15</v>
      </c>
      <c r="E11" s="9">
        <v>1.5343E7</v>
      </c>
      <c r="F11" s="9">
        <v>6672000.0</v>
      </c>
      <c r="G11" s="9">
        <v>8006000.0</v>
      </c>
      <c r="H11" s="9">
        <v>9608000.0</v>
      </c>
      <c r="I11" s="9">
        <v>1.1529E7</v>
      </c>
      <c r="J11" s="9">
        <v>1.3835E7</v>
      </c>
      <c r="K11" s="9">
        <v>3.0E7</v>
      </c>
    </row>
    <row r="12" ht="19.5" customHeight="1">
      <c r="A12" s="6">
        <v>11.0</v>
      </c>
      <c r="B12" s="8" t="s">
        <v>284</v>
      </c>
      <c r="C12" s="8" t="s">
        <v>58</v>
      </c>
      <c r="D12" s="10" t="s">
        <v>15</v>
      </c>
      <c r="E12" s="6">
        <v>1.2238E7</v>
      </c>
      <c r="F12" s="6">
        <v>5328000.0</v>
      </c>
      <c r="G12" s="6">
        <v>6394000.0</v>
      </c>
      <c r="H12" s="6">
        <v>7672000.0</v>
      </c>
      <c r="I12" s="6">
        <v>9207000.0</v>
      </c>
      <c r="J12" s="6">
        <v>1.1048E7</v>
      </c>
      <c r="K12" s="6">
        <v>4.0E7</v>
      </c>
    </row>
    <row r="13" ht="19.5" customHeight="1">
      <c r="A13" s="9">
        <v>12.0</v>
      </c>
      <c r="B13" s="11" t="s">
        <v>284</v>
      </c>
      <c r="C13" s="11" t="s">
        <v>68</v>
      </c>
      <c r="D13" s="13" t="s">
        <v>15</v>
      </c>
      <c r="E13" s="9">
        <v>1.365E7</v>
      </c>
      <c r="F13" s="9">
        <v>5940000.0</v>
      </c>
      <c r="G13" s="9">
        <v>7128000.0</v>
      </c>
      <c r="H13" s="9">
        <v>8554000.0</v>
      </c>
      <c r="I13" s="9">
        <v>1.0264E7</v>
      </c>
      <c r="J13" s="9">
        <v>1.2317E7</v>
      </c>
      <c r="K13" s="9">
        <v>4.0E7</v>
      </c>
    </row>
    <row r="14" ht="19.5" customHeight="1">
      <c r="A14" s="6">
        <v>13.0</v>
      </c>
      <c r="B14" s="8" t="s">
        <v>284</v>
      </c>
      <c r="C14" s="8" t="s">
        <v>82</v>
      </c>
      <c r="D14" s="10" t="s">
        <v>15</v>
      </c>
      <c r="E14" s="6">
        <v>1.2709E7</v>
      </c>
      <c r="F14" s="6">
        <v>5124000.0</v>
      </c>
      <c r="G14" s="6">
        <v>6149000.0</v>
      </c>
      <c r="H14" s="6">
        <v>7379000.0</v>
      </c>
      <c r="I14" s="6">
        <v>8854000.0</v>
      </c>
      <c r="J14" s="6">
        <v>1.0625E7</v>
      </c>
      <c r="K14" s="6">
        <v>3.0E7</v>
      </c>
    </row>
    <row r="15" ht="19.5" customHeight="1">
      <c r="A15" s="9">
        <v>14.0</v>
      </c>
      <c r="B15" s="11" t="s">
        <v>284</v>
      </c>
      <c r="C15" s="11" t="s">
        <v>72</v>
      </c>
      <c r="D15" s="13" t="s">
        <v>15</v>
      </c>
      <c r="E15" s="9">
        <v>1.365E7</v>
      </c>
      <c r="F15" s="9">
        <v>5940000.0</v>
      </c>
      <c r="G15" s="9">
        <v>7128000.0</v>
      </c>
      <c r="H15" s="9">
        <v>8554000.0</v>
      </c>
      <c r="I15" s="9">
        <v>1.0264E7</v>
      </c>
      <c r="J15" s="9">
        <v>1.2317E7</v>
      </c>
      <c r="K15" s="9">
        <v>4.0E7</v>
      </c>
    </row>
    <row r="16" ht="19.5" customHeight="1">
      <c r="A16" s="6">
        <v>15.0</v>
      </c>
      <c r="B16" s="8" t="s">
        <v>284</v>
      </c>
      <c r="C16" s="8" t="s">
        <v>95</v>
      </c>
      <c r="D16" s="10" t="s">
        <v>15</v>
      </c>
      <c r="E16" s="6">
        <v>1.1767E7</v>
      </c>
      <c r="F16" s="6">
        <v>5124000.0</v>
      </c>
      <c r="G16" s="6">
        <v>6149000.0</v>
      </c>
      <c r="H16" s="6">
        <v>7379000.0</v>
      </c>
      <c r="I16" s="6">
        <v>8854000.0</v>
      </c>
      <c r="J16" s="6">
        <v>1.0625E7</v>
      </c>
      <c r="K16" s="6">
        <v>5.0E7</v>
      </c>
    </row>
    <row r="17" ht="19.5" customHeight="1">
      <c r="A17" s="9">
        <v>16.0</v>
      </c>
      <c r="B17" s="11" t="s">
        <v>284</v>
      </c>
      <c r="C17" s="11" t="s">
        <v>77</v>
      </c>
      <c r="D17" s="13" t="s">
        <v>15</v>
      </c>
      <c r="E17" s="9">
        <v>1.1767E7</v>
      </c>
      <c r="F17" s="9">
        <v>5532000.0</v>
      </c>
      <c r="G17" s="9">
        <v>6638000.0</v>
      </c>
      <c r="H17" s="9">
        <v>7966000.0</v>
      </c>
      <c r="I17" s="9">
        <v>9559000.0</v>
      </c>
      <c r="J17" s="9">
        <v>1.1471E7</v>
      </c>
      <c r="K17" s="9">
        <v>3.0E7</v>
      </c>
    </row>
    <row r="18" ht="19.5" customHeight="1">
      <c r="A18" s="6">
        <v>17.0</v>
      </c>
      <c r="B18" s="8" t="s">
        <v>284</v>
      </c>
      <c r="C18" s="8" t="s">
        <v>63</v>
      </c>
      <c r="D18" s="10" t="s">
        <v>15</v>
      </c>
      <c r="E18" s="6">
        <v>1.1767E7</v>
      </c>
      <c r="F18" s="6">
        <v>5124000.0</v>
      </c>
      <c r="G18" s="6">
        <v>6149000.0</v>
      </c>
      <c r="H18" s="6">
        <v>7379000.0</v>
      </c>
      <c r="I18" s="6">
        <v>8854000.0</v>
      </c>
      <c r="J18" s="6">
        <v>1.0625E7</v>
      </c>
      <c r="K18" s="6">
        <v>4.0E7</v>
      </c>
    </row>
    <row r="19" ht="19.5" customHeight="1">
      <c r="A19" s="9">
        <v>18.0</v>
      </c>
      <c r="B19" s="11" t="s">
        <v>284</v>
      </c>
      <c r="C19" s="11" t="s">
        <v>90</v>
      </c>
      <c r="D19" s="13" t="s">
        <v>15</v>
      </c>
      <c r="E19" s="9">
        <v>1.1767E7</v>
      </c>
      <c r="F19" s="9">
        <v>5124000.0</v>
      </c>
      <c r="G19" s="9">
        <v>6149000.0</v>
      </c>
      <c r="H19" s="9">
        <v>7379000.0</v>
      </c>
      <c r="I19" s="9">
        <v>8854000.0</v>
      </c>
      <c r="J19" s="9">
        <v>1.0625E7</v>
      </c>
      <c r="K19" s="9">
        <v>3.0E7</v>
      </c>
    </row>
    <row r="20" ht="19.5" customHeight="1">
      <c r="A20" s="6">
        <v>19.0</v>
      </c>
      <c r="B20" s="8" t="s">
        <v>287</v>
      </c>
      <c r="C20" s="8" t="s">
        <v>106</v>
      </c>
      <c r="D20" s="10" t="s">
        <v>15</v>
      </c>
      <c r="E20" s="6">
        <v>1.1463E7</v>
      </c>
      <c r="F20" s="6">
        <v>4992000.0</v>
      </c>
      <c r="G20" s="6">
        <v>5990000.0</v>
      </c>
      <c r="H20" s="6">
        <v>7188000.0</v>
      </c>
      <c r="I20" s="6">
        <v>8626000.0</v>
      </c>
      <c r="J20" s="6">
        <v>1.0351E7</v>
      </c>
      <c r="K20" s="6">
        <v>1.5E7</v>
      </c>
    </row>
    <row r="21" ht="19.5" customHeight="1">
      <c r="A21" s="9">
        <v>20.0</v>
      </c>
      <c r="B21" s="11" t="s">
        <v>287</v>
      </c>
      <c r="C21" s="11" t="s">
        <v>102</v>
      </c>
      <c r="D21" s="13" t="s">
        <v>15</v>
      </c>
      <c r="E21" s="9">
        <v>1.0857E7</v>
      </c>
      <c r="F21" s="9">
        <v>4728000.0</v>
      </c>
      <c r="G21" s="9">
        <v>5674000.0</v>
      </c>
      <c r="H21" s="9">
        <v>6808000.0</v>
      </c>
      <c r="I21" s="9">
        <v>8170000.0</v>
      </c>
      <c r="J21" s="9">
        <v>9804000.0</v>
      </c>
      <c r="K21" s="9">
        <v>1.5E7</v>
      </c>
    </row>
    <row r="22" ht="19.5" customHeight="1">
      <c r="A22" s="6">
        <v>21.0</v>
      </c>
      <c r="B22" s="8" t="s">
        <v>287</v>
      </c>
      <c r="C22" s="8" t="s">
        <v>129</v>
      </c>
      <c r="D22" s="10" t="s">
        <v>15</v>
      </c>
      <c r="E22" s="6">
        <v>1.1463E7</v>
      </c>
      <c r="F22" s="6">
        <v>4992000.0</v>
      </c>
      <c r="G22" s="6">
        <v>5990000.0</v>
      </c>
      <c r="H22" s="6">
        <v>7188000.0</v>
      </c>
      <c r="I22" s="6">
        <v>8626000.0</v>
      </c>
      <c r="J22" s="6">
        <v>1.0351E7</v>
      </c>
      <c r="K22" s="6">
        <v>1.5E7</v>
      </c>
    </row>
    <row r="23" ht="19.5" customHeight="1">
      <c r="A23" s="9">
        <v>22.0</v>
      </c>
      <c r="B23" s="11" t="s">
        <v>287</v>
      </c>
      <c r="C23" s="11" t="s">
        <v>134</v>
      </c>
      <c r="D23" s="13" t="s">
        <v>15</v>
      </c>
      <c r="E23" s="9">
        <v>1.3756E7</v>
      </c>
      <c r="F23" s="9">
        <v>6444000.0</v>
      </c>
      <c r="G23" s="9">
        <v>7733000.0</v>
      </c>
      <c r="H23" s="9">
        <v>9279000.0</v>
      </c>
      <c r="I23" s="9">
        <v>1.1135E7</v>
      </c>
      <c r="J23" s="9">
        <v>1.3362E7</v>
      </c>
      <c r="K23" s="9">
        <v>1.5E7</v>
      </c>
    </row>
    <row r="24" ht="19.5" customHeight="1">
      <c r="A24" s="6">
        <v>23.0</v>
      </c>
      <c r="B24" s="8" t="s">
        <v>287</v>
      </c>
      <c r="C24" s="8" t="s">
        <v>136</v>
      </c>
      <c r="D24" s="10" t="s">
        <v>15</v>
      </c>
      <c r="E24" s="6">
        <v>1.3756E7</v>
      </c>
      <c r="F24" s="6">
        <v>6444000.0</v>
      </c>
      <c r="G24" s="6">
        <v>7733000.0</v>
      </c>
      <c r="H24" s="6">
        <v>9279000.0</v>
      </c>
      <c r="I24" s="6">
        <v>1.1135E7</v>
      </c>
      <c r="J24" s="6">
        <v>1.3362E7</v>
      </c>
      <c r="K24" s="6">
        <v>1.5E7</v>
      </c>
    </row>
    <row r="25" ht="19.5" customHeight="1">
      <c r="A25" s="9">
        <v>24.0</v>
      </c>
      <c r="B25" s="11" t="s">
        <v>287</v>
      </c>
      <c r="C25" s="11" t="s">
        <v>115</v>
      </c>
      <c r="D25" s="13" t="s">
        <v>15</v>
      </c>
      <c r="E25" s="9">
        <v>1.0857E7</v>
      </c>
      <c r="F25" s="9">
        <v>4728000.0</v>
      </c>
      <c r="G25" s="9">
        <v>5674000.0</v>
      </c>
      <c r="H25" s="9">
        <v>6808000.0</v>
      </c>
      <c r="I25" s="9">
        <v>8170000.0</v>
      </c>
      <c r="J25" s="9">
        <v>9804000.0</v>
      </c>
      <c r="K25" s="9">
        <v>1.5E7</v>
      </c>
    </row>
    <row r="26" ht="19.5" customHeight="1">
      <c r="A26" s="6">
        <v>25.0</v>
      </c>
      <c r="B26" s="8" t="s">
        <v>287</v>
      </c>
      <c r="C26" s="8" t="s">
        <v>125</v>
      </c>
      <c r="D26" s="10" t="s">
        <v>15</v>
      </c>
      <c r="E26" s="6">
        <v>1.0857E7</v>
      </c>
      <c r="F26" s="6">
        <v>4728000.0</v>
      </c>
      <c r="G26" s="6">
        <v>5674000.0</v>
      </c>
      <c r="H26" s="6">
        <v>6808000.0</v>
      </c>
      <c r="I26" s="6">
        <v>8170000.0</v>
      </c>
      <c r="J26" s="6">
        <v>9804000.0</v>
      </c>
      <c r="K26" s="6">
        <v>1.5E7</v>
      </c>
    </row>
    <row r="27" ht="19.5" customHeight="1">
      <c r="A27" s="9">
        <v>26.0</v>
      </c>
      <c r="B27" s="11" t="s">
        <v>287</v>
      </c>
      <c r="C27" s="11" t="s">
        <v>119</v>
      </c>
      <c r="D27" s="13" t="s">
        <v>15</v>
      </c>
      <c r="E27" s="9">
        <v>1.1055E7</v>
      </c>
      <c r="F27" s="9">
        <v>4812000.0</v>
      </c>
      <c r="G27" s="9">
        <v>5774000.0</v>
      </c>
      <c r="H27" s="9">
        <v>6929000.0</v>
      </c>
      <c r="I27" s="9">
        <v>8315000.0</v>
      </c>
      <c r="J27" s="9">
        <v>9978000.0</v>
      </c>
      <c r="K27" s="9">
        <v>1.5E7</v>
      </c>
    </row>
    <row r="28" ht="19.5" customHeight="1">
      <c r="A28" s="6">
        <v>27.0</v>
      </c>
      <c r="B28" s="8" t="s">
        <v>290</v>
      </c>
      <c r="C28" s="8" t="s">
        <v>176</v>
      </c>
      <c r="D28" s="10" t="s">
        <v>15</v>
      </c>
      <c r="E28" s="6">
        <v>7642000.0</v>
      </c>
      <c r="F28" s="6">
        <v>3324000.0</v>
      </c>
      <c r="G28" s="6">
        <v>3989000.0</v>
      </c>
      <c r="H28" s="6">
        <v>4787000.0</v>
      </c>
      <c r="I28" s="6">
        <v>5744000.0</v>
      </c>
      <c r="J28" s="6">
        <v>6893000.0</v>
      </c>
      <c r="K28" s="6">
        <v>5000000.0</v>
      </c>
    </row>
    <row r="29" ht="19.5" customHeight="1">
      <c r="A29" s="9">
        <v>28.0</v>
      </c>
      <c r="B29" s="11" t="s">
        <v>290</v>
      </c>
      <c r="C29" s="11" t="s">
        <v>178</v>
      </c>
      <c r="D29" s="13" t="s">
        <v>15</v>
      </c>
      <c r="E29" s="9">
        <v>7642000.0</v>
      </c>
      <c r="F29" s="9">
        <v>3192000.0</v>
      </c>
      <c r="G29" s="9">
        <v>3830000.0</v>
      </c>
      <c r="H29" s="9">
        <v>4596000.0</v>
      </c>
      <c r="I29" s="9">
        <v>5516000.0</v>
      </c>
      <c r="J29" s="9">
        <v>6619000.0</v>
      </c>
      <c r="K29" s="9">
        <v>5000000.0</v>
      </c>
    </row>
    <row r="30" ht="19.5" customHeight="1">
      <c r="A30" s="6">
        <v>29.0</v>
      </c>
      <c r="B30" s="8" t="s">
        <v>290</v>
      </c>
      <c r="C30" s="8" t="s">
        <v>148</v>
      </c>
      <c r="D30" s="10" t="s">
        <v>15</v>
      </c>
      <c r="E30" s="6">
        <v>7642000.0</v>
      </c>
      <c r="F30" s="6">
        <v>3192000.0</v>
      </c>
      <c r="G30" s="6">
        <v>3830000.0</v>
      </c>
      <c r="H30" s="6">
        <v>4596000.0</v>
      </c>
      <c r="I30" s="6">
        <v>5516000.0</v>
      </c>
      <c r="J30" s="6">
        <v>6619000.0</v>
      </c>
      <c r="K30" s="6">
        <v>5000000.0</v>
      </c>
    </row>
    <row r="31" ht="19.5" customHeight="1">
      <c r="A31" s="9">
        <v>30.0</v>
      </c>
      <c r="B31" s="11" t="s">
        <v>290</v>
      </c>
      <c r="C31" s="11" t="s">
        <v>155</v>
      </c>
      <c r="D31" s="13" t="s">
        <v>15</v>
      </c>
      <c r="E31" s="9">
        <v>8788000.0</v>
      </c>
      <c r="F31" s="9">
        <v>3672000.0</v>
      </c>
      <c r="G31" s="9">
        <v>4406000.0</v>
      </c>
      <c r="H31" s="9">
        <v>5288000.0</v>
      </c>
      <c r="I31" s="9">
        <v>6345000.0</v>
      </c>
      <c r="J31" s="9">
        <v>7614000.0</v>
      </c>
      <c r="K31" s="9">
        <v>5000000.0</v>
      </c>
    </row>
    <row r="32" ht="19.5" customHeight="1">
      <c r="A32" s="6">
        <v>31.0</v>
      </c>
      <c r="B32" s="8" t="s">
        <v>290</v>
      </c>
      <c r="C32" s="8" t="s">
        <v>291</v>
      </c>
      <c r="D32" s="10" t="s">
        <v>15</v>
      </c>
      <c r="E32" s="6">
        <v>7054000.0</v>
      </c>
      <c r="F32" s="6">
        <v>3192000.0</v>
      </c>
      <c r="G32" s="6">
        <v>3830000.0</v>
      </c>
      <c r="H32" s="6">
        <v>4596000.0</v>
      </c>
      <c r="I32" s="6">
        <v>5516000.0</v>
      </c>
      <c r="J32" s="6">
        <v>6619000.0</v>
      </c>
      <c r="K32" s="6">
        <v>5000000.0</v>
      </c>
    </row>
    <row r="33" ht="19.5" customHeight="1">
      <c r="A33" s="9">
        <v>32.0</v>
      </c>
      <c r="B33" s="11" t="s">
        <v>290</v>
      </c>
      <c r="C33" s="11" t="s">
        <v>141</v>
      </c>
      <c r="D33" s="13" t="s">
        <v>15</v>
      </c>
      <c r="E33" s="9">
        <v>7348000.0</v>
      </c>
      <c r="F33" s="9">
        <v>3192000.0</v>
      </c>
      <c r="G33" s="9">
        <v>3830000.0</v>
      </c>
      <c r="H33" s="9">
        <v>4596000.0</v>
      </c>
      <c r="I33" s="9">
        <v>5516000.0</v>
      </c>
      <c r="J33" s="9">
        <v>6619000.0</v>
      </c>
      <c r="K33" s="9">
        <v>5000000.0</v>
      </c>
    </row>
    <row r="34" ht="19.5" customHeight="1">
      <c r="A34" s="6">
        <v>33.0</v>
      </c>
      <c r="B34" s="8" t="s">
        <v>290</v>
      </c>
      <c r="C34" s="8" t="s">
        <v>181</v>
      </c>
      <c r="D34" s="10" t="s">
        <v>15</v>
      </c>
      <c r="E34" s="6">
        <v>8788000.0</v>
      </c>
      <c r="F34" s="6">
        <v>3672000.0</v>
      </c>
      <c r="G34" s="6">
        <v>4406000.0</v>
      </c>
      <c r="H34" s="6">
        <v>5288000.0</v>
      </c>
      <c r="I34" s="6">
        <v>6345000.0</v>
      </c>
      <c r="J34" s="6">
        <v>7614000.0</v>
      </c>
      <c r="K34" s="6">
        <v>5000000.0</v>
      </c>
    </row>
    <row r="35" ht="19.5" customHeight="1">
      <c r="A35" s="9">
        <v>34.0</v>
      </c>
      <c r="B35" s="11" t="s">
        <v>290</v>
      </c>
      <c r="C35" s="11" t="s">
        <v>143</v>
      </c>
      <c r="D35" s="13" t="s">
        <v>15</v>
      </c>
      <c r="E35" s="9">
        <v>1.0857E7</v>
      </c>
      <c r="F35" s="9">
        <v>4728000.0</v>
      </c>
      <c r="G35" s="9">
        <v>5674000.0</v>
      </c>
      <c r="H35" s="9">
        <v>6808000.0</v>
      </c>
      <c r="I35" s="9">
        <v>8170000.0</v>
      </c>
      <c r="J35" s="9">
        <v>9804000.0</v>
      </c>
      <c r="K35" s="9">
        <v>5000000.0</v>
      </c>
    </row>
    <row r="36" ht="19.5" customHeight="1">
      <c r="A36" s="6">
        <v>35.0</v>
      </c>
      <c r="B36" s="8" t="s">
        <v>290</v>
      </c>
      <c r="C36" s="8" t="s">
        <v>173</v>
      </c>
      <c r="D36" s="10" t="s">
        <v>15</v>
      </c>
      <c r="E36" s="6">
        <v>1.0857E7</v>
      </c>
      <c r="F36" s="6">
        <v>4536000.0</v>
      </c>
      <c r="G36" s="6">
        <v>5443000.0</v>
      </c>
      <c r="H36" s="6">
        <v>6532000.0</v>
      </c>
      <c r="I36" s="6">
        <v>7838000.0</v>
      </c>
      <c r="J36" s="6">
        <v>9406000.0</v>
      </c>
      <c r="K36" s="6">
        <v>5000000.0</v>
      </c>
    </row>
    <row r="37" ht="19.5" customHeight="1">
      <c r="A37" s="9">
        <v>36.0</v>
      </c>
      <c r="B37" s="11" t="s">
        <v>290</v>
      </c>
      <c r="C37" s="11" t="s">
        <v>152</v>
      </c>
      <c r="D37" s="13" t="s">
        <v>15</v>
      </c>
      <c r="E37" s="9">
        <v>1.1463E7</v>
      </c>
      <c r="F37" s="9">
        <v>4992000.0</v>
      </c>
      <c r="G37" s="9">
        <v>5990000.0</v>
      </c>
      <c r="H37" s="9">
        <v>7188000.0</v>
      </c>
      <c r="I37" s="9">
        <v>8626000.0</v>
      </c>
      <c r="J37" s="9">
        <v>1.0351E7</v>
      </c>
      <c r="K37" s="9">
        <v>5000000.0</v>
      </c>
    </row>
    <row r="38" ht="19.5" customHeight="1">
      <c r="A38" s="6">
        <v>37.0</v>
      </c>
      <c r="B38" s="8" t="s">
        <v>290</v>
      </c>
      <c r="C38" s="8" t="s">
        <v>172</v>
      </c>
      <c r="D38" s="10" t="s">
        <v>15</v>
      </c>
      <c r="E38" s="6">
        <v>1.1463E7</v>
      </c>
      <c r="F38" s="6">
        <v>4992000.0</v>
      </c>
      <c r="G38" s="6">
        <v>5990000.0</v>
      </c>
      <c r="H38" s="6">
        <v>7188000.0</v>
      </c>
      <c r="I38" s="6">
        <v>8626000.0</v>
      </c>
      <c r="J38" s="6">
        <v>1.0351E7</v>
      </c>
      <c r="K38" s="6">
        <v>5000000.0</v>
      </c>
    </row>
    <row r="39" ht="19.5" customHeight="1">
      <c r="A39" s="9">
        <v>38.0</v>
      </c>
      <c r="B39" s="11" t="s">
        <v>290</v>
      </c>
      <c r="C39" s="11" t="s">
        <v>166</v>
      </c>
      <c r="D39" s="13" t="s">
        <v>15</v>
      </c>
      <c r="E39" s="9">
        <v>1.1497E7</v>
      </c>
      <c r="F39" s="9">
        <v>4992000.0</v>
      </c>
      <c r="G39" s="9">
        <v>5990000.0</v>
      </c>
      <c r="H39" s="9">
        <v>7188000.0</v>
      </c>
      <c r="I39" s="9">
        <v>8626000.0</v>
      </c>
      <c r="J39" s="9">
        <v>1.0351E7</v>
      </c>
      <c r="K39" s="9">
        <v>5000000.0</v>
      </c>
    </row>
    <row r="40" ht="19.5" customHeight="1">
      <c r="A40" s="6">
        <v>39.0</v>
      </c>
      <c r="B40" s="8" t="s">
        <v>290</v>
      </c>
      <c r="C40" s="8" t="s">
        <v>294</v>
      </c>
      <c r="D40" s="10" t="s">
        <v>15</v>
      </c>
      <c r="E40" s="6">
        <v>1.2227E7</v>
      </c>
      <c r="F40" s="6">
        <v>5316000.0</v>
      </c>
      <c r="G40" s="6">
        <v>6379000.0</v>
      </c>
      <c r="H40" s="6">
        <v>7655000.0</v>
      </c>
      <c r="I40" s="6">
        <v>9186000.0</v>
      </c>
      <c r="J40" s="6">
        <v>1.1023E7</v>
      </c>
      <c r="K40" s="6">
        <v>5000000.0</v>
      </c>
    </row>
    <row r="41" ht="19.5" customHeight="1">
      <c r="A41" s="9">
        <v>40.0</v>
      </c>
      <c r="B41" s="11" t="s">
        <v>290</v>
      </c>
      <c r="C41" s="11" t="s">
        <v>138</v>
      </c>
      <c r="D41" s="13" t="s">
        <v>15</v>
      </c>
      <c r="E41" s="9">
        <v>7348000.0</v>
      </c>
      <c r="F41" s="9">
        <v>3192000.0</v>
      </c>
      <c r="G41" s="9">
        <v>3830000.0</v>
      </c>
      <c r="H41" s="9">
        <v>4596000.0</v>
      </c>
      <c r="I41" s="9">
        <v>5516000.0</v>
      </c>
      <c r="J41" s="9">
        <v>6619000.0</v>
      </c>
      <c r="K41" s="9">
        <v>5000000.0</v>
      </c>
    </row>
    <row r="42" ht="19.5" customHeight="1">
      <c r="A42" s="6">
        <v>41.0</v>
      </c>
      <c r="B42" s="8" t="s">
        <v>290</v>
      </c>
      <c r="C42" s="8" t="s">
        <v>297</v>
      </c>
      <c r="D42" s="10" t="s">
        <v>15</v>
      </c>
      <c r="E42" s="6">
        <v>9553000.0</v>
      </c>
      <c r="F42" s="6">
        <v>4152000.0</v>
      </c>
      <c r="G42" s="6">
        <v>4982000.0</v>
      </c>
      <c r="H42" s="6">
        <v>5979000.0</v>
      </c>
      <c r="I42" s="6">
        <v>7175000.0</v>
      </c>
      <c r="J42" s="6">
        <v>8610000.0</v>
      </c>
      <c r="K42" s="6">
        <v>5000000.0</v>
      </c>
    </row>
    <row r="43" ht="19.5" customHeight="1">
      <c r="A43" s="9">
        <v>42.0</v>
      </c>
      <c r="B43" s="11" t="s">
        <v>290</v>
      </c>
      <c r="C43" s="11" t="s">
        <v>298</v>
      </c>
      <c r="D43" s="13" t="s">
        <v>15</v>
      </c>
      <c r="E43" s="9">
        <v>9553000.0</v>
      </c>
      <c r="F43" s="9">
        <v>4152000.0</v>
      </c>
      <c r="G43" s="9">
        <v>4982000.0</v>
      </c>
      <c r="H43" s="9">
        <v>5979000.0</v>
      </c>
      <c r="I43" s="9">
        <v>7175000.0</v>
      </c>
      <c r="J43" s="9">
        <v>8610000.0</v>
      </c>
      <c r="K43" s="9">
        <v>5000000.0</v>
      </c>
    </row>
    <row r="44" ht="19.5" customHeight="1">
      <c r="A44" s="6">
        <v>43.0</v>
      </c>
      <c r="B44" s="8" t="s">
        <v>299</v>
      </c>
      <c r="C44" s="8" t="s">
        <v>183</v>
      </c>
      <c r="D44" s="10" t="s">
        <v>15</v>
      </c>
      <c r="E44" s="6">
        <v>2.6355E7</v>
      </c>
      <c r="F44" s="6">
        <v>8500000.0</v>
      </c>
      <c r="G44" s="6">
        <v>1.15E7</v>
      </c>
      <c r="H44" s="6">
        <v>1.45E7</v>
      </c>
      <c r="I44" s="6">
        <v>1.75E7</v>
      </c>
      <c r="J44" s="6">
        <v>2.1E7</v>
      </c>
      <c r="K44" s="6">
        <v>2.5E8</v>
      </c>
    </row>
    <row r="45" ht="19.5" customHeight="1">
      <c r="A45" s="9">
        <v>44.0</v>
      </c>
      <c r="B45" s="11" t="s">
        <v>299</v>
      </c>
      <c r="C45" s="11" t="s">
        <v>184</v>
      </c>
      <c r="D45" s="13" t="s">
        <v>15</v>
      </c>
      <c r="E45" s="9">
        <v>8450000.0</v>
      </c>
      <c r="F45" s="9">
        <v>4176050.0</v>
      </c>
      <c r="G45" s="9">
        <v>4913000.0</v>
      </c>
      <c r="H45" s="9">
        <v>5780000.0</v>
      </c>
      <c r="I45" s="9">
        <v>6800000.0</v>
      </c>
      <c r="J45" s="9">
        <v>8000000.0</v>
      </c>
      <c r="K45" s="9">
        <v>3.0E7</v>
      </c>
    </row>
    <row r="46" ht="19.5" customHeight="1">
      <c r="A46" s="6">
        <v>45.0</v>
      </c>
      <c r="B46" s="8" t="s">
        <v>300</v>
      </c>
      <c r="C46" s="8" t="s">
        <v>195</v>
      </c>
      <c r="D46" s="10" t="s">
        <v>15</v>
      </c>
      <c r="E46" s="6">
        <v>1.0857E7</v>
      </c>
      <c r="F46" s="6">
        <v>4728000.0</v>
      </c>
      <c r="G46" s="6">
        <v>5674000.0</v>
      </c>
      <c r="H46" s="6">
        <v>6808000.0</v>
      </c>
      <c r="I46" s="6">
        <v>8170000.0</v>
      </c>
      <c r="J46" s="6">
        <v>9804000.0</v>
      </c>
      <c r="K46" s="6">
        <v>5000000.0</v>
      </c>
    </row>
    <row r="47" ht="19.5" customHeight="1">
      <c r="A47" s="9">
        <v>46.0</v>
      </c>
      <c r="B47" s="11" t="s">
        <v>300</v>
      </c>
      <c r="C47" s="11" t="s">
        <v>193</v>
      </c>
      <c r="D47" s="13" t="s">
        <v>15</v>
      </c>
      <c r="E47" s="9">
        <v>1.2227E7</v>
      </c>
      <c r="F47" s="9">
        <v>5316000.0</v>
      </c>
      <c r="G47" s="9">
        <v>6379000.0</v>
      </c>
      <c r="H47" s="9">
        <v>7655000.0</v>
      </c>
      <c r="I47" s="9">
        <v>9186000.0</v>
      </c>
      <c r="J47" s="9">
        <v>1.1023E7</v>
      </c>
      <c r="K47" s="9">
        <v>5000000.0</v>
      </c>
    </row>
    <row r="48" ht="19.5" customHeight="1">
      <c r="A48" s="6">
        <v>47.0</v>
      </c>
      <c r="B48" s="8" t="s">
        <v>300</v>
      </c>
      <c r="C48" s="8" t="s">
        <v>194</v>
      </c>
      <c r="D48" s="10" t="s">
        <v>15</v>
      </c>
      <c r="E48" s="6">
        <v>1.2227E7</v>
      </c>
      <c r="F48" s="6">
        <v>5316000.0</v>
      </c>
      <c r="G48" s="6">
        <v>6379000.0</v>
      </c>
      <c r="H48" s="6">
        <v>7655000.0</v>
      </c>
      <c r="I48" s="6">
        <v>9186000.0</v>
      </c>
      <c r="J48" s="6">
        <v>1.1023E7</v>
      </c>
      <c r="K48" s="6">
        <v>5000000.0</v>
      </c>
    </row>
    <row r="49" ht="19.5" customHeight="1">
      <c r="A49" s="9">
        <v>48.0</v>
      </c>
      <c r="B49" s="11" t="s">
        <v>300</v>
      </c>
      <c r="C49" s="11" t="s">
        <v>187</v>
      </c>
      <c r="D49" s="13" t="s">
        <v>15</v>
      </c>
      <c r="E49" s="9">
        <v>1.2227E7</v>
      </c>
      <c r="F49" s="9">
        <v>5316000.0</v>
      </c>
      <c r="G49" s="9">
        <v>6379000.0</v>
      </c>
      <c r="H49" s="9">
        <v>7655000.0</v>
      </c>
      <c r="I49" s="9">
        <v>9186000.0</v>
      </c>
      <c r="J49" s="9">
        <v>1.1023E7</v>
      </c>
      <c r="K49" s="9">
        <v>5000000.0</v>
      </c>
    </row>
    <row r="50" ht="19.5" customHeight="1">
      <c r="A50" s="6">
        <v>49.0</v>
      </c>
      <c r="B50" s="8" t="s">
        <v>300</v>
      </c>
      <c r="C50" s="8" t="s">
        <v>198</v>
      </c>
      <c r="D50" s="10" t="s">
        <v>15</v>
      </c>
      <c r="E50" s="6">
        <v>1.0857E7</v>
      </c>
      <c r="F50" s="6">
        <v>4728000.0</v>
      </c>
      <c r="G50" s="6">
        <v>5674000.0</v>
      </c>
      <c r="H50" s="6">
        <v>6808000.0</v>
      </c>
      <c r="I50" s="6">
        <v>8170000.0</v>
      </c>
      <c r="J50" s="6">
        <v>9804000.0</v>
      </c>
      <c r="K50" s="6">
        <v>2.5E7</v>
      </c>
    </row>
    <row r="51" ht="19.5" customHeight="1">
      <c r="A51" s="9">
        <v>50.0</v>
      </c>
      <c r="B51" s="11" t="s">
        <v>300</v>
      </c>
      <c r="C51" s="11" t="s">
        <v>197</v>
      </c>
      <c r="D51" s="13" t="s">
        <v>15</v>
      </c>
      <c r="E51" s="9">
        <v>1.0439E7</v>
      </c>
      <c r="F51" s="9">
        <v>4536000.0</v>
      </c>
      <c r="G51" s="9">
        <v>5443000.0</v>
      </c>
      <c r="H51" s="9">
        <v>6532000.0</v>
      </c>
      <c r="I51" s="9">
        <v>7838000.0</v>
      </c>
      <c r="J51" s="9">
        <v>9406000.0</v>
      </c>
      <c r="K51" s="9">
        <v>1.0E7</v>
      </c>
    </row>
    <row r="52" ht="19.5" customHeight="1">
      <c r="A52" s="6">
        <v>51.0</v>
      </c>
      <c r="B52" s="8" t="s">
        <v>300</v>
      </c>
      <c r="C52" s="8" t="s">
        <v>192</v>
      </c>
      <c r="D52" s="10" t="s">
        <v>15</v>
      </c>
      <c r="E52" s="6">
        <v>2.5341E7</v>
      </c>
      <c r="F52" s="6">
        <v>7500000.0</v>
      </c>
      <c r="G52" s="6">
        <v>1.05E7</v>
      </c>
      <c r="H52" s="6">
        <v>1.35E7</v>
      </c>
      <c r="I52" s="6">
        <v>1.65E7</v>
      </c>
      <c r="J52" s="6">
        <v>1.95E7</v>
      </c>
      <c r="K52" s="6">
        <v>3.0E7</v>
      </c>
    </row>
    <row r="53" ht="19.5" customHeight="1">
      <c r="A53" s="9">
        <v>52.0</v>
      </c>
      <c r="B53" s="11" t="s">
        <v>303</v>
      </c>
      <c r="C53" s="11" t="s">
        <v>208</v>
      </c>
      <c r="D53" s="13" t="s">
        <v>15</v>
      </c>
      <c r="E53" s="9">
        <v>7348000.0</v>
      </c>
      <c r="F53" s="9">
        <v>3192000.0</v>
      </c>
      <c r="G53" s="9">
        <v>3830000.0</v>
      </c>
      <c r="H53" s="9">
        <v>4596000.0</v>
      </c>
      <c r="I53" s="9">
        <v>5516000.0</v>
      </c>
      <c r="J53" s="9">
        <v>6619000.0</v>
      </c>
      <c r="K53" s="9">
        <v>5000000.0</v>
      </c>
    </row>
    <row r="54" ht="19.5" customHeight="1">
      <c r="A54" s="6">
        <v>53.0</v>
      </c>
      <c r="B54" s="8" t="s">
        <v>303</v>
      </c>
      <c r="C54" s="8" t="s">
        <v>200</v>
      </c>
      <c r="D54" s="10" t="s">
        <v>15</v>
      </c>
      <c r="E54" s="6">
        <v>7348000.0</v>
      </c>
      <c r="F54" s="6">
        <v>3192000.0</v>
      </c>
      <c r="G54" s="6">
        <v>3830000.0</v>
      </c>
      <c r="H54" s="6">
        <v>4596000.0</v>
      </c>
      <c r="I54" s="6">
        <v>5516000.0</v>
      </c>
      <c r="J54" s="6">
        <v>6619000.0</v>
      </c>
      <c r="K54" s="6">
        <v>5000000.0</v>
      </c>
    </row>
    <row r="55" ht="19.5" customHeight="1">
      <c r="A55" s="9">
        <v>54.0</v>
      </c>
      <c r="B55" s="11" t="s">
        <v>303</v>
      </c>
      <c r="C55" s="11" t="s">
        <v>204</v>
      </c>
      <c r="D55" s="13" t="s">
        <v>15</v>
      </c>
      <c r="E55" s="9">
        <v>7348000.0</v>
      </c>
      <c r="F55" s="9">
        <v>3192000.0</v>
      </c>
      <c r="G55" s="9">
        <v>3830000.0</v>
      </c>
      <c r="H55" s="9">
        <v>4596000.0</v>
      </c>
      <c r="I55" s="9">
        <v>5516000.0</v>
      </c>
      <c r="J55" s="9">
        <v>6619000.0</v>
      </c>
      <c r="K55" s="9">
        <v>5000000.0</v>
      </c>
    </row>
    <row r="56" ht="19.5" customHeight="1">
      <c r="A56" s="6">
        <v>55.0</v>
      </c>
      <c r="B56" s="8" t="s">
        <v>303</v>
      </c>
      <c r="C56" s="8" t="s">
        <v>203</v>
      </c>
      <c r="D56" s="10" t="s">
        <v>15</v>
      </c>
      <c r="E56" s="6">
        <v>7348000.0</v>
      </c>
      <c r="F56" s="6">
        <v>3192000.0</v>
      </c>
      <c r="G56" s="6">
        <v>3830000.0</v>
      </c>
      <c r="H56" s="6">
        <v>4596000.0</v>
      </c>
      <c r="I56" s="6">
        <v>5516000.0</v>
      </c>
      <c r="J56" s="6">
        <v>6619000.0</v>
      </c>
      <c r="K56" s="6">
        <v>5000000.0</v>
      </c>
    </row>
    <row r="57" ht="19.5" customHeight="1">
      <c r="A57" s="9">
        <v>56.0</v>
      </c>
      <c r="B57" s="11" t="s">
        <v>306</v>
      </c>
      <c r="C57" s="11" t="s">
        <v>214</v>
      </c>
      <c r="D57" s="13" t="s">
        <v>15</v>
      </c>
      <c r="E57" s="9">
        <v>1.1463E7</v>
      </c>
      <c r="F57" s="9">
        <v>4992000.0</v>
      </c>
      <c r="G57" s="9">
        <v>5990000.0</v>
      </c>
      <c r="H57" s="9">
        <v>7188000.0</v>
      </c>
      <c r="I57" s="9">
        <v>8626000.0</v>
      </c>
      <c r="J57" s="9">
        <v>1.0351E7</v>
      </c>
      <c r="K57" s="9">
        <v>6000000.0</v>
      </c>
    </row>
    <row r="58" ht="19.5" customHeight="1">
      <c r="A58" s="6">
        <v>57.0</v>
      </c>
      <c r="B58" s="8" t="s">
        <v>306</v>
      </c>
      <c r="C58" s="8" t="s">
        <v>307</v>
      </c>
      <c r="D58" s="10" t="s">
        <v>15</v>
      </c>
      <c r="E58" s="6">
        <v>1.0439E7</v>
      </c>
      <c r="F58" s="6">
        <v>5244000.0</v>
      </c>
      <c r="G58" s="6">
        <v>6293000.0</v>
      </c>
      <c r="H58" s="6">
        <v>7551000.0</v>
      </c>
      <c r="I58" s="6">
        <v>9062000.0</v>
      </c>
      <c r="J58" s="6">
        <v>1.0439E7</v>
      </c>
      <c r="K58" s="6">
        <v>6000000.0</v>
      </c>
    </row>
    <row r="59" ht="19.5" customHeight="1">
      <c r="A59" s="9">
        <v>58.0</v>
      </c>
      <c r="B59" s="11" t="s">
        <v>306</v>
      </c>
      <c r="C59" s="11" t="s">
        <v>218</v>
      </c>
      <c r="D59" s="13" t="s">
        <v>15</v>
      </c>
      <c r="E59" s="9">
        <v>1.1022E7</v>
      </c>
      <c r="F59" s="9">
        <v>6095000.0</v>
      </c>
      <c r="G59" s="9">
        <v>7400000.0</v>
      </c>
      <c r="H59" s="9">
        <v>8705000.0</v>
      </c>
      <c r="I59" s="9">
        <v>1.001E7</v>
      </c>
      <c r="J59" s="9">
        <v>1.1022E7</v>
      </c>
      <c r="K59" s="9">
        <v>6000000.0</v>
      </c>
    </row>
    <row r="60" ht="19.5" customHeight="1">
      <c r="A60" s="6">
        <v>59.0</v>
      </c>
      <c r="B60" s="8" t="s">
        <v>312</v>
      </c>
      <c r="C60" s="8" t="s">
        <v>220</v>
      </c>
      <c r="D60" s="10" t="s">
        <v>15</v>
      </c>
      <c r="E60" s="6">
        <v>2.6355E7</v>
      </c>
      <c r="F60" s="6">
        <v>7500000.0</v>
      </c>
      <c r="G60" s="6">
        <v>1.05E7</v>
      </c>
      <c r="H60" s="6">
        <v>1.35E7</v>
      </c>
      <c r="I60" s="6">
        <v>1.65E7</v>
      </c>
      <c r="J60" s="6">
        <v>1.95E7</v>
      </c>
      <c r="K60" s="6">
        <v>4.0E7</v>
      </c>
    </row>
    <row r="61" ht="19.5" customHeight="1">
      <c r="A61" s="9">
        <v>60.0</v>
      </c>
      <c r="B61" s="11" t="s">
        <v>314</v>
      </c>
      <c r="C61" s="11" t="s">
        <v>223</v>
      </c>
      <c r="D61" s="13" t="s">
        <v>15</v>
      </c>
      <c r="E61" s="9">
        <v>2.6355E7</v>
      </c>
      <c r="F61" s="9">
        <v>8000000.0</v>
      </c>
      <c r="G61" s="9">
        <v>1.1E7</v>
      </c>
      <c r="H61" s="9">
        <v>1.4E7</v>
      </c>
      <c r="I61" s="9">
        <v>1.7E7</v>
      </c>
      <c r="J61" s="9">
        <v>2.0E7</v>
      </c>
      <c r="K61" s="9">
        <v>2.5E8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34.13"/>
    <col customWidth="1" min="3" max="3" width="21.0"/>
    <col customWidth="1" min="4" max="6" width="10.5"/>
    <col customWidth="1" min="7" max="7" width="32.38"/>
    <col customWidth="1" min="8" max="8" width="29.75"/>
    <col customWidth="1" min="9" max="26" width="7.63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10</v>
      </c>
      <c r="F1" s="1" t="s">
        <v>11</v>
      </c>
      <c r="G1" s="1" t="s">
        <v>12</v>
      </c>
      <c r="H1" s="1" t="s">
        <v>13</v>
      </c>
    </row>
    <row r="2" ht="19.5" customHeight="1">
      <c r="A2" s="6">
        <v>1.0</v>
      </c>
      <c r="B2" s="8" t="s">
        <v>304</v>
      </c>
      <c r="C2" s="8" t="s">
        <v>14</v>
      </c>
      <c r="D2" s="10" t="s">
        <v>22</v>
      </c>
      <c r="E2" s="10" t="s">
        <v>24</v>
      </c>
      <c r="F2" s="10" t="s">
        <v>305</v>
      </c>
      <c r="G2" s="6">
        <v>2500000.0</v>
      </c>
      <c r="H2" s="6">
        <v>5000000.0</v>
      </c>
    </row>
    <row r="3" ht="19.5" customHeight="1">
      <c r="A3" s="9">
        <v>2.0</v>
      </c>
      <c r="B3" s="11" t="s">
        <v>304</v>
      </c>
      <c r="C3" s="11" t="s">
        <v>39</v>
      </c>
      <c r="D3" s="13" t="s">
        <v>22</v>
      </c>
      <c r="E3" s="13" t="s">
        <v>24</v>
      </c>
      <c r="F3" s="13" t="s">
        <v>305</v>
      </c>
      <c r="G3" s="9">
        <v>2500000.0</v>
      </c>
      <c r="H3" s="9">
        <v>5000000.0</v>
      </c>
    </row>
    <row r="4" ht="19.5" customHeight="1">
      <c r="A4" s="6">
        <v>3.0</v>
      </c>
      <c r="B4" s="8" t="s">
        <v>304</v>
      </c>
      <c r="C4" s="8" t="s">
        <v>51</v>
      </c>
      <c r="D4" s="10" t="s">
        <v>22</v>
      </c>
      <c r="E4" s="10" t="s">
        <v>24</v>
      </c>
      <c r="F4" s="10" t="s">
        <v>305</v>
      </c>
      <c r="G4" s="6">
        <v>2500000.0</v>
      </c>
      <c r="H4" s="6">
        <v>5000000.0</v>
      </c>
    </row>
    <row r="5" ht="19.5" customHeight="1">
      <c r="A5" s="9">
        <v>4.0</v>
      </c>
      <c r="B5" s="11" t="s">
        <v>304</v>
      </c>
      <c r="C5" s="11" t="s">
        <v>310</v>
      </c>
      <c r="D5" s="13" t="s">
        <v>22</v>
      </c>
      <c r="E5" s="13" t="s">
        <v>24</v>
      </c>
      <c r="F5" s="13" t="s">
        <v>305</v>
      </c>
      <c r="G5" s="9">
        <v>2500000.0</v>
      </c>
      <c r="H5" s="9">
        <v>5000000.0</v>
      </c>
    </row>
    <row r="6" ht="19.5" customHeight="1">
      <c r="A6" s="6">
        <v>5.0</v>
      </c>
      <c r="B6" s="8" t="s">
        <v>304</v>
      </c>
      <c r="C6" s="8" t="s">
        <v>311</v>
      </c>
      <c r="D6" s="10" t="s">
        <v>22</v>
      </c>
      <c r="E6" s="10" t="s">
        <v>24</v>
      </c>
      <c r="F6" s="10" t="s">
        <v>305</v>
      </c>
      <c r="G6" s="6">
        <v>2500000.0</v>
      </c>
      <c r="H6" s="6">
        <v>5000000.0</v>
      </c>
    </row>
    <row r="7" ht="19.5" customHeight="1">
      <c r="A7" s="9">
        <v>6.0</v>
      </c>
      <c r="B7" s="11" t="s">
        <v>313</v>
      </c>
      <c r="C7" s="11" t="s">
        <v>74</v>
      </c>
      <c r="D7" s="13" t="s">
        <v>22</v>
      </c>
      <c r="E7" s="13" t="s">
        <v>24</v>
      </c>
      <c r="F7" s="13" t="s">
        <v>305</v>
      </c>
      <c r="G7" s="9">
        <v>3500000.0</v>
      </c>
      <c r="H7" s="9">
        <v>7000000.0</v>
      </c>
    </row>
    <row r="8" ht="19.5" customHeight="1">
      <c r="A8" s="6">
        <v>7.0</v>
      </c>
      <c r="B8" s="8" t="s">
        <v>284</v>
      </c>
      <c r="C8" s="8" t="s">
        <v>88</v>
      </c>
      <c r="D8" s="10" t="s">
        <v>22</v>
      </c>
      <c r="E8" s="10" t="s">
        <v>24</v>
      </c>
      <c r="F8" s="10" t="s">
        <v>305</v>
      </c>
      <c r="G8" s="6">
        <v>2500000.0</v>
      </c>
      <c r="H8" s="6">
        <v>5000000.0</v>
      </c>
    </row>
    <row r="9" ht="19.5" customHeight="1">
      <c r="A9" s="9">
        <v>8.0</v>
      </c>
      <c r="B9" s="11" t="s">
        <v>284</v>
      </c>
      <c r="C9" s="11" t="s">
        <v>93</v>
      </c>
      <c r="D9" s="13" t="s">
        <v>22</v>
      </c>
      <c r="E9" s="13" t="s">
        <v>24</v>
      </c>
      <c r="F9" s="13" t="s">
        <v>305</v>
      </c>
      <c r="G9" s="9">
        <v>2500000.0</v>
      </c>
      <c r="H9" s="9">
        <v>5000000.0</v>
      </c>
    </row>
    <row r="10" ht="19.5" customHeight="1">
      <c r="A10" s="6">
        <v>9.0</v>
      </c>
      <c r="B10" s="8" t="s">
        <v>284</v>
      </c>
      <c r="C10" s="8" t="s">
        <v>101</v>
      </c>
      <c r="D10" s="10" t="s">
        <v>22</v>
      </c>
      <c r="E10" s="10" t="s">
        <v>24</v>
      </c>
      <c r="F10" s="10" t="s">
        <v>305</v>
      </c>
      <c r="G10" s="6">
        <v>2500000.0</v>
      </c>
      <c r="H10" s="6">
        <v>5000000.0</v>
      </c>
    </row>
    <row r="11" ht="19.5" customHeight="1">
      <c r="A11" s="9">
        <v>10.0</v>
      </c>
      <c r="B11" s="11" t="s">
        <v>287</v>
      </c>
      <c r="C11" s="11" t="s">
        <v>102</v>
      </c>
      <c r="D11" s="13" t="s">
        <v>22</v>
      </c>
      <c r="E11" s="13" t="s">
        <v>24</v>
      </c>
      <c r="F11" s="13" t="s">
        <v>305</v>
      </c>
      <c r="G11" s="9">
        <v>2500000.0</v>
      </c>
      <c r="H11" s="9">
        <v>5000000.0</v>
      </c>
    </row>
    <row r="12" ht="19.5" customHeight="1">
      <c r="A12" s="6">
        <v>11.0</v>
      </c>
      <c r="B12" s="8" t="s">
        <v>287</v>
      </c>
      <c r="C12" s="8" t="s">
        <v>129</v>
      </c>
      <c r="D12" s="10" t="s">
        <v>22</v>
      </c>
      <c r="E12" s="10" t="s">
        <v>24</v>
      </c>
      <c r="F12" s="10" t="s">
        <v>305</v>
      </c>
      <c r="G12" s="6">
        <v>2500000.0</v>
      </c>
      <c r="H12" s="6">
        <v>5000000.0</v>
      </c>
    </row>
    <row r="13" ht="19.5" customHeight="1">
      <c r="A13" s="9">
        <v>12.0</v>
      </c>
      <c r="B13" s="11" t="s">
        <v>281</v>
      </c>
      <c r="C13" s="11" t="s">
        <v>123</v>
      </c>
      <c r="D13" s="13" t="s">
        <v>22</v>
      </c>
      <c r="E13" s="13" t="s">
        <v>24</v>
      </c>
      <c r="F13" s="13" t="s">
        <v>305</v>
      </c>
      <c r="G13" s="9">
        <v>3000000.0</v>
      </c>
      <c r="H13" s="9">
        <v>6000000.0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34.13"/>
    <col customWidth="1" min="3" max="3" width="21.88"/>
    <col customWidth="1" min="4" max="6" width="10.5"/>
    <col customWidth="1" min="7" max="7" width="32.38"/>
    <col customWidth="1" min="8" max="8" width="29.75"/>
    <col customWidth="1" min="9" max="9" width="40.25"/>
    <col customWidth="1" min="10" max="26" width="7.63"/>
  </cols>
  <sheetData>
    <row r="1" ht="27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8</v>
      </c>
    </row>
    <row r="2" ht="19.5" customHeight="1">
      <c r="A2" s="6">
        <v>1.0</v>
      </c>
      <c r="B2" s="8" t="s">
        <v>304</v>
      </c>
      <c r="C2" s="8" t="s">
        <v>14</v>
      </c>
      <c r="D2" s="10" t="s">
        <v>22</v>
      </c>
      <c r="E2" s="10" t="s">
        <v>253</v>
      </c>
      <c r="F2" s="10" t="s">
        <v>305</v>
      </c>
      <c r="G2" s="6">
        <v>2500000.0</v>
      </c>
      <c r="H2" s="6">
        <v>5000000.0</v>
      </c>
      <c r="I2" s="6">
        <v>5000000.0</v>
      </c>
    </row>
    <row r="3" ht="19.5" customHeight="1">
      <c r="A3" s="9">
        <v>2.0</v>
      </c>
      <c r="B3" s="11" t="s">
        <v>304</v>
      </c>
      <c r="C3" s="11" t="s">
        <v>39</v>
      </c>
      <c r="D3" s="13" t="s">
        <v>22</v>
      </c>
      <c r="E3" s="13" t="s">
        <v>253</v>
      </c>
      <c r="F3" s="13" t="s">
        <v>305</v>
      </c>
      <c r="G3" s="9">
        <v>2500000.0</v>
      </c>
      <c r="H3" s="11" t="s">
        <v>327</v>
      </c>
      <c r="I3" s="9">
        <v>5000000.0</v>
      </c>
    </row>
    <row r="4" ht="19.5" customHeight="1">
      <c r="A4" s="6">
        <v>3.0</v>
      </c>
      <c r="B4" s="8" t="s">
        <v>304</v>
      </c>
      <c r="C4" s="8" t="s">
        <v>51</v>
      </c>
      <c r="D4" s="10" t="s">
        <v>22</v>
      </c>
      <c r="E4" s="10" t="s">
        <v>253</v>
      </c>
      <c r="F4" s="10" t="s">
        <v>305</v>
      </c>
      <c r="G4" s="6">
        <v>2500000.0</v>
      </c>
      <c r="H4" s="8" t="s">
        <v>327</v>
      </c>
      <c r="I4" s="6">
        <v>5000000.0</v>
      </c>
    </row>
    <row r="5" ht="19.5" customHeight="1">
      <c r="A5" s="9">
        <v>4.0</v>
      </c>
      <c r="B5" s="11" t="s">
        <v>304</v>
      </c>
      <c r="C5" s="11" t="s">
        <v>328</v>
      </c>
      <c r="D5" s="13" t="s">
        <v>22</v>
      </c>
      <c r="E5" s="13" t="s">
        <v>253</v>
      </c>
      <c r="F5" s="13" t="s">
        <v>305</v>
      </c>
      <c r="G5" s="9">
        <v>2500000.0</v>
      </c>
      <c r="H5" s="11" t="s">
        <v>327</v>
      </c>
      <c r="I5" s="9">
        <v>5000000.0</v>
      </c>
    </row>
    <row r="6" ht="19.5" customHeight="1">
      <c r="A6" s="6">
        <v>5.0</v>
      </c>
      <c r="B6" s="8" t="s">
        <v>304</v>
      </c>
      <c r="C6" s="8" t="s">
        <v>311</v>
      </c>
      <c r="D6" s="10" t="s">
        <v>22</v>
      </c>
      <c r="E6" s="10" t="s">
        <v>253</v>
      </c>
      <c r="F6" s="10" t="s">
        <v>305</v>
      </c>
      <c r="G6" s="6">
        <v>2500000.0</v>
      </c>
      <c r="H6" s="8" t="s">
        <v>327</v>
      </c>
      <c r="I6" s="6">
        <v>5000000.0</v>
      </c>
    </row>
    <row r="7" ht="19.5" customHeight="1">
      <c r="A7" s="9">
        <v>6.0</v>
      </c>
      <c r="B7" s="11" t="s">
        <v>313</v>
      </c>
      <c r="C7" s="11" t="s">
        <v>74</v>
      </c>
      <c r="D7" s="13" t="s">
        <v>22</v>
      </c>
      <c r="E7" s="13" t="s">
        <v>253</v>
      </c>
      <c r="F7" s="13" t="s">
        <v>305</v>
      </c>
      <c r="G7" s="9">
        <v>3500000.0</v>
      </c>
      <c r="H7" s="9">
        <v>7000000.0</v>
      </c>
      <c r="I7" s="11" t="s">
        <v>327</v>
      </c>
    </row>
    <row r="8" ht="19.5" customHeight="1">
      <c r="A8" s="6">
        <v>7.0</v>
      </c>
      <c r="B8" s="8" t="s">
        <v>284</v>
      </c>
      <c r="C8" s="8" t="s">
        <v>88</v>
      </c>
      <c r="D8" s="10" t="s">
        <v>22</v>
      </c>
      <c r="E8" s="10" t="s">
        <v>253</v>
      </c>
      <c r="F8" s="10" t="s">
        <v>305</v>
      </c>
      <c r="G8" s="6">
        <v>3500000.0</v>
      </c>
      <c r="H8" s="6">
        <v>7000000.0</v>
      </c>
      <c r="I8" s="8"/>
    </row>
    <row r="9" ht="19.5" customHeight="1">
      <c r="A9" s="9">
        <v>8.0</v>
      </c>
      <c r="B9" s="11" t="s">
        <v>284</v>
      </c>
      <c r="C9" s="11" t="s">
        <v>93</v>
      </c>
      <c r="D9" s="13" t="s">
        <v>22</v>
      </c>
      <c r="E9" s="13" t="s">
        <v>253</v>
      </c>
      <c r="F9" s="13" t="s">
        <v>305</v>
      </c>
      <c r="G9" s="9">
        <v>3500000.0</v>
      </c>
      <c r="H9" s="9">
        <v>7000000.0</v>
      </c>
      <c r="I9" s="11"/>
    </row>
    <row r="10" ht="19.5" customHeight="1">
      <c r="A10" s="6">
        <v>9.0</v>
      </c>
      <c r="B10" s="8" t="s">
        <v>284</v>
      </c>
      <c r="C10" s="8" t="s">
        <v>101</v>
      </c>
      <c r="D10" s="10" t="s">
        <v>22</v>
      </c>
      <c r="E10" s="10" t="s">
        <v>253</v>
      </c>
      <c r="F10" s="10" t="s">
        <v>305</v>
      </c>
      <c r="G10" s="6">
        <v>3500000.0</v>
      </c>
      <c r="H10" s="6">
        <v>7000000.0</v>
      </c>
      <c r="I10" s="8"/>
    </row>
    <row r="11" ht="19.5" customHeight="1">
      <c r="A11" s="9">
        <v>10.0</v>
      </c>
      <c r="B11" s="11" t="s">
        <v>287</v>
      </c>
      <c r="C11" s="11" t="s">
        <v>102</v>
      </c>
      <c r="D11" s="13" t="s">
        <v>22</v>
      </c>
      <c r="E11" s="13" t="s">
        <v>253</v>
      </c>
      <c r="F11" s="13" t="s">
        <v>305</v>
      </c>
      <c r="G11" s="9">
        <v>2500000.0</v>
      </c>
      <c r="H11" s="9">
        <v>5000000.0</v>
      </c>
      <c r="I11" s="11" t="s">
        <v>327</v>
      </c>
    </row>
    <row r="12" ht="19.5" customHeight="1">
      <c r="A12" s="6">
        <v>11.0</v>
      </c>
      <c r="B12" s="8" t="s">
        <v>287</v>
      </c>
      <c r="C12" s="8" t="s">
        <v>129</v>
      </c>
      <c r="D12" s="10" t="s">
        <v>22</v>
      </c>
      <c r="E12" s="10" t="s">
        <v>253</v>
      </c>
      <c r="F12" s="10" t="s">
        <v>305</v>
      </c>
      <c r="G12" s="6">
        <v>2500000.0</v>
      </c>
      <c r="H12" s="6">
        <v>5000000.0</v>
      </c>
      <c r="I12" s="8" t="s">
        <v>327</v>
      </c>
    </row>
    <row r="13" ht="19.5" customHeight="1">
      <c r="A13" s="9">
        <v>12.0</v>
      </c>
      <c r="B13" s="11" t="s">
        <v>281</v>
      </c>
      <c r="C13" s="11" t="s">
        <v>123</v>
      </c>
      <c r="D13" s="13" t="s">
        <v>22</v>
      </c>
      <c r="E13" s="13" t="s">
        <v>253</v>
      </c>
      <c r="F13" s="13" t="s">
        <v>305</v>
      </c>
      <c r="G13" s="9">
        <v>3000000.0</v>
      </c>
      <c r="H13" s="9">
        <v>6000000.0</v>
      </c>
      <c r="I13" s="9">
        <v>2000000.0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39.38"/>
    <col customWidth="1" min="3" max="3" width="10.5"/>
    <col customWidth="1" min="4" max="4" width="21.0"/>
    <col customWidth="1" min="5" max="5" width="19.25"/>
    <col customWidth="1" min="6" max="6" width="20.13"/>
    <col customWidth="1" min="7" max="7" width="21.0"/>
    <col customWidth="1" min="8" max="8" width="20.13"/>
    <col customWidth="1" min="9" max="9" width="19.25"/>
    <col customWidth="1" min="10" max="10" width="20.13"/>
    <col customWidth="1" min="11" max="11" width="21.0"/>
    <col customWidth="1" min="12" max="12" width="21.88"/>
    <col customWidth="1" min="13" max="23" width="7.63"/>
  </cols>
  <sheetData>
    <row r="1" ht="27.75" customHeight="1">
      <c r="A1" s="2" t="s">
        <v>0</v>
      </c>
      <c r="B1" s="2" t="s">
        <v>2</v>
      </c>
      <c r="C1" s="2" t="s">
        <v>3</v>
      </c>
      <c r="D1" s="2" t="s">
        <v>4</v>
      </c>
      <c r="E1" s="2" t="s">
        <v>16</v>
      </c>
      <c r="F1" s="2" t="s">
        <v>17</v>
      </c>
      <c r="G1" s="2" t="s">
        <v>18</v>
      </c>
      <c r="H1" s="2" t="s">
        <v>5</v>
      </c>
      <c r="I1" s="2" t="s">
        <v>6</v>
      </c>
      <c r="J1" s="2" t="s">
        <v>7</v>
      </c>
      <c r="K1" s="2" t="s">
        <v>274</v>
      </c>
      <c r="L1" s="2" t="s">
        <v>275</v>
      </c>
    </row>
    <row r="2" ht="19.5" customHeight="1">
      <c r="A2" s="6">
        <v>1.0</v>
      </c>
      <c r="B2" s="8" t="s">
        <v>106</v>
      </c>
      <c r="C2" s="10" t="s">
        <v>15</v>
      </c>
      <c r="D2" s="6">
        <v>1.4708E7</v>
      </c>
      <c r="E2" s="6">
        <v>500000.0</v>
      </c>
      <c r="F2" s="6">
        <v>1000000.0</v>
      </c>
      <c r="G2" s="6">
        <v>4160000.0</v>
      </c>
      <c r="H2" s="6">
        <v>4992000.0</v>
      </c>
      <c r="I2" s="6">
        <v>5990000.0</v>
      </c>
      <c r="J2" s="6">
        <v>7188000.0</v>
      </c>
      <c r="K2" s="6">
        <v>8626000.0</v>
      </c>
      <c r="L2" s="6">
        <v>1.0351E7</v>
      </c>
    </row>
    <row r="3" ht="19.5" customHeight="1">
      <c r="A3" s="9">
        <v>2.0</v>
      </c>
      <c r="B3" s="11" t="s">
        <v>14</v>
      </c>
      <c r="C3" s="13" t="s">
        <v>15</v>
      </c>
      <c r="D3" s="9">
        <v>1.5348E7</v>
      </c>
      <c r="E3" s="9">
        <v>500000.0</v>
      </c>
      <c r="F3" s="9">
        <v>1000000.0</v>
      </c>
      <c r="G3" s="9">
        <v>2980000.0</v>
      </c>
      <c r="H3" s="9">
        <v>3576000.0</v>
      </c>
      <c r="I3" s="9">
        <v>4291000.0</v>
      </c>
      <c r="J3" s="9">
        <v>5149000.0</v>
      </c>
      <c r="K3" s="9">
        <v>6179000.0</v>
      </c>
      <c r="L3" s="9">
        <v>7415000.0</v>
      </c>
    </row>
    <row r="4" ht="19.5" customHeight="1">
      <c r="A4" s="6">
        <v>3.0</v>
      </c>
      <c r="B4" s="8" t="s">
        <v>331</v>
      </c>
      <c r="C4" s="10" t="s">
        <v>15</v>
      </c>
      <c r="D4" s="6">
        <v>1.3398E7</v>
      </c>
      <c r="E4" s="6">
        <v>500000.0</v>
      </c>
      <c r="F4" s="6">
        <v>1000000.0</v>
      </c>
      <c r="G4" s="6">
        <v>4440000.0</v>
      </c>
      <c r="H4" s="6">
        <v>5328000.0</v>
      </c>
      <c r="I4" s="6">
        <v>6394000.0</v>
      </c>
      <c r="J4" s="6">
        <v>7672000.0</v>
      </c>
      <c r="K4" s="6">
        <v>9207000.0</v>
      </c>
      <c r="L4" s="6">
        <v>1.1048E7</v>
      </c>
    </row>
    <row r="5" ht="19.5" customHeight="1">
      <c r="A5" s="9">
        <v>4.0</v>
      </c>
      <c r="B5" s="11" t="s">
        <v>138</v>
      </c>
      <c r="C5" s="13" t="s">
        <v>15</v>
      </c>
      <c r="D5" s="9">
        <v>8237000.0</v>
      </c>
      <c r="E5" s="9">
        <v>500000.0</v>
      </c>
      <c r="F5" s="9">
        <v>1000000.0</v>
      </c>
      <c r="G5" s="9">
        <v>2660000.0</v>
      </c>
      <c r="H5" s="9">
        <v>3192000.0</v>
      </c>
      <c r="I5" s="9">
        <v>3830000.0</v>
      </c>
      <c r="J5" s="11" t="s">
        <v>332</v>
      </c>
      <c r="K5" s="9">
        <v>5516000.0</v>
      </c>
      <c r="L5" s="9">
        <v>6619000.0</v>
      </c>
    </row>
    <row r="6" ht="19.5" customHeight="1">
      <c r="A6" s="6">
        <v>5.0</v>
      </c>
      <c r="B6" s="8" t="s">
        <v>187</v>
      </c>
      <c r="C6" s="10" t="s">
        <v>15</v>
      </c>
      <c r="D6" s="6">
        <v>1.398E7</v>
      </c>
      <c r="E6" s="6">
        <v>500000.0</v>
      </c>
      <c r="F6" s="6">
        <v>1000000.0</v>
      </c>
      <c r="G6" s="6">
        <v>4430000.0</v>
      </c>
      <c r="H6" s="6">
        <v>5316000.0</v>
      </c>
      <c r="I6" s="6">
        <v>6379000.0</v>
      </c>
      <c r="J6" s="6">
        <v>7655000.0</v>
      </c>
      <c r="K6" s="6">
        <v>9186000.0</v>
      </c>
      <c r="L6" s="6">
        <v>1.1023E7</v>
      </c>
    </row>
    <row r="7" ht="19.5" customHeight="1">
      <c r="A7" s="9">
        <v>6.0</v>
      </c>
      <c r="B7" s="11" t="s">
        <v>213</v>
      </c>
      <c r="C7" s="13" t="s">
        <v>15</v>
      </c>
      <c r="D7" s="9">
        <v>1.3398E7</v>
      </c>
      <c r="E7" s="9">
        <v>500000.0</v>
      </c>
      <c r="F7" s="9">
        <v>1000000.0</v>
      </c>
      <c r="G7" s="9">
        <v>4370000.0</v>
      </c>
      <c r="H7" s="9">
        <v>5244000.0</v>
      </c>
      <c r="I7" s="9">
        <v>6293000.0</v>
      </c>
      <c r="J7" s="9">
        <v>7551000.0</v>
      </c>
      <c r="K7" s="9">
        <v>9062000.0</v>
      </c>
      <c r="L7" s="9">
        <v>1.0439E7</v>
      </c>
    </row>
    <row r="8" ht="19.5" customHeight="1">
      <c r="A8" s="6">
        <v>7.0</v>
      </c>
      <c r="B8" s="8" t="s">
        <v>335</v>
      </c>
      <c r="C8" s="10" t="s">
        <v>15</v>
      </c>
      <c r="D8" s="6">
        <v>1.398E7</v>
      </c>
      <c r="E8" s="6">
        <v>500000.0</v>
      </c>
      <c r="F8" s="6">
        <v>1000000.0</v>
      </c>
      <c r="G8" s="6">
        <v>2660000.0</v>
      </c>
      <c r="H8" s="6">
        <v>3192000.0</v>
      </c>
      <c r="I8" s="6">
        <v>3830000.0</v>
      </c>
      <c r="J8" s="6">
        <v>4596000.0</v>
      </c>
      <c r="K8" s="6">
        <v>5516000.0</v>
      </c>
      <c r="L8" s="6">
        <v>6619000.0</v>
      </c>
    </row>
    <row r="9" ht="19.5" customHeight="1">
      <c r="A9" s="9">
        <v>8.0</v>
      </c>
      <c r="B9" s="11" t="s">
        <v>33</v>
      </c>
      <c r="C9" s="13" t="s">
        <v>15</v>
      </c>
      <c r="D9" s="9">
        <v>1.398E7</v>
      </c>
      <c r="E9" s="9">
        <v>500000.0</v>
      </c>
      <c r="F9" s="9">
        <v>1000000.0</v>
      </c>
      <c r="G9" s="9">
        <v>2770000.0</v>
      </c>
      <c r="H9" s="9">
        <v>3324000.0</v>
      </c>
      <c r="I9" s="9">
        <v>3989000.0</v>
      </c>
      <c r="J9" s="9">
        <v>4787000.0</v>
      </c>
      <c r="K9" s="9">
        <v>5744000.0</v>
      </c>
      <c r="L9" s="9">
        <v>6893000.0</v>
      </c>
    </row>
    <row r="10" ht="19.5" customHeight="1">
      <c r="A10" s="6">
        <v>9.0</v>
      </c>
      <c r="B10" s="8" t="s">
        <v>336</v>
      </c>
      <c r="C10" s="10" t="s">
        <v>15</v>
      </c>
      <c r="D10" s="6">
        <v>1.7412E7</v>
      </c>
      <c r="E10" s="6">
        <v>500000.0</v>
      </c>
      <c r="F10" s="6">
        <v>1000000.0</v>
      </c>
      <c r="G10" s="6">
        <v>4500000.0</v>
      </c>
      <c r="H10" s="6">
        <v>7500000.0</v>
      </c>
      <c r="I10" s="6">
        <v>1.05E7</v>
      </c>
      <c r="J10" s="6">
        <v>1.35E7</v>
      </c>
      <c r="K10" s="6">
        <v>1.65E7</v>
      </c>
      <c r="L10" s="6">
        <v>19500.0</v>
      </c>
    </row>
    <row r="11" ht="19.5" customHeight="1">
      <c r="A11" s="9">
        <v>10.0</v>
      </c>
      <c r="B11" s="11" t="s">
        <v>337</v>
      </c>
      <c r="C11" s="13" t="s">
        <v>15</v>
      </c>
      <c r="D11" s="9">
        <v>1.398E7</v>
      </c>
      <c r="E11" s="9">
        <v>500000.0</v>
      </c>
      <c r="F11" s="9">
        <v>500000.0</v>
      </c>
      <c r="G11" s="9">
        <v>1000000.0</v>
      </c>
      <c r="H11" s="9">
        <v>1000000.0</v>
      </c>
      <c r="I11" s="9">
        <v>2770000.0</v>
      </c>
      <c r="J11" s="9">
        <v>4430000.0</v>
      </c>
      <c r="K11" s="9">
        <v>5316000.0</v>
      </c>
      <c r="L11" s="9">
        <v>3324000.0</v>
      </c>
    </row>
    <row r="12" ht="19.5" customHeight="1">
      <c r="A12" s="6">
        <v>11.0</v>
      </c>
      <c r="B12" s="8" t="s">
        <v>338</v>
      </c>
      <c r="C12" s="10" t="s">
        <v>15</v>
      </c>
      <c r="D12" s="6">
        <v>1.3398E7</v>
      </c>
      <c r="E12" s="6">
        <v>500000.0</v>
      </c>
      <c r="F12" s="6">
        <v>1000000.0</v>
      </c>
      <c r="G12" s="6">
        <v>4160000.0</v>
      </c>
      <c r="H12" s="6">
        <v>4992000.0</v>
      </c>
      <c r="I12" s="6">
        <v>5990000.0</v>
      </c>
      <c r="J12" s="6">
        <v>7188000.0</v>
      </c>
      <c r="K12" s="6">
        <v>8626000.0</v>
      </c>
      <c r="L12" s="6">
        <v>10351.0</v>
      </c>
    </row>
    <row r="13" ht="19.5" customHeight="1">
      <c r="A13" s="9">
        <v>12.0</v>
      </c>
      <c r="B13" s="11" t="s">
        <v>339</v>
      </c>
      <c r="C13" s="13" t="s">
        <v>15</v>
      </c>
      <c r="D13" s="9">
        <v>1.5348E7</v>
      </c>
      <c r="E13" s="9">
        <v>500000.0</v>
      </c>
      <c r="F13" s="9">
        <v>1000000.0</v>
      </c>
      <c r="G13" s="9">
        <v>4500000.0</v>
      </c>
      <c r="H13" s="9">
        <v>7500000.0</v>
      </c>
      <c r="I13" s="9">
        <v>1.05E7</v>
      </c>
      <c r="J13" s="9">
        <v>1.35E7</v>
      </c>
      <c r="K13" s="9">
        <v>1.65E7</v>
      </c>
      <c r="L13" s="9">
        <v>19500.0</v>
      </c>
    </row>
    <row r="14" ht="19.5" customHeight="1">
      <c r="A14" s="6">
        <v>13.0</v>
      </c>
      <c r="B14" s="8" t="s">
        <v>340</v>
      </c>
      <c r="C14" s="10" t="s">
        <v>15</v>
      </c>
      <c r="D14" s="6">
        <v>9050000.0</v>
      </c>
      <c r="E14" s="6">
        <v>500000.0</v>
      </c>
      <c r="F14" s="6">
        <v>1000000.0</v>
      </c>
      <c r="G14" s="6">
        <v>2660000.0</v>
      </c>
      <c r="H14" s="6">
        <v>3192000.0</v>
      </c>
      <c r="I14" s="6">
        <v>3830000.0</v>
      </c>
      <c r="J14" s="6">
        <v>4596000.0</v>
      </c>
      <c r="K14" s="6">
        <v>5516000.0</v>
      </c>
      <c r="L14" s="6">
        <v>6619000.0</v>
      </c>
    </row>
    <row r="15" ht="19.5" customHeight="1">
      <c r="A15" s="9">
        <v>14.0</v>
      </c>
      <c r="B15" s="11" t="s">
        <v>341</v>
      </c>
      <c r="C15" s="13" t="s">
        <v>15</v>
      </c>
      <c r="D15" s="9">
        <v>8237000.0</v>
      </c>
      <c r="E15" s="9">
        <v>500000.0</v>
      </c>
      <c r="F15" s="9">
        <v>1000000.0</v>
      </c>
      <c r="G15" s="9">
        <v>2660000.0</v>
      </c>
      <c r="H15" s="9">
        <v>3192000.0</v>
      </c>
      <c r="I15" s="9">
        <v>3192000.0</v>
      </c>
      <c r="J15" s="9">
        <v>3830000.0</v>
      </c>
      <c r="K15" s="9">
        <v>4596000.0</v>
      </c>
      <c r="L15" s="9">
        <v>4596000.0</v>
      </c>
    </row>
    <row r="16" ht="19.5" customHeight="1">
      <c r="A16" s="6">
        <v>15.0</v>
      </c>
      <c r="B16" s="8" t="s">
        <v>115</v>
      </c>
      <c r="C16" s="10" t="s">
        <v>15</v>
      </c>
      <c r="D16" s="6">
        <v>1.4708E7</v>
      </c>
      <c r="E16" s="6">
        <v>500000.0</v>
      </c>
      <c r="F16" s="6">
        <v>500000.0</v>
      </c>
      <c r="G16" s="6">
        <v>1000000.0</v>
      </c>
      <c r="H16" s="6">
        <v>1000000.0</v>
      </c>
      <c r="I16" s="6">
        <v>1000000.0</v>
      </c>
      <c r="J16" s="6">
        <v>2660000.0</v>
      </c>
      <c r="K16" s="6">
        <v>3940000.0</v>
      </c>
      <c r="L16" s="6">
        <v>4000000.0</v>
      </c>
    </row>
    <row r="17" ht="19.5" customHeight="1">
      <c r="A17" s="9">
        <v>16.0</v>
      </c>
      <c r="B17" s="11" t="s">
        <v>342</v>
      </c>
      <c r="C17" s="13" t="s">
        <v>15</v>
      </c>
      <c r="D17" s="9">
        <v>1.398E7</v>
      </c>
      <c r="E17" s="9">
        <v>500000.0</v>
      </c>
      <c r="F17" s="9">
        <v>500000.0</v>
      </c>
      <c r="G17" s="9">
        <v>1000000.0</v>
      </c>
      <c r="H17" s="9">
        <v>4430000.0</v>
      </c>
      <c r="I17" s="9">
        <v>5316000.0</v>
      </c>
      <c r="J17" s="9">
        <v>6379000.0</v>
      </c>
      <c r="K17" s="9">
        <v>7655000.0</v>
      </c>
      <c r="L17" s="9">
        <v>9186000.0</v>
      </c>
    </row>
    <row r="18" ht="19.5" customHeight="1">
      <c r="A18" s="6">
        <v>17.0</v>
      </c>
      <c r="B18" s="8" t="s">
        <v>37</v>
      </c>
      <c r="C18" s="10" t="s">
        <v>15</v>
      </c>
      <c r="D18" s="6">
        <v>1.398E7</v>
      </c>
      <c r="E18" s="6">
        <v>500000.0</v>
      </c>
      <c r="F18" s="6">
        <v>1000000.0</v>
      </c>
      <c r="G18" s="6">
        <v>2770000.0</v>
      </c>
      <c r="H18" s="6">
        <v>3324000.0</v>
      </c>
      <c r="I18" s="6">
        <v>3989000.0</v>
      </c>
      <c r="J18" s="6">
        <v>4787000.0</v>
      </c>
      <c r="K18" s="6">
        <v>5744000.0</v>
      </c>
      <c r="L18" s="6">
        <v>6893000.0</v>
      </c>
    </row>
    <row r="19" ht="19.5" customHeight="1">
      <c r="A19" s="9">
        <v>18.0</v>
      </c>
      <c r="B19" s="11" t="s">
        <v>195</v>
      </c>
      <c r="C19" s="13" t="s">
        <v>15</v>
      </c>
      <c r="D19" s="9">
        <v>1.398E7</v>
      </c>
      <c r="E19" s="9">
        <v>500000.0</v>
      </c>
      <c r="F19" s="9">
        <v>1000000.0</v>
      </c>
      <c r="G19" s="9">
        <v>3940000.0</v>
      </c>
      <c r="H19" s="9">
        <v>4728000.0</v>
      </c>
      <c r="I19" s="9">
        <v>5674000.0</v>
      </c>
      <c r="J19" s="9">
        <v>6808000.0</v>
      </c>
      <c r="K19" s="9">
        <v>8170000.0</v>
      </c>
      <c r="L19" s="9">
        <v>9804000.0</v>
      </c>
    </row>
    <row r="20" ht="19.5" customHeight="1">
      <c r="A20" s="6">
        <v>19.0</v>
      </c>
      <c r="B20" s="8" t="s">
        <v>345</v>
      </c>
      <c r="C20" s="10" t="s">
        <v>15</v>
      </c>
      <c r="D20" s="6">
        <v>1.3398E7</v>
      </c>
      <c r="E20" s="6">
        <v>500000.0</v>
      </c>
      <c r="F20" s="6">
        <v>1000000.0</v>
      </c>
      <c r="G20" s="6">
        <v>4790000.0</v>
      </c>
      <c r="H20" s="6">
        <v>6093000.0</v>
      </c>
      <c r="I20" s="6">
        <v>7400000.0</v>
      </c>
      <c r="J20" s="6">
        <v>705000.0</v>
      </c>
      <c r="K20" s="6">
        <v>1.001E7</v>
      </c>
      <c r="L20" s="6">
        <v>1.1022E7</v>
      </c>
    </row>
    <row r="21" ht="19.5" customHeight="1">
      <c r="A21" s="9">
        <v>20.0</v>
      </c>
      <c r="B21" s="11" t="s">
        <v>291</v>
      </c>
      <c r="C21" s="13" t="s">
        <v>15</v>
      </c>
      <c r="D21" s="9">
        <v>8595000.0</v>
      </c>
      <c r="E21" s="9">
        <v>500000.0</v>
      </c>
      <c r="F21" s="9">
        <v>1000000.0</v>
      </c>
      <c r="G21" s="9">
        <v>2660000.0</v>
      </c>
      <c r="H21" s="9">
        <v>3192000.0</v>
      </c>
      <c r="I21" s="9">
        <v>3830000.0</v>
      </c>
      <c r="J21" s="9">
        <v>4596000.0</v>
      </c>
      <c r="K21" s="9">
        <v>5516000.0</v>
      </c>
      <c r="L21" s="9">
        <v>19000.0</v>
      </c>
    </row>
    <row r="22" ht="19.5" customHeight="1">
      <c r="A22" s="6">
        <v>21.0</v>
      </c>
      <c r="B22" s="8" t="s">
        <v>346</v>
      </c>
      <c r="C22" s="10" t="s">
        <v>15</v>
      </c>
      <c r="D22" s="6">
        <v>3.8309E7</v>
      </c>
      <c r="E22" s="6">
        <v>500000.0</v>
      </c>
      <c r="F22" s="6">
        <v>500000.0</v>
      </c>
      <c r="G22" s="6">
        <v>1000000.0</v>
      </c>
      <c r="H22" s="6">
        <v>1000000.0</v>
      </c>
      <c r="I22" s="6">
        <v>3940000.0</v>
      </c>
      <c r="J22" s="6">
        <v>5500000.0</v>
      </c>
      <c r="K22" s="6">
        <v>8500000.0</v>
      </c>
      <c r="L22" s="6">
        <v>4728000.0</v>
      </c>
    </row>
    <row r="23" ht="19.5" customHeight="1">
      <c r="A23" s="9">
        <v>22.0</v>
      </c>
      <c r="B23" s="11" t="s">
        <v>223</v>
      </c>
      <c r="C23" s="13" t="s">
        <v>15</v>
      </c>
      <c r="D23" s="9">
        <v>3.8309E7</v>
      </c>
      <c r="E23" s="9">
        <v>500000.0</v>
      </c>
      <c r="F23" s="9">
        <v>1000000.0</v>
      </c>
      <c r="G23" s="9">
        <v>5000000.0</v>
      </c>
      <c r="H23" s="9">
        <v>8000000.0</v>
      </c>
      <c r="I23" s="9">
        <v>1.1E7</v>
      </c>
      <c r="J23" s="9">
        <v>1.4E7</v>
      </c>
      <c r="K23" s="9">
        <v>1.7E7</v>
      </c>
      <c r="L23" s="9">
        <v>2.0E7</v>
      </c>
    </row>
    <row r="24" ht="19.5" customHeight="1">
      <c r="A24" s="6">
        <v>23.0</v>
      </c>
      <c r="B24" s="8" t="s">
        <v>347</v>
      </c>
      <c r="C24" s="10" t="s">
        <v>15</v>
      </c>
      <c r="D24" s="6">
        <v>8595000.0</v>
      </c>
      <c r="E24" s="6">
        <v>500000.0</v>
      </c>
      <c r="F24" s="6">
        <v>1000000.0</v>
      </c>
      <c r="G24" s="6">
        <v>2660000.0</v>
      </c>
      <c r="H24" s="6">
        <v>3192000.0</v>
      </c>
      <c r="I24" s="6">
        <v>3830000.0</v>
      </c>
      <c r="J24" s="6">
        <v>4596000.0</v>
      </c>
      <c r="K24" s="6">
        <v>5516000.0</v>
      </c>
      <c r="L24" s="6">
        <v>6619000.0</v>
      </c>
    </row>
    <row r="25" ht="19.5" customHeight="1">
      <c r="A25" s="9">
        <v>24.0</v>
      </c>
      <c r="B25" s="11" t="s">
        <v>348</v>
      </c>
      <c r="C25" s="13" t="s">
        <v>15</v>
      </c>
      <c r="D25" s="9">
        <v>1.398E7</v>
      </c>
      <c r="E25" s="9">
        <v>500000.0</v>
      </c>
      <c r="F25" s="9">
        <v>1000000.0</v>
      </c>
      <c r="G25" s="9">
        <v>4160000.0</v>
      </c>
      <c r="H25" s="9">
        <v>4992000.0</v>
      </c>
      <c r="I25" s="9">
        <v>5990000.0</v>
      </c>
      <c r="J25" s="9">
        <v>7188000.0</v>
      </c>
      <c r="K25" s="9">
        <v>8626000.0</v>
      </c>
      <c r="L25" s="9">
        <v>1.0351E7</v>
      </c>
    </row>
    <row r="26" ht="19.5" customHeight="1">
      <c r="A26" s="6">
        <v>25.0</v>
      </c>
      <c r="B26" s="8" t="s">
        <v>349</v>
      </c>
      <c r="C26" s="10" t="s">
        <v>15</v>
      </c>
      <c r="D26" s="6">
        <v>6809000.0</v>
      </c>
      <c r="E26" s="6">
        <v>500000.0</v>
      </c>
      <c r="F26" s="6">
        <v>1000000.0</v>
      </c>
      <c r="G26" s="6">
        <v>3060000.0</v>
      </c>
      <c r="H26" s="6">
        <v>3672000.0</v>
      </c>
      <c r="I26" s="6">
        <v>4406000.0</v>
      </c>
      <c r="J26" s="6">
        <v>5288000.0</v>
      </c>
      <c r="K26" s="8"/>
      <c r="L26" s="8"/>
    </row>
    <row r="27" ht="19.5" customHeight="1">
      <c r="A27" s="9">
        <v>26.0</v>
      </c>
      <c r="B27" s="11" t="s">
        <v>350</v>
      </c>
      <c r="C27" s="13" t="s">
        <v>15</v>
      </c>
      <c r="D27" s="9">
        <v>8237000.0</v>
      </c>
      <c r="E27" s="9">
        <v>500000.0</v>
      </c>
      <c r="F27" s="9">
        <v>1000000.0</v>
      </c>
      <c r="G27" s="9">
        <v>3460000.0</v>
      </c>
      <c r="H27" s="9">
        <v>4982000.0</v>
      </c>
      <c r="I27" s="9">
        <v>5979000.0</v>
      </c>
      <c r="J27" s="9">
        <v>7175000.0</v>
      </c>
      <c r="K27" s="9">
        <v>8610000.0</v>
      </c>
      <c r="L27" s="11"/>
    </row>
    <row r="28" ht="19.5" customHeight="1">
      <c r="A28" s="6">
        <v>27.0</v>
      </c>
      <c r="B28" s="8" t="s">
        <v>297</v>
      </c>
      <c r="C28" s="10" t="s">
        <v>15</v>
      </c>
      <c r="D28" s="6">
        <v>1.3398E7</v>
      </c>
      <c r="E28" s="6">
        <v>500000.0</v>
      </c>
      <c r="F28" s="6">
        <v>1000000.0</v>
      </c>
      <c r="G28" s="6">
        <v>3460000.0</v>
      </c>
      <c r="H28" s="6">
        <v>4152000.0</v>
      </c>
      <c r="I28" s="6">
        <v>4982000.0</v>
      </c>
      <c r="J28" s="6">
        <v>5979000.0</v>
      </c>
      <c r="K28" s="6">
        <v>7175000.0</v>
      </c>
      <c r="L28" s="6">
        <v>8610000.0</v>
      </c>
    </row>
    <row r="29" ht="19.5" customHeight="1">
      <c r="A29" s="9">
        <v>28.0</v>
      </c>
      <c r="B29" s="11" t="s">
        <v>353</v>
      </c>
      <c r="C29" s="13" t="s">
        <v>15</v>
      </c>
      <c r="D29" s="9">
        <v>1.393E7</v>
      </c>
      <c r="E29" s="9">
        <v>500000.0</v>
      </c>
      <c r="F29" s="9">
        <v>1000000.0</v>
      </c>
      <c r="G29" s="9">
        <v>4430000.0</v>
      </c>
      <c r="H29" s="9">
        <v>5316000.0</v>
      </c>
      <c r="I29" s="9">
        <v>6379000.0</v>
      </c>
      <c r="J29" s="9">
        <v>7655000.0</v>
      </c>
      <c r="K29" s="9">
        <v>9186000.0</v>
      </c>
      <c r="L29" s="9">
        <v>1.1023E7</v>
      </c>
    </row>
    <row r="30" ht="19.5" customHeight="1">
      <c r="A30" s="6">
        <v>29.0</v>
      </c>
      <c r="B30" s="8" t="s">
        <v>354</v>
      </c>
      <c r="C30" s="10" t="s">
        <v>15</v>
      </c>
      <c r="D30" s="6">
        <v>1.398E7</v>
      </c>
      <c r="E30" s="6">
        <v>500000.0</v>
      </c>
      <c r="F30" s="6">
        <v>1000000.0</v>
      </c>
      <c r="G30" s="6">
        <v>4160000.0</v>
      </c>
      <c r="H30" s="6">
        <v>4992000.0</v>
      </c>
      <c r="I30" s="6">
        <v>5990000.0</v>
      </c>
      <c r="J30" s="6">
        <v>7188000.0</v>
      </c>
      <c r="K30" s="6">
        <v>8626000.0</v>
      </c>
      <c r="L30" s="6">
        <v>1.0351E7</v>
      </c>
    </row>
    <row r="31" ht="19.5" customHeight="1">
      <c r="A31" s="9">
        <v>30.0</v>
      </c>
      <c r="B31" s="11" t="s">
        <v>172</v>
      </c>
      <c r="C31" s="13" t="s">
        <v>15</v>
      </c>
      <c r="D31" s="9">
        <v>1.398E7</v>
      </c>
      <c r="E31" s="9">
        <v>500000.0</v>
      </c>
      <c r="F31" s="9">
        <v>1000000.0</v>
      </c>
      <c r="G31" s="9">
        <v>4160000.0</v>
      </c>
      <c r="H31" s="9">
        <v>4992000.0</v>
      </c>
      <c r="I31" s="9">
        <v>5990000.0</v>
      </c>
      <c r="J31" s="9">
        <v>7188000.0</v>
      </c>
      <c r="K31" s="9">
        <v>8626000.0</v>
      </c>
      <c r="L31" s="9">
        <v>1.0351E7</v>
      </c>
    </row>
    <row r="32" ht="19.5" customHeight="1">
      <c r="A32" s="6">
        <v>31.0</v>
      </c>
      <c r="B32" s="8" t="s">
        <v>173</v>
      </c>
      <c r="C32" s="10" t="s">
        <v>15</v>
      </c>
      <c r="D32" s="6">
        <v>1.3398E7</v>
      </c>
      <c r="E32" s="6">
        <v>500000.0</v>
      </c>
      <c r="F32" s="6">
        <v>1000000.0</v>
      </c>
      <c r="G32" s="6">
        <v>3780000.0</v>
      </c>
      <c r="H32" s="6">
        <v>4536000.0</v>
      </c>
      <c r="I32" s="6">
        <v>5443000.0</v>
      </c>
      <c r="J32" s="6">
        <v>6532000.0</v>
      </c>
      <c r="K32" s="6">
        <v>7838000.0</v>
      </c>
      <c r="L32" s="6">
        <v>9406000.0</v>
      </c>
    </row>
    <row r="33" ht="19.5" customHeight="1">
      <c r="A33" s="9">
        <v>32.0</v>
      </c>
      <c r="B33" s="11" t="s">
        <v>355</v>
      </c>
      <c r="C33" s="13" t="s">
        <v>15</v>
      </c>
      <c r="D33" s="9">
        <v>8595000.0</v>
      </c>
      <c r="E33" s="9">
        <v>500000.0</v>
      </c>
      <c r="F33" s="9">
        <v>1000000.0</v>
      </c>
      <c r="G33" s="9">
        <v>2770000.0</v>
      </c>
      <c r="H33" s="9">
        <v>3324000.0</v>
      </c>
      <c r="I33" s="9">
        <v>3989000.0</v>
      </c>
      <c r="J33" s="9">
        <v>4787000.0</v>
      </c>
      <c r="K33" s="9">
        <v>5744000.0</v>
      </c>
      <c r="L33" s="9">
        <v>6893000.0</v>
      </c>
    </row>
    <row r="34" ht="19.5" customHeight="1">
      <c r="A34" s="6">
        <v>33.0</v>
      </c>
      <c r="B34" s="8" t="s">
        <v>178</v>
      </c>
      <c r="C34" s="10" t="s">
        <v>15</v>
      </c>
      <c r="D34" s="6">
        <v>8595000.0</v>
      </c>
      <c r="E34" s="6">
        <v>500000.0</v>
      </c>
      <c r="F34" s="6">
        <v>1000000.0</v>
      </c>
      <c r="G34" s="6">
        <v>2660000.0</v>
      </c>
      <c r="H34" s="6">
        <v>3192000.0</v>
      </c>
      <c r="I34" s="6">
        <v>3830000.0</v>
      </c>
      <c r="J34" s="6">
        <v>4596000.0</v>
      </c>
      <c r="K34" s="6">
        <v>5516000.0</v>
      </c>
      <c r="L34" s="6">
        <v>6619000.0</v>
      </c>
    </row>
    <row r="35" ht="19.5" customHeight="1">
      <c r="A35" s="9">
        <v>34.0</v>
      </c>
      <c r="B35" s="11" t="s">
        <v>356</v>
      </c>
      <c r="C35" s="13" t="s">
        <v>15</v>
      </c>
      <c r="D35" s="9">
        <v>1.398E7</v>
      </c>
      <c r="E35" s="9">
        <v>500000.0</v>
      </c>
      <c r="F35" s="9">
        <v>1000000.0</v>
      </c>
      <c r="G35" s="9">
        <v>3060000.0</v>
      </c>
      <c r="H35" s="9">
        <v>3672000.0</v>
      </c>
      <c r="I35" s="9">
        <v>4406000.0</v>
      </c>
      <c r="J35" s="9">
        <v>5288000.0</v>
      </c>
      <c r="K35" s="9">
        <v>6345000.0</v>
      </c>
      <c r="L35" s="9">
        <v>7614000.0</v>
      </c>
    </row>
    <row r="36" ht="19.5" customHeight="1">
      <c r="A36" s="6">
        <v>35.0</v>
      </c>
      <c r="B36" s="8" t="s">
        <v>129</v>
      </c>
      <c r="C36" s="10" t="s">
        <v>15</v>
      </c>
      <c r="D36" s="6">
        <v>1.5348E7</v>
      </c>
      <c r="E36" s="6">
        <v>500000.0</v>
      </c>
      <c r="F36" s="6">
        <v>1000000.0</v>
      </c>
      <c r="G36" s="6">
        <v>4160000.0</v>
      </c>
      <c r="H36" s="6">
        <v>4992000.0</v>
      </c>
      <c r="I36" s="6">
        <v>5990000.0</v>
      </c>
      <c r="J36" s="6">
        <v>7188000.0</v>
      </c>
      <c r="K36" s="6">
        <v>8626000.0</v>
      </c>
      <c r="L36" s="6">
        <v>1.0351E7</v>
      </c>
    </row>
    <row r="37" ht="19.5" customHeight="1">
      <c r="A37" s="9">
        <v>36.0</v>
      </c>
      <c r="B37" s="11" t="s">
        <v>357</v>
      </c>
      <c r="C37" s="13" t="s">
        <v>15</v>
      </c>
      <c r="D37" s="9">
        <v>1.4708E7</v>
      </c>
      <c r="E37" s="9">
        <v>500000.0</v>
      </c>
      <c r="F37" s="9">
        <v>1000000.0</v>
      </c>
      <c r="G37" s="9">
        <v>3550000.0</v>
      </c>
      <c r="H37" s="9">
        <v>4170000.0</v>
      </c>
      <c r="I37" s="9">
        <v>4913000.0</v>
      </c>
      <c r="J37" s="9">
        <v>5780000.0</v>
      </c>
      <c r="K37" s="9">
        <v>6800000.0</v>
      </c>
      <c r="L37" s="9">
        <v>8000000.0</v>
      </c>
    </row>
    <row r="38" ht="19.5" customHeight="1">
      <c r="A38" s="6">
        <v>37.0</v>
      </c>
      <c r="B38" s="8" t="s">
        <v>358</v>
      </c>
      <c r="C38" s="10" t="s">
        <v>15</v>
      </c>
      <c r="D38" s="6">
        <v>8237000.0</v>
      </c>
      <c r="E38" s="6">
        <v>500000.0</v>
      </c>
      <c r="F38" s="6">
        <v>1000000.0</v>
      </c>
      <c r="G38" s="6">
        <v>2660000.0</v>
      </c>
      <c r="H38" s="6">
        <v>3192000.0</v>
      </c>
      <c r="I38" s="6">
        <v>3830000.0</v>
      </c>
      <c r="J38" s="6">
        <v>4596000.0</v>
      </c>
      <c r="K38" s="6">
        <v>5516000.0</v>
      </c>
      <c r="L38" s="6">
        <v>6619000.0</v>
      </c>
    </row>
    <row r="39" ht="19.5" customHeight="1">
      <c r="A39" s="9">
        <v>38.0</v>
      </c>
      <c r="B39" s="11" t="s">
        <v>359</v>
      </c>
      <c r="C39" s="13" t="s">
        <v>15</v>
      </c>
      <c r="D39" s="9">
        <v>1.3398E7</v>
      </c>
      <c r="E39" s="9">
        <v>500000.0</v>
      </c>
      <c r="F39" s="9">
        <v>1000000.0</v>
      </c>
      <c r="G39" s="9">
        <v>3780000.0</v>
      </c>
      <c r="H39" s="9">
        <v>4536000.0</v>
      </c>
      <c r="I39" s="9">
        <v>5443000.0</v>
      </c>
      <c r="J39" s="9">
        <v>6532000.0</v>
      </c>
      <c r="K39" s="9">
        <v>7838000.0</v>
      </c>
      <c r="L39" s="9">
        <v>9406000.0</v>
      </c>
    </row>
    <row r="40" ht="19.5" customHeight="1">
      <c r="A40" s="6">
        <v>39.0</v>
      </c>
      <c r="B40" s="8" t="s">
        <v>360</v>
      </c>
      <c r="C40" s="10" t="s">
        <v>15</v>
      </c>
      <c r="D40" s="6">
        <v>1.4563E7</v>
      </c>
      <c r="E40" s="6">
        <v>500000.0</v>
      </c>
      <c r="F40" s="6">
        <v>1000000.0</v>
      </c>
      <c r="G40" s="6">
        <v>4950000.0</v>
      </c>
      <c r="H40" s="6">
        <v>5940000.0</v>
      </c>
      <c r="I40" s="6">
        <v>7128000.0</v>
      </c>
      <c r="J40" s="6">
        <v>8554000.0</v>
      </c>
      <c r="K40" s="6">
        <v>1.0264E7</v>
      </c>
      <c r="L40" s="6">
        <v>1.2317E7</v>
      </c>
    </row>
    <row r="41" ht="19.5" customHeight="1">
      <c r="A41" s="9">
        <v>40.0</v>
      </c>
      <c r="B41" s="11" t="s">
        <v>72</v>
      </c>
      <c r="C41" s="13" t="s">
        <v>15</v>
      </c>
      <c r="D41" s="9">
        <v>1.4563E7</v>
      </c>
      <c r="E41" s="9">
        <v>500000.0</v>
      </c>
      <c r="F41" s="9">
        <v>1000000.0</v>
      </c>
      <c r="G41" s="9">
        <v>4950000.0</v>
      </c>
      <c r="H41" s="9">
        <v>5940000.0</v>
      </c>
      <c r="I41" s="9">
        <v>7128000.0</v>
      </c>
      <c r="J41" s="9">
        <v>8554000.0</v>
      </c>
      <c r="K41" s="9">
        <v>1.0264E7</v>
      </c>
      <c r="L41" s="9">
        <v>1.2317E7</v>
      </c>
    </row>
    <row r="42" ht="19.5" customHeight="1">
      <c r="A42" s="6">
        <v>41.0</v>
      </c>
      <c r="B42" s="8" t="s">
        <v>77</v>
      </c>
      <c r="C42" s="10" t="s">
        <v>15</v>
      </c>
      <c r="D42" s="6">
        <v>1.3398E7</v>
      </c>
      <c r="E42" s="6">
        <v>500000.0</v>
      </c>
      <c r="F42" s="6">
        <v>1000000.0</v>
      </c>
      <c r="G42" s="6">
        <v>4610000.0</v>
      </c>
      <c r="H42" s="6">
        <v>5532000.0</v>
      </c>
      <c r="I42" s="6">
        <v>6638000.0</v>
      </c>
      <c r="J42" s="6">
        <v>7966000.0</v>
      </c>
      <c r="K42" s="6">
        <v>9559000.0</v>
      </c>
      <c r="L42" s="6">
        <v>1.1471E7</v>
      </c>
    </row>
    <row r="43" ht="19.5" customHeight="1">
      <c r="A43" s="9">
        <v>42.0</v>
      </c>
      <c r="B43" s="11" t="s">
        <v>361</v>
      </c>
      <c r="C43" s="13" t="s">
        <v>15</v>
      </c>
      <c r="D43" s="9">
        <v>1.3398E7</v>
      </c>
      <c r="E43" s="9">
        <v>500000.0</v>
      </c>
      <c r="F43" s="9">
        <v>1000000.0</v>
      </c>
      <c r="G43" s="9">
        <v>4270000.0</v>
      </c>
      <c r="H43" s="9">
        <v>5124000.0</v>
      </c>
      <c r="I43" s="9">
        <v>6149000.0</v>
      </c>
      <c r="J43" s="9">
        <v>7379000.0</v>
      </c>
      <c r="K43" s="9">
        <v>8854000.0</v>
      </c>
      <c r="L43" s="9">
        <v>1.0625E7</v>
      </c>
    </row>
    <row r="44" ht="19.5" customHeight="1">
      <c r="A44" s="6">
        <v>43.0</v>
      </c>
      <c r="B44" s="8" t="s">
        <v>198</v>
      </c>
      <c r="C44" s="10" t="s">
        <v>15</v>
      </c>
      <c r="D44" s="6">
        <v>1.398E7</v>
      </c>
      <c r="E44" s="6">
        <v>500000.0</v>
      </c>
      <c r="F44" s="6">
        <v>1000000.0</v>
      </c>
      <c r="G44" s="6">
        <v>3940000.0</v>
      </c>
      <c r="H44" s="6">
        <v>4728000.0</v>
      </c>
      <c r="I44" s="6">
        <v>5674000.0</v>
      </c>
      <c r="J44" s="6">
        <v>6808000.0</v>
      </c>
      <c r="K44" s="6">
        <v>8170000.0</v>
      </c>
      <c r="L44" s="6">
        <v>9804000.0</v>
      </c>
    </row>
    <row r="45" ht="19.5" customHeight="1">
      <c r="A45" s="9">
        <v>44.0</v>
      </c>
      <c r="B45" s="11" t="s">
        <v>85</v>
      </c>
      <c r="C45" s="13" t="s">
        <v>15</v>
      </c>
      <c r="D45" s="9">
        <v>1.4563E7</v>
      </c>
      <c r="E45" s="9">
        <v>500000.0</v>
      </c>
      <c r="F45" s="9">
        <v>1000000.0</v>
      </c>
      <c r="G45" s="9">
        <v>5560000.0</v>
      </c>
      <c r="H45" s="9">
        <v>6672000.0</v>
      </c>
      <c r="I45" s="9">
        <v>8006000.0</v>
      </c>
      <c r="J45" s="9">
        <v>9608000.0</v>
      </c>
      <c r="K45" s="9">
        <v>1.1529E7</v>
      </c>
      <c r="L45" s="9">
        <v>1.3835E7</v>
      </c>
    </row>
    <row r="46" ht="19.5" customHeight="1">
      <c r="A46" s="6">
        <v>45.0</v>
      </c>
      <c r="B46" s="8" t="s">
        <v>88</v>
      </c>
      <c r="C46" s="10" t="s">
        <v>15</v>
      </c>
      <c r="D46" s="6">
        <v>1.4563E7</v>
      </c>
      <c r="E46" s="6">
        <v>500000.0</v>
      </c>
      <c r="F46" s="6">
        <v>1000000.0</v>
      </c>
      <c r="G46" s="6">
        <v>4950000.0</v>
      </c>
      <c r="H46" s="6">
        <v>5940000.0</v>
      </c>
      <c r="I46" s="6">
        <v>7128000.0</v>
      </c>
      <c r="J46" s="6">
        <v>8554000.0</v>
      </c>
      <c r="K46" s="6">
        <v>1.0264E7</v>
      </c>
      <c r="L46" s="6">
        <v>1.2317E7</v>
      </c>
    </row>
    <row r="47" ht="19.5" customHeight="1">
      <c r="A47" s="9">
        <v>46.0</v>
      </c>
      <c r="B47" s="11" t="s">
        <v>95</v>
      </c>
      <c r="C47" s="13" t="s">
        <v>15</v>
      </c>
      <c r="D47" s="9">
        <v>1.3398E7</v>
      </c>
      <c r="E47" s="9">
        <v>500000.0</v>
      </c>
      <c r="F47" s="9">
        <v>1000000.0</v>
      </c>
      <c r="G47" s="9">
        <v>4270000.0</v>
      </c>
      <c r="H47" s="9">
        <v>5124000.0</v>
      </c>
      <c r="I47" s="9">
        <v>6149000.0</v>
      </c>
      <c r="J47" s="9">
        <v>7379000.0</v>
      </c>
      <c r="K47" s="9">
        <v>8854000.0</v>
      </c>
      <c r="L47" s="9">
        <v>1.0625E7</v>
      </c>
    </row>
    <row r="48" ht="19.5" customHeight="1">
      <c r="A48" s="6">
        <v>47.0</v>
      </c>
      <c r="B48" s="8" t="s">
        <v>136</v>
      </c>
      <c r="C48" s="10" t="s">
        <v>15</v>
      </c>
      <c r="D48" s="6">
        <v>1.9964E7</v>
      </c>
      <c r="E48" s="6">
        <v>500000.0</v>
      </c>
      <c r="F48" s="6">
        <v>1000000.0</v>
      </c>
      <c r="G48" s="6">
        <v>5370000.0</v>
      </c>
      <c r="H48" s="6">
        <v>6444000.0</v>
      </c>
      <c r="I48" s="6">
        <v>7733000.0</v>
      </c>
      <c r="J48" s="6">
        <v>9279000.0</v>
      </c>
      <c r="K48" s="6">
        <v>1.1135E7</v>
      </c>
      <c r="L48" s="6">
        <v>1.3362E7</v>
      </c>
    </row>
    <row r="49" ht="19.5" customHeight="1">
      <c r="A49" s="9">
        <v>48.0</v>
      </c>
      <c r="B49" s="11" t="s">
        <v>93</v>
      </c>
      <c r="C49" s="13" t="s">
        <v>15</v>
      </c>
      <c r="D49" s="9">
        <v>1.4563E7</v>
      </c>
      <c r="E49" s="9">
        <v>500000.0</v>
      </c>
      <c r="F49" s="9">
        <v>1000000.0</v>
      </c>
      <c r="G49" s="9">
        <v>4950000.0</v>
      </c>
      <c r="H49" s="9">
        <v>5940000.0</v>
      </c>
      <c r="I49" s="9">
        <v>7128000.0</v>
      </c>
      <c r="J49" s="9">
        <v>8554000.0</v>
      </c>
      <c r="K49" s="9">
        <v>1.0264E7</v>
      </c>
      <c r="L49" s="9">
        <v>1.2317E7</v>
      </c>
    </row>
    <row r="50" ht="19.5" customHeight="1">
      <c r="A50" s="6">
        <v>49.0</v>
      </c>
      <c r="B50" s="8" t="s">
        <v>366</v>
      </c>
      <c r="C50" s="10" t="s">
        <v>15</v>
      </c>
      <c r="D50" s="6">
        <v>1.4708E7</v>
      </c>
      <c r="E50" s="6">
        <v>500000.0</v>
      </c>
      <c r="F50" s="6">
        <v>1000000.0</v>
      </c>
      <c r="G50" s="6">
        <v>5370000.0</v>
      </c>
      <c r="H50" s="6">
        <v>6444000.0</v>
      </c>
      <c r="I50" s="6">
        <v>7733000.0</v>
      </c>
      <c r="J50" s="6">
        <v>9279000.0</v>
      </c>
      <c r="K50" s="6">
        <v>1.1135E7</v>
      </c>
      <c r="L50" s="6">
        <v>1.3362E7</v>
      </c>
    </row>
    <row r="51" ht="19.5" customHeight="1">
      <c r="A51" s="9">
        <v>50.0</v>
      </c>
      <c r="B51" s="11" t="s">
        <v>371</v>
      </c>
      <c r="C51" s="13" t="s">
        <v>15</v>
      </c>
      <c r="D51" s="9">
        <v>1.4708E7</v>
      </c>
      <c r="E51" s="9">
        <v>500000.0</v>
      </c>
      <c r="F51" s="9">
        <v>1000000.0</v>
      </c>
      <c r="G51" s="9">
        <v>4010000.0</v>
      </c>
      <c r="H51" s="9">
        <v>5774000.0</v>
      </c>
      <c r="I51" s="9">
        <v>6929000.0</v>
      </c>
      <c r="J51" s="9">
        <v>8315000.0</v>
      </c>
      <c r="K51" s="9">
        <v>9978000.0</v>
      </c>
      <c r="L51" s="11"/>
    </row>
    <row r="52" ht="19.5" customHeight="1">
      <c r="A52" s="6">
        <v>51.0</v>
      </c>
      <c r="B52" s="8" t="s">
        <v>373</v>
      </c>
      <c r="C52" s="10" t="s">
        <v>15</v>
      </c>
      <c r="D52" s="6">
        <v>1.4708E7</v>
      </c>
      <c r="E52" s="6">
        <v>500000.0</v>
      </c>
      <c r="F52" s="6">
        <v>1000000.0</v>
      </c>
      <c r="G52" s="6">
        <v>3940000.0</v>
      </c>
      <c r="H52" s="6">
        <v>4728000.0</v>
      </c>
      <c r="I52" s="6">
        <v>5674000.0</v>
      </c>
      <c r="J52" s="6">
        <v>6808000.0</v>
      </c>
      <c r="K52" s="6">
        <v>8170000.0</v>
      </c>
      <c r="L52" s="6">
        <v>9804000.0</v>
      </c>
    </row>
    <row r="53" ht="19.5" customHeight="1">
      <c r="A53" s="9">
        <v>52.0</v>
      </c>
      <c r="B53" s="11" t="s">
        <v>63</v>
      </c>
      <c r="C53" s="13" t="s">
        <v>15</v>
      </c>
      <c r="D53" s="9">
        <v>1.3398E7</v>
      </c>
      <c r="E53" s="9">
        <v>500000.0</v>
      </c>
      <c r="F53" s="9">
        <v>1000000.0</v>
      </c>
      <c r="G53" s="9">
        <v>4270000.0</v>
      </c>
      <c r="H53" s="9">
        <v>5124000.0</v>
      </c>
      <c r="I53" s="9">
        <v>6149000.0</v>
      </c>
      <c r="J53" s="9">
        <v>7379000.0</v>
      </c>
      <c r="K53" s="9">
        <v>8854000.0</v>
      </c>
      <c r="L53" s="9">
        <v>1.0625E7</v>
      </c>
    </row>
    <row r="54" ht="19.5" customHeight="1">
      <c r="A54" s="6">
        <v>53.0</v>
      </c>
      <c r="B54" s="8" t="s">
        <v>90</v>
      </c>
      <c r="C54" s="10" t="s">
        <v>15</v>
      </c>
      <c r="D54" s="6">
        <v>1.3398E7</v>
      </c>
      <c r="E54" s="6">
        <v>500000.0</v>
      </c>
      <c r="F54" s="6">
        <v>1000000.0</v>
      </c>
      <c r="G54" s="6">
        <v>4270000.0</v>
      </c>
      <c r="H54" s="6">
        <v>5124000.0</v>
      </c>
      <c r="I54" s="6">
        <v>6149000.0</v>
      </c>
      <c r="J54" s="6">
        <v>7379000.0</v>
      </c>
      <c r="K54" s="6">
        <v>8854000.0</v>
      </c>
      <c r="L54" s="8"/>
    </row>
    <row r="55" ht="19.5" customHeight="1">
      <c r="A55" s="9">
        <v>54.0</v>
      </c>
      <c r="B55" s="11" t="s">
        <v>374</v>
      </c>
      <c r="C55" s="13" t="s">
        <v>15</v>
      </c>
      <c r="D55" s="9">
        <v>1.3398E7</v>
      </c>
      <c r="E55" s="9">
        <v>500000.0</v>
      </c>
      <c r="F55" s="9">
        <v>1000000.0</v>
      </c>
      <c r="G55" s="9">
        <v>2770000.0</v>
      </c>
      <c r="H55" s="9">
        <v>3324000.0</v>
      </c>
      <c r="I55" s="9">
        <v>3989000.0</v>
      </c>
      <c r="J55" s="11"/>
      <c r="K55" s="11"/>
      <c r="L55" s="11"/>
    </row>
    <row r="56" ht="19.5" customHeight="1">
      <c r="A56" s="6">
        <v>55.0</v>
      </c>
      <c r="B56" s="8" t="s">
        <v>375</v>
      </c>
      <c r="C56" s="10" t="s">
        <v>15</v>
      </c>
      <c r="D56" s="6">
        <v>1.3398E7</v>
      </c>
      <c r="E56" s="6">
        <v>500000.0</v>
      </c>
      <c r="F56" s="6">
        <v>1000000.0</v>
      </c>
      <c r="G56" s="6">
        <v>3940000.0</v>
      </c>
      <c r="H56" s="6">
        <v>4728000.0</v>
      </c>
      <c r="I56" s="6">
        <v>5674000.0</v>
      </c>
      <c r="J56" s="8"/>
      <c r="K56" s="8"/>
      <c r="L56" s="8"/>
    </row>
    <row r="57" ht="19.5" customHeight="1">
      <c r="A57" s="9">
        <v>56.0</v>
      </c>
      <c r="B57" s="11" t="s">
        <v>379</v>
      </c>
      <c r="C57" s="13" t="s">
        <v>15</v>
      </c>
      <c r="D57" s="9">
        <v>1.4708E7</v>
      </c>
      <c r="E57" s="9">
        <v>500000.0</v>
      </c>
      <c r="F57" s="9">
        <v>1000000.0</v>
      </c>
      <c r="G57" s="9">
        <v>4010000.0</v>
      </c>
      <c r="H57" s="9">
        <v>4814000.0</v>
      </c>
      <c r="I57" s="9">
        <v>5774000.0</v>
      </c>
      <c r="J57" s="11"/>
      <c r="K57" s="11"/>
      <c r="L57" s="11"/>
    </row>
    <row r="58" ht="19.5" customHeight="1">
      <c r="A58" s="6">
        <v>57.0</v>
      </c>
      <c r="B58" s="8" t="s">
        <v>381</v>
      </c>
      <c r="C58" s="10" t="s">
        <v>15</v>
      </c>
      <c r="D58" s="6">
        <v>1.4708E7</v>
      </c>
      <c r="E58" s="6">
        <v>500000.0</v>
      </c>
      <c r="F58" s="6">
        <v>1000000.0</v>
      </c>
      <c r="G58" s="6">
        <v>4160000.0</v>
      </c>
      <c r="H58" s="6">
        <v>4992000.0</v>
      </c>
      <c r="I58" s="6">
        <v>5990000.0</v>
      </c>
      <c r="J58" s="8"/>
      <c r="K58" s="8"/>
      <c r="L58" s="8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21.88"/>
    <col customWidth="1" min="3" max="3" width="10.5"/>
    <col customWidth="1" min="4" max="4" width="21.0"/>
    <col customWidth="1" min="5" max="5" width="19.25"/>
    <col customWidth="1" min="6" max="6" width="20.13"/>
    <col customWidth="1" min="7" max="7" width="21.0"/>
    <col customWidth="1" min="8" max="8" width="20.13"/>
    <col customWidth="1" min="9" max="9" width="19.25"/>
    <col customWidth="1" min="10" max="10" width="20.13"/>
    <col customWidth="1" min="11" max="11" width="21.0"/>
    <col customWidth="1" min="12" max="12" width="21.88"/>
    <col customWidth="1" min="13" max="23" width="7.63"/>
  </cols>
  <sheetData>
    <row r="1" ht="27.75" customHeight="1">
      <c r="A1" s="88" t="s">
        <v>0</v>
      </c>
      <c r="B1" s="88" t="s">
        <v>2</v>
      </c>
      <c r="C1" s="88" t="s">
        <v>3</v>
      </c>
      <c r="D1" s="88" t="s">
        <v>4</v>
      </c>
      <c r="E1" s="88" t="s">
        <v>16</v>
      </c>
      <c r="F1" s="88" t="s">
        <v>17</v>
      </c>
      <c r="G1" s="88" t="s">
        <v>18</v>
      </c>
      <c r="H1" s="88" t="s">
        <v>5</v>
      </c>
      <c r="I1" s="88" t="s">
        <v>6</v>
      </c>
      <c r="J1" s="88" t="s">
        <v>7</v>
      </c>
      <c r="K1" s="88" t="s">
        <v>274</v>
      </c>
      <c r="L1" s="88" t="s">
        <v>275</v>
      </c>
    </row>
    <row r="2" ht="19.5" customHeight="1">
      <c r="A2" s="6">
        <v>1.0</v>
      </c>
      <c r="B2" s="8" t="s">
        <v>277</v>
      </c>
      <c r="C2" s="10" t="s">
        <v>278</v>
      </c>
      <c r="D2" s="6">
        <v>1.5125E7</v>
      </c>
      <c r="E2" s="6">
        <v>500000.0</v>
      </c>
      <c r="F2" s="6">
        <v>1000000.0</v>
      </c>
      <c r="G2" s="6">
        <v>2980000.0</v>
      </c>
      <c r="H2" s="6">
        <v>3576000.0</v>
      </c>
      <c r="I2" s="6">
        <v>4291000.0</v>
      </c>
      <c r="J2" s="6">
        <v>5149000.0</v>
      </c>
      <c r="K2" s="6">
        <v>6179000.0</v>
      </c>
      <c r="L2" s="6">
        <v>7415000.0</v>
      </c>
    </row>
    <row r="3" ht="19.5" customHeight="1">
      <c r="A3" s="9">
        <v>2.0</v>
      </c>
      <c r="B3" s="11" t="s">
        <v>364</v>
      </c>
      <c r="C3" s="13" t="s">
        <v>22</v>
      </c>
      <c r="D3" s="9">
        <v>1.4888E7</v>
      </c>
      <c r="E3" s="9">
        <v>500000.0</v>
      </c>
      <c r="F3" s="9">
        <v>1000000.0</v>
      </c>
      <c r="G3" s="9">
        <v>2500000.0</v>
      </c>
      <c r="H3" s="11"/>
      <c r="I3" s="11"/>
      <c r="J3" s="11"/>
      <c r="K3" s="11"/>
      <c r="L3" s="11"/>
    </row>
    <row r="4" ht="19.5" customHeight="1">
      <c r="A4" s="6">
        <v>3.0</v>
      </c>
      <c r="B4" s="8" t="s">
        <v>64</v>
      </c>
      <c r="C4" s="10" t="s">
        <v>22</v>
      </c>
      <c r="D4" s="6">
        <v>1.4888E7</v>
      </c>
      <c r="E4" s="6">
        <v>500000.0</v>
      </c>
      <c r="F4" s="6">
        <v>1000000.0</v>
      </c>
      <c r="G4" s="6">
        <v>2500000.0</v>
      </c>
      <c r="H4" s="8"/>
      <c r="I4" s="8"/>
      <c r="J4" s="8"/>
      <c r="K4" s="8"/>
      <c r="L4" s="8"/>
    </row>
    <row r="5" ht="19.5" customHeight="1">
      <c r="A5" s="9">
        <v>4.0</v>
      </c>
      <c r="B5" s="11" t="s">
        <v>59</v>
      </c>
      <c r="C5" s="13" t="s">
        <v>22</v>
      </c>
      <c r="D5" s="9">
        <v>1.5536E7</v>
      </c>
      <c r="E5" s="9">
        <v>500000.0</v>
      </c>
      <c r="F5" s="9">
        <v>1000000.0</v>
      </c>
      <c r="G5" s="9">
        <v>2500000.0</v>
      </c>
      <c r="H5" s="11"/>
      <c r="I5" s="11"/>
      <c r="J5" s="11"/>
      <c r="K5" s="11"/>
      <c r="L5" s="11"/>
    </row>
    <row r="6" ht="19.5" customHeight="1">
      <c r="A6" s="6">
        <v>5.0</v>
      </c>
      <c r="B6" s="8" t="s">
        <v>14</v>
      </c>
      <c r="C6" s="10" t="s">
        <v>22</v>
      </c>
      <c r="D6" s="6">
        <v>1.4888E7</v>
      </c>
      <c r="E6" s="6">
        <v>500000.0</v>
      </c>
      <c r="F6" s="6">
        <v>1000000.0</v>
      </c>
      <c r="G6" s="6">
        <v>2500000.0</v>
      </c>
      <c r="H6" s="8"/>
      <c r="I6" s="8"/>
      <c r="J6" s="8"/>
      <c r="K6" s="8"/>
      <c r="L6" s="8"/>
    </row>
    <row r="7" ht="19.5" customHeight="1">
      <c r="A7" s="9">
        <v>6.0</v>
      </c>
      <c r="B7" s="11" t="s">
        <v>372</v>
      </c>
      <c r="C7" s="13" t="s">
        <v>22</v>
      </c>
      <c r="D7" s="9">
        <v>1.4888E7</v>
      </c>
      <c r="E7" s="9">
        <v>500000.0</v>
      </c>
      <c r="F7" s="9">
        <v>1000000.0</v>
      </c>
      <c r="G7" s="9">
        <v>2500000.0</v>
      </c>
      <c r="H7" s="11"/>
      <c r="I7" s="11"/>
      <c r="J7" s="11"/>
      <c r="K7" s="11"/>
      <c r="L7" s="11"/>
    </row>
    <row r="8" ht="19.5" customHeight="1">
      <c r="A8" s="6">
        <v>7.0</v>
      </c>
      <c r="B8" s="8" t="s">
        <v>123</v>
      </c>
      <c r="C8" s="10" t="s">
        <v>22</v>
      </c>
      <c r="D8" s="6">
        <v>2.3767E7</v>
      </c>
      <c r="E8" s="6">
        <v>500000.0</v>
      </c>
      <c r="F8" s="6">
        <v>1000000.0</v>
      </c>
      <c r="G8" s="6">
        <v>3000000.0</v>
      </c>
      <c r="H8" s="8"/>
      <c r="I8" s="8"/>
      <c r="J8" s="8"/>
      <c r="K8" s="8"/>
      <c r="L8" s="8"/>
    </row>
    <row r="9" ht="19.5" customHeight="1">
      <c r="A9" s="9">
        <v>8.0</v>
      </c>
      <c r="B9" s="11" t="s">
        <v>93</v>
      </c>
      <c r="C9" s="13" t="s">
        <v>22</v>
      </c>
      <c r="D9" s="9">
        <v>2.6218E7</v>
      </c>
      <c r="E9" s="9">
        <v>500000.0</v>
      </c>
      <c r="F9" s="9">
        <v>1000000.0</v>
      </c>
      <c r="G9" s="9">
        <v>3500000.0</v>
      </c>
      <c r="H9" s="11"/>
      <c r="I9" s="11"/>
      <c r="J9" s="11"/>
      <c r="K9" s="11"/>
      <c r="L9" s="11"/>
    </row>
    <row r="10" ht="19.5" customHeight="1">
      <c r="A10" s="6">
        <v>9.0</v>
      </c>
      <c r="B10" s="8" t="s">
        <v>88</v>
      </c>
      <c r="C10" s="10" t="s">
        <v>22</v>
      </c>
      <c r="D10" s="6">
        <v>2.6218E7</v>
      </c>
      <c r="E10" s="6">
        <v>500000.0</v>
      </c>
      <c r="F10" s="6">
        <v>1000000.0</v>
      </c>
      <c r="G10" s="6">
        <v>3500000.0</v>
      </c>
      <c r="H10" s="8"/>
      <c r="I10" s="8"/>
      <c r="J10" s="8"/>
      <c r="K10" s="8"/>
      <c r="L10" s="8"/>
    </row>
    <row r="11" ht="19.5" customHeight="1">
      <c r="A11" s="9">
        <v>10.0</v>
      </c>
      <c r="B11" s="11" t="s">
        <v>101</v>
      </c>
      <c r="C11" s="13" t="s">
        <v>22</v>
      </c>
      <c r="D11" s="9">
        <v>2.6218E7</v>
      </c>
      <c r="E11" s="9">
        <v>500000.0</v>
      </c>
      <c r="F11" s="9">
        <v>1000000.0</v>
      </c>
      <c r="G11" s="9">
        <v>3500000.0</v>
      </c>
      <c r="H11" s="11"/>
      <c r="I11" s="11"/>
      <c r="J11" s="11"/>
      <c r="K11" s="11"/>
      <c r="L11" s="11"/>
    </row>
    <row r="12" ht="19.5" customHeight="1">
      <c r="A12" s="6">
        <v>11.0</v>
      </c>
      <c r="B12" s="8" t="s">
        <v>382</v>
      </c>
      <c r="C12" s="10" t="s">
        <v>22</v>
      </c>
      <c r="D12" s="6">
        <v>1.4888E7</v>
      </c>
      <c r="E12" s="6">
        <v>500000.0</v>
      </c>
      <c r="F12" s="6">
        <v>1000000.0</v>
      </c>
      <c r="G12" s="6">
        <v>3500000.0</v>
      </c>
      <c r="H12" s="8"/>
      <c r="I12" s="8"/>
      <c r="J12" s="8"/>
      <c r="K12" s="8"/>
      <c r="L12" s="8"/>
    </row>
    <row r="13" ht="19.5" customHeight="1">
      <c r="A13" s="9">
        <v>12.0</v>
      </c>
      <c r="B13" s="11" t="s">
        <v>81</v>
      </c>
      <c r="C13" s="13" t="s">
        <v>22</v>
      </c>
      <c r="D13" s="9">
        <v>1.4888E7</v>
      </c>
      <c r="E13" s="9">
        <v>500000.0</v>
      </c>
      <c r="F13" s="9">
        <v>1000000.0</v>
      </c>
      <c r="G13" s="9">
        <v>3500000.0</v>
      </c>
      <c r="H13" s="11"/>
      <c r="I13" s="11"/>
      <c r="J13" s="11"/>
      <c r="K13" s="11"/>
      <c r="L13" s="11"/>
    </row>
    <row r="14" ht="19.5" customHeight="1">
      <c r="A14" s="6">
        <v>13.0</v>
      </c>
      <c r="B14" s="8" t="s">
        <v>108</v>
      </c>
      <c r="C14" s="10" t="s">
        <v>22</v>
      </c>
      <c r="D14" s="6">
        <v>2.323E7</v>
      </c>
      <c r="E14" s="6">
        <v>500000.0</v>
      </c>
      <c r="F14" s="6">
        <v>1000000.0</v>
      </c>
      <c r="G14" s="6">
        <v>2000000.0</v>
      </c>
      <c r="H14" s="6">
        <v>2500000.0</v>
      </c>
      <c r="I14" s="6">
        <v>3000000.0</v>
      </c>
      <c r="J14" s="8"/>
      <c r="K14" s="8"/>
      <c r="L14" s="8"/>
    </row>
    <row r="15" ht="19.5" customHeight="1">
      <c r="A15" s="9">
        <v>14.0</v>
      </c>
      <c r="B15" s="11" t="s">
        <v>114</v>
      </c>
      <c r="C15" s="13" t="s">
        <v>22</v>
      </c>
      <c r="D15" s="9">
        <v>2.323E7</v>
      </c>
      <c r="E15" s="9">
        <v>500000.0</v>
      </c>
      <c r="F15" s="9">
        <v>1000000.0</v>
      </c>
      <c r="G15" s="9">
        <v>2000000.0</v>
      </c>
      <c r="H15" s="9">
        <v>2500000.0</v>
      </c>
      <c r="I15" s="9">
        <v>3000000.0</v>
      </c>
      <c r="J15" s="11"/>
      <c r="K15" s="11"/>
      <c r="L15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40.25"/>
    <col customWidth="1" min="3" max="3" width="10.5"/>
    <col customWidth="1" min="4" max="4" width="21.0"/>
    <col customWidth="1" min="5" max="5" width="18.38"/>
    <col customWidth="1" min="6" max="9" width="24.5"/>
    <col customWidth="1" min="10" max="26" width="7.63"/>
  </cols>
  <sheetData>
    <row r="1" ht="27.75" customHeight="1">
      <c r="A1" s="89" t="s">
        <v>0</v>
      </c>
      <c r="B1" s="89" t="s">
        <v>2</v>
      </c>
      <c r="C1" s="89" t="s">
        <v>3</v>
      </c>
      <c r="D1" s="89" t="s">
        <v>4</v>
      </c>
      <c r="E1" s="89" t="s">
        <v>365</v>
      </c>
      <c r="F1" s="89" t="s">
        <v>367</v>
      </c>
      <c r="G1" s="89" t="s">
        <v>368</v>
      </c>
      <c r="H1" s="89" t="s">
        <v>369</v>
      </c>
      <c r="I1" s="89" t="s">
        <v>370</v>
      </c>
    </row>
    <row r="2" ht="19.5" customHeight="1">
      <c r="A2" s="6">
        <v>1.0</v>
      </c>
      <c r="B2" s="8" t="s">
        <v>33</v>
      </c>
      <c r="C2" s="10" t="s">
        <v>15</v>
      </c>
      <c r="D2" s="6">
        <v>1.398E7</v>
      </c>
      <c r="E2" s="6">
        <v>2.796E7</v>
      </c>
      <c r="F2" s="6">
        <v>1.2E7</v>
      </c>
      <c r="G2" s="6">
        <v>1.275E7</v>
      </c>
      <c r="H2" s="6">
        <v>1.35E7</v>
      </c>
      <c r="I2" s="6">
        <v>1.5E7</v>
      </c>
    </row>
    <row r="3" ht="19.5" customHeight="1">
      <c r="A3" s="9">
        <v>2.0</v>
      </c>
      <c r="B3" s="11" t="s">
        <v>37</v>
      </c>
      <c r="C3" s="13" t="s">
        <v>15</v>
      </c>
      <c r="D3" s="9">
        <v>1.398E7</v>
      </c>
      <c r="E3" s="9">
        <v>2.796E7</v>
      </c>
      <c r="F3" s="9">
        <v>1.2E7</v>
      </c>
      <c r="G3" s="9">
        <v>1.275E7</v>
      </c>
      <c r="H3" s="9">
        <v>1.35E7</v>
      </c>
      <c r="I3" s="9">
        <v>1.5E7</v>
      </c>
    </row>
    <row r="4" ht="19.5" customHeight="1">
      <c r="A4" s="6">
        <v>3.0</v>
      </c>
      <c r="B4" s="8" t="s">
        <v>14</v>
      </c>
      <c r="C4" s="10" t="s">
        <v>15</v>
      </c>
      <c r="D4" s="6">
        <v>1.5348E7</v>
      </c>
      <c r="E4" s="6">
        <v>3.0696E7</v>
      </c>
      <c r="F4" s="6">
        <v>1.2E7</v>
      </c>
      <c r="G4" s="6">
        <v>1.275E7</v>
      </c>
      <c r="H4" s="6">
        <v>1.35E7</v>
      </c>
      <c r="I4" s="6">
        <v>1.5E7</v>
      </c>
    </row>
    <row r="5" ht="19.5" customHeight="1">
      <c r="A5" s="9">
        <v>4.0</v>
      </c>
      <c r="B5" s="11" t="s">
        <v>23</v>
      </c>
      <c r="C5" s="13" t="s">
        <v>15</v>
      </c>
      <c r="D5" s="9">
        <v>1.398E7</v>
      </c>
      <c r="E5" s="9">
        <v>2.796E7</v>
      </c>
      <c r="F5" s="9">
        <v>1.2E7</v>
      </c>
      <c r="G5" s="9">
        <v>1.275E7</v>
      </c>
      <c r="H5" s="9">
        <v>1.35E7</v>
      </c>
      <c r="I5" s="9">
        <v>1.5E7</v>
      </c>
    </row>
    <row r="6" ht="19.5" customHeight="1">
      <c r="A6" s="6">
        <v>5.0</v>
      </c>
      <c r="B6" s="8" t="s">
        <v>376</v>
      </c>
      <c r="C6" s="10" t="s">
        <v>15</v>
      </c>
      <c r="D6" s="6">
        <v>1.3398E7</v>
      </c>
      <c r="E6" s="6">
        <v>2.6796E7</v>
      </c>
      <c r="F6" s="8"/>
      <c r="G6" s="8"/>
      <c r="H6" s="8"/>
      <c r="I6" s="8"/>
    </row>
    <row r="7" ht="19.5" customHeight="1">
      <c r="A7" s="9">
        <v>6.0</v>
      </c>
      <c r="B7" s="11" t="s">
        <v>47</v>
      </c>
      <c r="C7" s="13" t="s">
        <v>15</v>
      </c>
      <c r="D7" s="9">
        <v>3.8309E7</v>
      </c>
      <c r="E7" s="9">
        <v>7.6618E7</v>
      </c>
      <c r="F7" s="9">
        <v>1.2E7</v>
      </c>
      <c r="G7" s="9">
        <v>1.275E7</v>
      </c>
      <c r="H7" s="9">
        <v>1.35E7</v>
      </c>
      <c r="I7" s="9">
        <v>1.5E7</v>
      </c>
    </row>
    <row r="8" ht="19.5" customHeight="1">
      <c r="A8" s="6">
        <v>7.0</v>
      </c>
      <c r="B8" s="8" t="s">
        <v>53</v>
      </c>
      <c r="C8" s="10" t="s">
        <v>380</v>
      </c>
      <c r="D8" s="6">
        <v>8595000.0</v>
      </c>
      <c r="E8" s="6">
        <v>1.719E7</v>
      </c>
      <c r="F8" s="6">
        <v>4000000.0</v>
      </c>
      <c r="G8" s="6">
        <v>4250000.0</v>
      </c>
      <c r="H8" s="6">
        <v>4500000.0</v>
      </c>
      <c r="I8" s="6">
        <v>5000000.0</v>
      </c>
    </row>
    <row r="9" ht="19.5" customHeight="1">
      <c r="A9" s="9">
        <v>8.0</v>
      </c>
      <c r="B9" s="11" t="s">
        <v>93</v>
      </c>
      <c r="C9" s="13" t="s">
        <v>15</v>
      </c>
      <c r="D9" s="9">
        <v>1.4563E7</v>
      </c>
      <c r="E9" s="9">
        <v>2.9126E7</v>
      </c>
      <c r="F9" s="9">
        <v>4.0E7</v>
      </c>
      <c r="G9" s="9">
        <v>4.25E7</v>
      </c>
      <c r="H9" s="9">
        <v>4.5E7</v>
      </c>
      <c r="I9" s="9">
        <v>5.0E7</v>
      </c>
    </row>
    <row r="10" ht="19.5" customHeight="1">
      <c r="A10" s="6">
        <v>9.0</v>
      </c>
      <c r="B10" s="8" t="s">
        <v>88</v>
      </c>
      <c r="C10" s="10" t="s">
        <v>15</v>
      </c>
      <c r="D10" s="6">
        <v>1.4563E7</v>
      </c>
      <c r="E10" s="6">
        <v>2.9126E7</v>
      </c>
      <c r="F10" s="6">
        <v>2.4E7</v>
      </c>
      <c r="G10" s="6">
        <v>2.55E7</v>
      </c>
      <c r="H10" s="6">
        <v>2.7E7</v>
      </c>
      <c r="I10" s="6">
        <v>3.0E7</v>
      </c>
    </row>
    <row r="11" ht="19.5" customHeight="1">
      <c r="A11" s="9">
        <v>10.0</v>
      </c>
      <c r="B11" s="11" t="s">
        <v>85</v>
      </c>
      <c r="C11" s="13" t="s">
        <v>15</v>
      </c>
      <c r="D11" s="9">
        <v>1.4563E7</v>
      </c>
      <c r="E11" s="9">
        <v>2.9126E7</v>
      </c>
      <c r="F11" s="9">
        <v>2.4E7</v>
      </c>
      <c r="G11" s="9">
        <v>2.55E7</v>
      </c>
      <c r="H11" s="9">
        <v>2.7E7</v>
      </c>
      <c r="I11" s="9">
        <v>3.0E7</v>
      </c>
    </row>
    <row r="12" ht="19.5" customHeight="1">
      <c r="A12" s="6">
        <v>11.0</v>
      </c>
      <c r="B12" s="8" t="s">
        <v>68</v>
      </c>
      <c r="C12" s="10" t="s">
        <v>15</v>
      </c>
      <c r="D12" s="6">
        <v>1.4563E7</v>
      </c>
      <c r="E12" s="6">
        <v>2.9126E7</v>
      </c>
      <c r="F12" s="6">
        <v>3.2E7</v>
      </c>
      <c r="G12" s="6">
        <v>3.4E7</v>
      </c>
      <c r="H12" s="6">
        <v>3.6E7</v>
      </c>
      <c r="I12" s="6">
        <v>4.0E7</v>
      </c>
    </row>
    <row r="13" ht="19.5" customHeight="1">
      <c r="A13" s="9">
        <v>12.0</v>
      </c>
      <c r="B13" s="11" t="s">
        <v>58</v>
      </c>
      <c r="C13" s="13" t="s">
        <v>15</v>
      </c>
      <c r="D13" s="9">
        <v>1.3398E7</v>
      </c>
      <c r="E13" s="9">
        <v>2.6796E7</v>
      </c>
      <c r="F13" s="9">
        <v>2.4E7</v>
      </c>
      <c r="G13" s="9">
        <v>2.55E7</v>
      </c>
      <c r="H13" s="9">
        <v>2.7E7</v>
      </c>
      <c r="I13" s="9">
        <v>3.0E7</v>
      </c>
    </row>
    <row r="14" ht="19.5" customHeight="1">
      <c r="A14" s="6">
        <v>13.0</v>
      </c>
      <c r="B14" s="8" t="s">
        <v>82</v>
      </c>
      <c r="C14" s="10" t="s">
        <v>15</v>
      </c>
      <c r="D14" s="6">
        <v>1.3398E7</v>
      </c>
      <c r="E14" s="6">
        <v>2.6796E7</v>
      </c>
      <c r="F14" s="6">
        <v>2.4E7</v>
      </c>
      <c r="G14" s="6">
        <v>2.55E7</v>
      </c>
      <c r="H14" s="6">
        <v>2.7E7</v>
      </c>
      <c r="I14" s="6">
        <v>3.0E7</v>
      </c>
    </row>
    <row r="15" ht="19.5" customHeight="1">
      <c r="A15" s="9">
        <v>14.0</v>
      </c>
      <c r="B15" s="11" t="s">
        <v>72</v>
      </c>
      <c r="C15" s="13" t="s">
        <v>15</v>
      </c>
      <c r="D15" s="9">
        <v>1.4563E7</v>
      </c>
      <c r="E15" s="9">
        <v>2.9126E7</v>
      </c>
      <c r="F15" s="9">
        <v>3.2E7</v>
      </c>
      <c r="G15" s="9">
        <v>3.4E7</v>
      </c>
      <c r="H15" s="9">
        <v>3.6E7</v>
      </c>
      <c r="I15" s="9">
        <v>4.0E7</v>
      </c>
    </row>
    <row r="16" ht="19.5" customHeight="1">
      <c r="A16" s="6">
        <v>15.0</v>
      </c>
      <c r="B16" s="8" t="s">
        <v>77</v>
      </c>
      <c r="C16" s="10" t="s">
        <v>15</v>
      </c>
      <c r="D16" s="6">
        <v>1.3398E7</v>
      </c>
      <c r="E16" s="6">
        <v>2.6796E7</v>
      </c>
      <c r="F16" s="6">
        <v>2.4E7</v>
      </c>
      <c r="G16" s="6">
        <v>2.55E7</v>
      </c>
      <c r="H16" s="6">
        <v>2.7E7</v>
      </c>
      <c r="I16" s="6">
        <v>3.0E7</v>
      </c>
    </row>
    <row r="17" ht="19.5" customHeight="1">
      <c r="A17" s="9">
        <v>16.0</v>
      </c>
      <c r="B17" s="11" t="s">
        <v>95</v>
      </c>
      <c r="C17" s="13" t="s">
        <v>15</v>
      </c>
      <c r="D17" s="9">
        <v>1.3398E7</v>
      </c>
      <c r="E17" s="9">
        <v>2.6796E7</v>
      </c>
      <c r="F17" s="9">
        <v>4.0E7</v>
      </c>
      <c r="G17" s="9">
        <v>4.25E7</v>
      </c>
      <c r="H17" s="9">
        <v>4.5E7</v>
      </c>
      <c r="I17" s="9">
        <v>5.0E7</v>
      </c>
    </row>
    <row r="18" ht="19.5" customHeight="1">
      <c r="A18" s="6">
        <v>17.0</v>
      </c>
      <c r="B18" s="8" t="s">
        <v>63</v>
      </c>
      <c r="C18" s="10" t="s">
        <v>15</v>
      </c>
      <c r="D18" s="6">
        <v>1.3398E7</v>
      </c>
      <c r="E18" s="6">
        <v>2.6796E7</v>
      </c>
      <c r="F18" s="6">
        <v>3.2E7</v>
      </c>
      <c r="G18" s="6">
        <v>3.4E7</v>
      </c>
      <c r="H18" s="6">
        <v>3.6E7</v>
      </c>
      <c r="I18" s="6">
        <v>4.0E7</v>
      </c>
    </row>
    <row r="19" ht="19.5" customHeight="1">
      <c r="A19" s="9">
        <v>18.0</v>
      </c>
      <c r="B19" s="11" t="s">
        <v>90</v>
      </c>
      <c r="C19" s="13" t="s">
        <v>15</v>
      </c>
      <c r="D19" s="9">
        <v>1.3398E7</v>
      </c>
      <c r="E19" s="9">
        <v>2.6796E7</v>
      </c>
      <c r="F19" s="9">
        <v>2.4E7</v>
      </c>
      <c r="G19" s="9">
        <v>2.55E7</v>
      </c>
      <c r="H19" s="9">
        <v>2.7E7</v>
      </c>
      <c r="I19" s="9">
        <v>3.0E7</v>
      </c>
    </row>
    <row r="20" ht="19.5" customHeight="1">
      <c r="A20" s="6">
        <v>19.0</v>
      </c>
      <c r="B20" s="8" t="s">
        <v>102</v>
      </c>
      <c r="C20" s="10" t="s">
        <v>15</v>
      </c>
      <c r="D20" s="6">
        <v>1.4708E7</v>
      </c>
      <c r="E20" s="6">
        <v>2.9416E7</v>
      </c>
      <c r="F20" s="6">
        <v>1.2E7</v>
      </c>
      <c r="G20" s="6">
        <v>1.275E7</v>
      </c>
      <c r="H20" s="6">
        <v>1.35E7</v>
      </c>
      <c r="I20" s="6">
        <v>1.5E7</v>
      </c>
    </row>
    <row r="21" ht="19.5" customHeight="1">
      <c r="A21" s="9">
        <v>20.0</v>
      </c>
      <c r="B21" s="11" t="s">
        <v>106</v>
      </c>
      <c r="C21" s="13" t="s">
        <v>15</v>
      </c>
      <c r="D21" s="9">
        <v>1.4708E7</v>
      </c>
      <c r="E21" s="9">
        <v>2.9416E7</v>
      </c>
      <c r="F21" s="9">
        <v>1.2E7</v>
      </c>
      <c r="G21" s="9">
        <v>1.275E7</v>
      </c>
      <c r="H21" s="9">
        <v>1.35E7</v>
      </c>
      <c r="I21" s="9">
        <v>1.5E7</v>
      </c>
    </row>
    <row r="22" ht="19.5" customHeight="1">
      <c r="A22" s="6">
        <v>21.0</v>
      </c>
      <c r="B22" s="8" t="s">
        <v>115</v>
      </c>
      <c r="C22" s="10" t="s">
        <v>15</v>
      </c>
      <c r="D22" s="6">
        <v>1.4708E7</v>
      </c>
      <c r="E22" s="6">
        <v>2.9416E7</v>
      </c>
      <c r="F22" s="6">
        <v>1.2E7</v>
      </c>
      <c r="G22" s="6">
        <v>1.275E7</v>
      </c>
      <c r="H22" s="6">
        <v>1.35E7</v>
      </c>
      <c r="I22" s="6">
        <v>1.5E7</v>
      </c>
    </row>
    <row r="23" ht="19.5" customHeight="1">
      <c r="A23" s="9">
        <v>22.0</v>
      </c>
      <c r="B23" s="11" t="s">
        <v>119</v>
      </c>
      <c r="C23" s="13" t="s">
        <v>15</v>
      </c>
      <c r="D23" s="9">
        <v>1.4708E7</v>
      </c>
      <c r="E23" s="9">
        <v>2.9416E7</v>
      </c>
      <c r="F23" s="9">
        <v>1.2E7</v>
      </c>
      <c r="G23" s="9">
        <v>1.275E7</v>
      </c>
      <c r="H23" s="9">
        <v>1.35E7</v>
      </c>
      <c r="I23" s="9">
        <v>1.5E7</v>
      </c>
    </row>
    <row r="24" ht="19.5" customHeight="1">
      <c r="A24" s="6">
        <v>23.0</v>
      </c>
      <c r="B24" s="8" t="s">
        <v>129</v>
      </c>
      <c r="C24" s="10" t="s">
        <v>15</v>
      </c>
      <c r="D24" s="6">
        <v>1.5348E7</v>
      </c>
      <c r="E24" s="6">
        <v>3.0696E7</v>
      </c>
      <c r="F24" s="6">
        <v>1.2E7</v>
      </c>
      <c r="G24" s="6">
        <v>1.275E7</v>
      </c>
      <c r="H24" s="6">
        <v>1.35E7</v>
      </c>
      <c r="I24" s="6">
        <v>1.5E7</v>
      </c>
    </row>
    <row r="25" ht="19.5" customHeight="1">
      <c r="A25" s="9">
        <v>24.0</v>
      </c>
      <c r="B25" s="11" t="s">
        <v>125</v>
      </c>
      <c r="C25" s="13" t="s">
        <v>15</v>
      </c>
      <c r="D25" s="9">
        <v>1.4708E7</v>
      </c>
      <c r="E25" s="9">
        <v>2.9416E7</v>
      </c>
      <c r="F25" s="9">
        <v>1.2E7</v>
      </c>
      <c r="G25" s="9">
        <v>1.275E7</v>
      </c>
      <c r="H25" s="9">
        <v>1.35E7</v>
      </c>
      <c r="I25" s="9">
        <v>1.5E7</v>
      </c>
    </row>
    <row r="26" ht="19.5" customHeight="1">
      <c r="A26" s="6">
        <v>25.0</v>
      </c>
      <c r="B26" s="8" t="s">
        <v>385</v>
      </c>
      <c r="C26" s="10" t="s">
        <v>15</v>
      </c>
      <c r="D26" s="6">
        <v>1.4708E7</v>
      </c>
      <c r="E26" s="6">
        <v>2.9416E7</v>
      </c>
      <c r="F26" s="6">
        <v>1.2E7</v>
      </c>
      <c r="G26" s="6">
        <v>1.275E7</v>
      </c>
      <c r="H26" s="6">
        <v>1.35E7</v>
      </c>
      <c r="I26" s="6">
        <v>1.5E7</v>
      </c>
    </row>
    <row r="27" ht="19.5" customHeight="1">
      <c r="A27" s="9">
        <v>26.0</v>
      </c>
      <c r="B27" s="11" t="s">
        <v>136</v>
      </c>
      <c r="C27" s="13" t="s">
        <v>15</v>
      </c>
      <c r="D27" s="9">
        <v>1.9964E7</v>
      </c>
      <c r="E27" s="9">
        <v>3.9928E7</v>
      </c>
      <c r="F27" s="9">
        <v>1.16611E8</v>
      </c>
      <c r="G27" s="9">
        <v>1.275E7</v>
      </c>
      <c r="H27" s="9">
        <v>1.35E7</v>
      </c>
      <c r="I27" s="9">
        <v>1.5E7</v>
      </c>
    </row>
    <row r="28" ht="19.5" customHeight="1">
      <c r="A28" s="6">
        <v>27.0</v>
      </c>
      <c r="B28" s="8" t="s">
        <v>388</v>
      </c>
      <c r="C28" s="10" t="s">
        <v>15</v>
      </c>
      <c r="D28" s="6">
        <v>1.4708E7</v>
      </c>
      <c r="E28" s="6">
        <v>2.9416E7</v>
      </c>
      <c r="F28" s="8"/>
      <c r="G28" s="8"/>
      <c r="H28" s="8"/>
      <c r="I28" s="8"/>
    </row>
    <row r="29" ht="19.5" customHeight="1">
      <c r="A29" s="9">
        <v>28.0</v>
      </c>
      <c r="B29" s="11" t="s">
        <v>381</v>
      </c>
      <c r="C29" s="13" t="s">
        <v>15</v>
      </c>
      <c r="D29" s="9">
        <v>1.4708E7</v>
      </c>
      <c r="E29" s="9">
        <v>2.9416E7</v>
      </c>
      <c r="F29" s="11"/>
      <c r="G29" s="11"/>
      <c r="H29" s="11"/>
      <c r="I29" s="11"/>
    </row>
    <row r="30" ht="19.5" customHeight="1">
      <c r="A30" s="6">
        <v>29.0</v>
      </c>
      <c r="B30" s="8" t="s">
        <v>389</v>
      </c>
      <c r="C30" s="10" t="s">
        <v>15</v>
      </c>
      <c r="D30" s="6">
        <v>1.398E7</v>
      </c>
      <c r="E30" s="6">
        <v>2.796E7</v>
      </c>
      <c r="F30" s="8"/>
      <c r="G30" s="6">
        <v>4250000.0</v>
      </c>
      <c r="H30" s="6">
        <v>4500000.0</v>
      </c>
      <c r="I30" s="6">
        <v>5000000.0</v>
      </c>
    </row>
    <row r="31" ht="19.5" customHeight="1">
      <c r="A31" s="9">
        <v>30.0</v>
      </c>
      <c r="B31" s="11" t="s">
        <v>148</v>
      </c>
      <c r="C31" s="13" t="s">
        <v>15</v>
      </c>
      <c r="D31" s="9">
        <v>8595000.0</v>
      </c>
      <c r="E31" s="9">
        <v>1.719E7</v>
      </c>
      <c r="F31" s="11"/>
      <c r="G31" s="9">
        <v>4250000.0</v>
      </c>
      <c r="H31" s="9">
        <v>4500000.0</v>
      </c>
      <c r="I31" s="9">
        <v>5000000.0</v>
      </c>
    </row>
    <row r="32" ht="19.5" customHeight="1">
      <c r="A32" s="6">
        <v>31.0</v>
      </c>
      <c r="B32" s="8" t="s">
        <v>390</v>
      </c>
      <c r="C32" s="10" t="s">
        <v>15</v>
      </c>
      <c r="D32" s="6">
        <v>8237000.0</v>
      </c>
      <c r="E32" s="6">
        <v>1.6474E7</v>
      </c>
      <c r="F32" s="8"/>
      <c r="G32" s="6">
        <v>4250000.0</v>
      </c>
      <c r="H32" s="6">
        <v>4500000.0</v>
      </c>
      <c r="I32" s="6">
        <v>5000000.0</v>
      </c>
    </row>
    <row r="33" ht="19.5" customHeight="1">
      <c r="A33" s="9">
        <v>32.0</v>
      </c>
      <c r="B33" s="11" t="s">
        <v>178</v>
      </c>
      <c r="C33" s="13" t="s">
        <v>15</v>
      </c>
      <c r="D33" s="9">
        <v>8595000.0</v>
      </c>
      <c r="E33" s="9">
        <v>1.719E7</v>
      </c>
      <c r="F33" s="11"/>
      <c r="G33" s="9">
        <v>4250000.0</v>
      </c>
      <c r="H33" s="9">
        <v>4500000.0</v>
      </c>
      <c r="I33" s="9">
        <v>5000000.0</v>
      </c>
    </row>
    <row r="34" ht="19.5" customHeight="1">
      <c r="A34" s="6">
        <v>33.0</v>
      </c>
      <c r="B34" s="8" t="s">
        <v>297</v>
      </c>
      <c r="C34" s="10" t="s">
        <v>15</v>
      </c>
      <c r="D34" s="6">
        <v>1.3398E7</v>
      </c>
      <c r="E34" s="6">
        <v>2.6796E7</v>
      </c>
      <c r="F34" s="8"/>
      <c r="G34" s="6">
        <v>4250000.0</v>
      </c>
      <c r="H34" s="6">
        <v>4500000.0</v>
      </c>
      <c r="I34" s="6">
        <v>5000000.0</v>
      </c>
    </row>
    <row r="35" ht="19.5" customHeight="1">
      <c r="A35" s="9">
        <v>34.0</v>
      </c>
      <c r="B35" s="11" t="s">
        <v>391</v>
      </c>
      <c r="C35" s="13" t="s">
        <v>15</v>
      </c>
      <c r="D35" s="9">
        <v>1.398E7</v>
      </c>
      <c r="E35" s="9">
        <v>2.796E7</v>
      </c>
      <c r="F35" s="11"/>
      <c r="G35" s="9">
        <v>4250000.0</v>
      </c>
      <c r="H35" s="9">
        <v>4500000.0</v>
      </c>
      <c r="I35" s="9">
        <v>5000000.0</v>
      </c>
    </row>
    <row r="36" ht="19.5" customHeight="1">
      <c r="A36" s="6">
        <v>35.0</v>
      </c>
      <c r="B36" s="8" t="s">
        <v>141</v>
      </c>
      <c r="C36" s="10" t="s">
        <v>15</v>
      </c>
      <c r="D36" s="6">
        <v>8237000.0</v>
      </c>
      <c r="E36" s="6">
        <v>1.6474E7</v>
      </c>
      <c r="F36" s="8"/>
      <c r="G36" s="6">
        <v>4250000.0</v>
      </c>
      <c r="H36" s="6">
        <v>4500000.0</v>
      </c>
      <c r="I36" s="6">
        <v>5000000.0</v>
      </c>
    </row>
    <row r="37" ht="19.5" customHeight="1">
      <c r="A37" s="9">
        <v>36.0</v>
      </c>
      <c r="B37" s="11" t="s">
        <v>291</v>
      </c>
      <c r="C37" s="13" t="s">
        <v>15</v>
      </c>
      <c r="D37" s="9">
        <v>8595000.0</v>
      </c>
      <c r="E37" s="9">
        <v>1.719E7</v>
      </c>
      <c r="F37" s="11"/>
      <c r="G37" s="9">
        <v>4250000.0</v>
      </c>
      <c r="H37" s="9">
        <v>4500000.0</v>
      </c>
      <c r="I37" s="9">
        <v>5000000.0</v>
      </c>
    </row>
    <row r="38" ht="19.5" customHeight="1">
      <c r="A38" s="6">
        <v>37.0</v>
      </c>
      <c r="B38" s="8" t="s">
        <v>355</v>
      </c>
      <c r="C38" s="10" t="s">
        <v>15</v>
      </c>
      <c r="D38" s="6">
        <v>8595000.0</v>
      </c>
      <c r="E38" s="6">
        <v>1.719E7</v>
      </c>
      <c r="F38" s="8"/>
      <c r="G38" s="6">
        <v>4250000.0</v>
      </c>
      <c r="H38" s="6">
        <v>4500000.0</v>
      </c>
      <c r="I38" s="6">
        <v>5000000.0</v>
      </c>
    </row>
    <row r="39" ht="19.5" customHeight="1">
      <c r="A39" s="9">
        <v>38.0</v>
      </c>
      <c r="B39" s="11" t="s">
        <v>152</v>
      </c>
      <c r="C39" s="13" t="s">
        <v>15</v>
      </c>
      <c r="D39" s="9">
        <v>1.398E7</v>
      </c>
      <c r="E39" s="9">
        <v>2.796E7</v>
      </c>
      <c r="F39" s="11"/>
      <c r="G39" s="9">
        <v>4250000.0</v>
      </c>
      <c r="H39" s="9">
        <v>4500000.0</v>
      </c>
      <c r="I39" s="9">
        <v>5000000.0</v>
      </c>
    </row>
    <row r="40" ht="19.5" customHeight="1">
      <c r="A40" s="6">
        <v>39.0</v>
      </c>
      <c r="B40" s="8" t="s">
        <v>172</v>
      </c>
      <c r="C40" s="10" t="s">
        <v>15</v>
      </c>
      <c r="D40" s="6">
        <v>1.398E7</v>
      </c>
      <c r="E40" s="6">
        <v>2.796E7</v>
      </c>
      <c r="F40" s="8"/>
      <c r="G40" s="6">
        <v>4250000.0</v>
      </c>
      <c r="H40" s="6">
        <v>4500000.0</v>
      </c>
      <c r="I40" s="6">
        <v>5000000.0</v>
      </c>
    </row>
    <row r="41" ht="19.5" customHeight="1">
      <c r="A41" s="9">
        <v>40.0</v>
      </c>
      <c r="B41" s="11" t="s">
        <v>143</v>
      </c>
      <c r="C41" s="13" t="s">
        <v>15</v>
      </c>
      <c r="D41" s="9">
        <v>1.398E7</v>
      </c>
      <c r="E41" s="9">
        <v>2.796E7</v>
      </c>
      <c r="F41" s="11"/>
      <c r="G41" s="9">
        <v>4250000.0</v>
      </c>
      <c r="H41" s="9">
        <v>4500000.0</v>
      </c>
      <c r="I41" s="9">
        <v>5000000.0</v>
      </c>
    </row>
    <row r="42" ht="19.5" customHeight="1">
      <c r="A42" s="6">
        <v>41.0</v>
      </c>
      <c r="B42" s="8" t="s">
        <v>166</v>
      </c>
      <c r="C42" s="10" t="s">
        <v>15</v>
      </c>
      <c r="D42" s="6">
        <v>1.398E7</v>
      </c>
      <c r="E42" s="6">
        <v>2.796E7</v>
      </c>
      <c r="F42" s="8"/>
      <c r="G42" s="6">
        <v>4250000.0</v>
      </c>
      <c r="H42" s="6">
        <v>4500000.0</v>
      </c>
      <c r="I42" s="6">
        <v>5000000.0</v>
      </c>
    </row>
    <row r="43" ht="19.5" customHeight="1">
      <c r="A43" s="9">
        <v>42.0</v>
      </c>
      <c r="B43" s="11" t="s">
        <v>173</v>
      </c>
      <c r="C43" s="13" t="s">
        <v>15</v>
      </c>
      <c r="D43" s="9">
        <v>1.3398E7</v>
      </c>
      <c r="E43" s="9">
        <v>2.6796E7</v>
      </c>
      <c r="F43" s="11"/>
      <c r="G43" s="9">
        <v>4250000.0</v>
      </c>
      <c r="H43" s="9">
        <v>4500000.0</v>
      </c>
      <c r="I43" s="9">
        <v>5000000.0</v>
      </c>
    </row>
    <row r="44" ht="19.5" customHeight="1">
      <c r="A44" s="6">
        <v>43.0</v>
      </c>
      <c r="B44" s="8" t="s">
        <v>155</v>
      </c>
      <c r="C44" s="10" t="s">
        <v>15</v>
      </c>
      <c r="D44" s="6">
        <v>8595000.0</v>
      </c>
      <c r="E44" s="6">
        <v>1.719E7</v>
      </c>
      <c r="F44" s="8"/>
      <c r="G44" s="6">
        <v>4250000.0</v>
      </c>
      <c r="H44" s="6">
        <v>4500000.0</v>
      </c>
      <c r="I44" s="6">
        <v>5000000.0</v>
      </c>
    </row>
    <row r="45" ht="19.5" customHeight="1">
      <c r="A45" s="9">
        <v>44.0</v>
      </c>
      <c r="B45" s="11" t="s">
        <v>138</v>
      </c>
      <c r="C45" s="13" t="s">
        <v>15</v>
      </c>
      <c r="D45" s="9">
        <v>8237000.0</v>
      </c>
      <c r="E45" s="9">
        <v>1.6474E7</v>
      </c>
      <c r="F45" s="11"/>
      <c r="G45" s="9">
        <v>4250000.0</v>
      </c>
      <c r="H45" s="9">
        <v>4500000.0</v>
      </c>
      <c r="I45" s="9">
        <v>5000000.0</v>
      </c>
    </row>
    <row r="46" ht="19.5" customHeight="1">
      <c r="A46" s="6">
        <v>45.0</v>
      </c>
      <c r="B46" s="8" t="s">
        <v>394</v>
      </c>
      <c r="C46" s="10" t="s">
        <v>15</v>
      </c>
      <c r="D46" s="6">
        <v>1.3398E7</v>
      </c>
      <c r="E46" s="6">
        <v>2.6796E7</v>
      </c>
      <c r="F46" s="8"/>
      <c r="G46" s="8"/>
      <c r="H46" s="8"/>
      <c r="I46" s="8"/>
    </row>
    <row r="47" ht="19.5" customHeight="1">
      <c r="A47" s="9">
        <v>46.0</v>
      </c>
      <c r="B47" s="11" t="s">
        <v>183</v>
      </c>
      <c r="C47" s="13" t="s">
        <v>15</v>
      </c>
      <c r="D47" s="9">
        <v>3.83085E7</v>
      </c>
      <c r="E47" s="9">
        <v>7.6617E7</v>
      </c>
      <c r="F47" s="9">
        <v>7.6617E7</v>
      </c>
      <c r="G47" s="9">
        <v>1.53234E8</v>
      </c>
      <c r="H47" s="9">
        <v>2.29851E8</v>
      </c>
      <c r="I47" s="9">
        <v>2.5E8</v>
      </c>
    </row>
    <row r="48" ht="19.5" customHeight="1">
      <c r="A48" s="6">
        <v>47.0</v>
      </c>
      <c r="B48" s="8" t="s">
        <v>184</v>
      </c>
      <c r="C48" s="10" t="s">
        <v>15</v>
      </c>
      <c r="D48" s="6">
        <v>1.4708E7</v>
      </c>
      <c r="E48" s="6">
        <v>2.9416E7</v>
      </c>
      <c r="F48" s="6">
        <v>1.4708E7</v>
      </c>
      <c r="G48" s="6">
        <v>2.9416E7</v>
      </c>
      <c r="H48" s="6">
        <v>3.0E7</v>
      </c>
      <c r="I48" s="6">
        <v>3.0E7</v>
      </c>
    </row>
    <row r="49" ht="19.5" customHeight="1">
      <c r="A49" s="9">
        <v>48.0</v>
      </c>
      <c r="B49" s="11" t="s">
        <v>195</v>
      </c>
      <c r="C49" s="13" t="s">
        <v>15</v>
      </c>
      <c r="D49" s="9">
        <v>1.398E7</v>
      </c>
      <c r="E49" s="9">
        <v>2.796E7</v>
      </c>
      <c r="F49" s="9">
        <v>4000000.0</v>
      </c>
      <c r="G49" s="9">
        <v>4250000.0</v>
      </c>
      <c r="H49" s="9">
        <v>4500000.0</v>
      </c>
      <c r="I49" s="9">
        <v>5000000.0</v>
      </c>
    </row>
    <row r="50" ht="19.5" customHeight="1">
      <c r="A50" s="6">
        <v>49.0</v>
      </c>
      <c r="B50" s="8" t="s">
        <v>193</v>
      </c>
      <c r="C50" s="10" t="s">
        <v>15</v>
      </c>
      <c r="D50" s="6">
        <v>1.398E7</v>
      </c>
      <c r="E50" s="6">
        <v>2.796E7</v>
      </c>
      <c r="F50" s="6">
        <v>4000000.0</v>
      </c>
      <c r="G50" s="6">
        <v>4250000.0</v>
      </c>
      <c r="H50" s="6">
        <v>4500000.0</v>
      </c>
      <c r="I50" s="6">
        <v>5000000.0</v>
      </c>
    </row>
    <row r="51" ht="19.5" customHeight="1">
      <c r="A51" s="9">
        <v>50.0</v>
      </c>
      <c r="B51" s="11" t="s">
        <v>194</v>
      </c>
      <c r="C51" s="13" t="s">
        <v>15</v>
      </c>
      <c r="D51" s="9">
        <v>1.398E7</v>
      </c>
      <c r="E51" s="9">
        <v>2.796E7</v>
      </c>
      <c r="F51" s="9">
        <v>4000000.0</v>
      </c>
      <c r="G51" s="9">
        <v>4250000.0</v>
      </c>
      <c r="H51" s="9">
        <v>4500000.0</v>
      </c>
      <c r="I51" s="9">
        <v>5000000.0</v>
      </c>
    </row>
    <row r="52" ht="19.5" customHeight="1">
      <c r="A52" s="6">
        <v>51.0</v>
      </c>
      <c r="B52" s="8" t="s">
        <v>187</v>
      </c>
      <c r="C52" s="10" t="s">
        <v>15</v>
      </c>
      <c r="D52" s="6">
        <v>1.398E7</v>
      </c>
      <c r="E52" s="6">
        <v>2.796E7</v>
      </c>
      <c r="F52" s="6">
        <v>4000000.0</v>
      </c>
      <c r="G52" s="6">
        <v>4250000.0</v>
      </c>
      <c r="H52" s="6">
        <v>4500000.0</v>
      </c>
      <c r="I52" s="6">
        <v>5000000.0</v>
      </c>
    </row>
    <row r="53" ht="19.5" customHeight="1">
      <c r="A53" s="9">
        <v>52.0</v>
      </c>
      <c r="B53" s="11" t="s">
        <v>198</v>
      </c>
      <c r="C53" s="13" t="s">
        <v>15</v>
      </c>
      <c r="D53" s="9">
        <v>1.398E7</v>
      </c>
      <c r="E53" s="9">
        <v>2.796E7</v>
      </c>
      <c r="F53" s="9">
        <v>2.0E7</v>
      </c>
      <c r="G53" s="9">
        <v>2.125E7</v>
      </c>
      <c r="H53" s="9">
        <v>2.25E7</v>
      </c>
      <c r="I53" s="9">
        <v>2.5E7</v>
      </c>
    </row>
    <row r="54" ht="19.5" customHeight="1">
      <c r="A54" s="6">
        <v>53.0</v>
      </c>
      <c r="B54" s="8" t="s">
        <v>197</v>
      </c>
      <c r="C54" s="10" t="s">
        <v>15</v>
      </c>
      <c r="D54" s="6">
        <v>1.3398E7</v>
      </c>
      <c r="E54" s="6">
        <v>2.6796E7</v>
      </c>
      <c r="F54" s="6">
        <v>8000000.0</v>
      </c>
      <c r="G54" s="6">
        <v>8500000.0</v>
      </c>
      <c r="H54" s="6">
        <v>9000000.0</v>
      </c>
      <c r="I54" s="6">
        <v>1.0E7</v>
      </c>
    </row>
    <row r="55" ht="19.5" customHeight="1">
      <c r="A55" s="9">
        <v>54.0</v>
      </c>
      <c r="B55" s="11" t="s">
        <v>192</v>
      </c>
      <c r="C55" s="13" t="s">
        <v>15</v>
      </c>
      <c r="D55" s="9">
        <v>1.7412E7</v>
      </c>
      <c r="E55" s="9">
        <v>3.4824E7</v>
      </c>
      <c r="F55" s="9">
        <v>2.4E7</v>
      </c>
      <c r="G55" s="9">
        <v>2.55E7</v>
      </c>
      <c r="H55" s="9">
        <v>2.7E7</v>
      </c>
      <c r="I55" s="9">
        <v>3.0E7</v>
      </c>
    </row>
    <row r="56" ht="19.5" customHeight="1">
      <c r="A56" s="6">
        <v>55.0</v>
      </c>
      <c r="B56" s="8" t="s">
        <v>208</v>
      </c>
      <c r="C56" s="10" t="s">
        <v>15</v>
      </c>
      <c r="D56" s="6">
        <v>8237000.0</v>
      </c>
      <c r="E56" s="6">
        <v>1.6474E7</v>
      </c>
      <c r="F56" s="6">
        <v>4000000.0</v>
      </c>
      <c r="G56" s="6">
        <v>4250000.0</v>
      </c>
      <c r="H56" s="6">
        <v>4500000.0</v>
      </c>
      <c r="I56" s="6">
        <v>5000000.0</v>
      </c>
    </row>
    <row r="57" ht="19.5" customHeight="1">
      <c r="A57" s="9">
        <v>56.0</v>
      </c>
      <c r="B57" s="11" t="s">
        <v>200</v>
      </c>
      <c r="C57" s="13" t="s">
        <v>15</v>
      </c>
      <c r="D57" s="9">
        <v>9050000.0</v>
      </c>
      <c r="E57" s="9">
        <v>1.81E7</v>
      </c>
      <c r="F57" s="9">
        <v>4000000.0</v>
      </c>
      <c r="G57" s="9">
        <v>4250000.0</v>
      </c>
      <c r="H57" s="9">
        <v>4500000.0</v>
      </c>
      <c r="I57" s="9">
        <v>5000000.0</v>
      </c>
    </row>
    <row r="58" ht="19.5" customHeight="1">
      <c r="A58" s="6">
        <v>57.0</v>
      </c>
      <c r="B58" s="8" t="s">
        <v>204</v>
      </c>
      <c r="C58" s="10" t="s">
        <v>15</v>
      </c>
      <c r="D58" s="6">
        <v>8237000.0</v>
      </c>
      <c r="E58" s="6">
        <v>1.6474E7</v>
      </c>
      <c r="F58" s="6">
        <v>4000000.0</v>
      </c>
      <c r="G58" s="6">
        <v>4250000.0</v>
      </c>
      <c r="H58" s="6">
        <v>4500000.0</v>
      </c>
      <c r="I58" s="6">
        <v>5000000.0</v>
      </c>
    </row>
    <row r="59" ht="19.5" customHeight="1">
      <c r="A59" s="9">
        <v>58.0</v>
      </c>
      <c r="B59" s="11" t="s">
        <v>203</v>
      </c>
      <c r="C59" s="13" t="s">
        <v>15</v>
      </c>
      <c r="D59" s="9">
        <v>8237000.0</v>
      </c>
      <c r="E59" s="9">
        <v>1.6474E7</v>
      </c>
      <c r="F59" s="9">
        <v>4000000.0</v>
      </c>
      <c r="G59" s="9">
        <v>4250000.0</v>
      </c>
      <c r="H59" s="9">
        <v>4500000.0</v>
      </c>
      <c r="I59" s="9">
        <v>5000000.0</v>
      </c>
    </row>
    <row r="60" ht="19.5" customHeight="1">
      <c r="A60" s="6">
        <v>59.0</v>
      </c>
      <c r="B60" s="8" t="s">
        <v>312</v>
      </c>
      <c r="C60" s="10" t="s">
        <v>15</v>
      </c>
      <c r="D60" s="6">
        <v>1.5348E7</v>
      </c>
      <c r="E60" s="6">
        <v>3.0696E7</v>
      </c>
      <c r="F60" s="6">
        <v>1.5348E7</v>
      </c>
      <c r="G60" s="6">
        <v>3.0696E7</v>
      </c>
      <c r="H60" s="6">
        <v>4.0E7</v>
      </c>
      <c r="I60" s="6">
        <v>4.0E7</v>
      </c>
    </row>
    <row r="61" ht="19.5" customHeight="1">
      <c r="A61" s="9">
        <v>60.0</v>
      </c>
      <c r="B61" s="11" t="s">
        <v>223</v>
      </c>
      <c r="C61" s="13" t="s">
        <v>15</v>
      </c>
      <c r="D61" s="9">
        <v>3.8309E7</v>
      </c>
      <c r="E61" s="9">
        <v>7.6618E7</v>
      </c>
      <c r="F61" s="9">
        <v>7.6618E7</v>
      </c>
      <c r="G61" s="9">
        <v>1.53236E8</v>
      </c>
      <c r="H61" s="9">
        <v>2.29854E8</v>
      </c>
      <c r="I61" s="9">
        <v>2.5E8</v>
      </c>
    </row>
    <row r="62" ht="19.5" customHeight="1">
      <c r="A62" s="6">
        <v>61.0</v>
      </c>
      <c r="B62" s="8" t="s">
        <v>214</v>
      </c>
      <c r="C62" s="10" t="s">
        <v>15</v>
      </c>
      <c r="D62" s="6">
        <v>1.3398E7</v>
      </c>
      <c r="E62" s="6">
        <v>2.6796E7</v>
      </c>
      <c r="F62" s="6">
        <v>4800000.0</v>
      </c>
      <c r="G62" s="6">
        <v>5100000.0</v>
      </c>
      <c r="H62" s="6">
        <v>5400000.0</v>
      </c>
      <c r="I62" s="6">
        <v>6000000.0</v>
      </c>
    </row>
    <row r="63" ht="19.5" customHeight="1">
      <c r="A63" s="9">
        <v>62.0</v>
      </c>
      <c r="B63" s="11" t="s">
        <v>307</v>
      </c>
      <c r="C63" s="13" t="s">
        <v>15</v>
      </c>
      <c r="D63" s="9">
        <v>1.3398E7</v>
      </c>
      <c r="E63" s="9">
        <v>2.6796E7</v>
      </c>
      <c r="F63" s="9">
        <v>4800000.0</v>
      </c>
      <c r="G63" s="9">
        <v>5100000.0</v>
      </c>
      <c r="H63" s="9">
        <v>5400000.0</v>
      </c>
      <c r="I63" s="9">
        <v>6000000.0</v>
      </c>
    </row>
    <row r="64" ht="19.5" customHeight="1">
      <c r="A64" s="6">
        <v>63.0</v>
      </c>
      <c r="B64" s="8" t="s">
        <v>218</v>
      </c>
      <c r="C64" s="10" t="s">
        <v>15</v>
      </c>
      <c r="D64" s="6">
        <v>1.3398E7</v>
      </c>
      <c r="E64" s="6">
        <v>2.6796E7</v>
      </c>
      <c r="F64" s="6">
        <v>4800000.0</v>
      </c>
      <c r="G64" s="6">
        <v>5100000.0</v>
      </c>
      <c r="H64" s="6">
        <v>5400000.0</v>
      </c>
      <c r="I64" s="6">
        <v>6000000.0</v>
      </c>
    </row>
    <row r="65" ht="19.5" customHeight="1">
      <c r="A65" s="9">
        <v>64.0</v>
      </c>
      <c r="B65" s="11" t="s">
        <v>277</v>
      </c>
      <c r="C65" s="13" t="s">
        <v>278</v>
      </c>
      <c r="D65" s="9">
        <v>1.5125E7</v>
      </c>
      <c r="E65" s="9">
        <v>3.025E7</v>
      </c>
      <c r="F65" s="9">
        <v>1.2E7</v>
      </c>
      <c r="G65" s="9">
        <v>1.275E7</v>
      </c>
      <c r="H65" s="9">
        <v>1.35E7</v>
      </c>
      <c r="I65" s="9">
        <v>1.5E7</v>
      </c>
    </row>
    <row r="66" ht="19.5" customHeight="1">
      <c r="A66" s="6">
        <v>65.0</v>
      </c>
      <c r="B66" s="8" t="s">
        <v>51</v>
      </c>
      <c r="C66" s="10" t="s">
        <v>22</v>
      </c>
      <c r="D66" s="6">
        <v>1.4888E7</v>
      </c>
      <c r="E66" s="6">
        <v>2.9776E7</v>
      </c>
      <c r="F66" s="8"/>
      <c r="G66" s="8"/>
      <c r="H66" s="8"/>
      <c r="I66" s="8"/>
    </row>
    <row r="67" ht="19.5" customHeight="1">
      <c r="A67" s="9">
        <v>66.0</v>
      </c>
      <c r="B67" s="11" t="s">
        <v>64</v>
      </c>
      <c r="C67" s="13" t="s">
        <v>22</v>
      </c>
      <c r="D67" s="9">
        <v>1.4888E7</v>
      </c>
      <c r="E67" s="9">
        <v>2.9776E7</v>
      </c>
      <c r="F67" s="11"/>
      <c r="G67" s="11"/>
      <c r="H67" s="11"/>
      <c r="I67" s="11"/>
    </row>
    <row r="68" ht="19.5" customHeight="1">
      <c r="A68" s="6">
        <v>67.0</v>
      </c>
      <c r="B68" s="8" t="s">
        <v>59</v>
      </c>
      <c r="C68" s="10" t="s">
        <v>22</v>
      </c>
      <c r="D68" s="6">
        <v>1.5536E7</v>
      </c>
      <c r="E68" s="6">
        <v>3.1072E7</v>
      </c>
      <c r="F68" s="8"/>
      <c r="G68" s="8"/>
      <c r="H68" s="8"/>
      <c r="I68" s="8"/>
    </row>
    <row r="69" ht="19.5" customHeight="1">
      <c r="A69" s="9">
        <v>68.0</v>
      </c>
      <c r="B69" s="11" t="s">
        <v>14</v>
      </c>
      <c r="C69" s="13" t="s">
        <v>22</v>
      </c>
      <c r="D69" s="9">
        <v>1.4888E7</v>
      </c>
      <c r="E69" s="9">
        <v>2.9776E7</v>
      </c>
      <c r="F69" s="11"/>
      <c r="G69" s="11"/>
      <c r="H69" s="11"/>
      <c r="I69" s="11"/>
    </row>
    <row r="70" ht="19.5" customHeight="1">
      <c r="A70" s="6">
        <v>69.0</v>
      </c>
      <c r="B70" s="8" t="s">
        <v>123</v>
      </c>
      <c r="C70" s="10" t="s">
        <v>22</v>
      </c>
      <c r="D70" s="6">
        <v>2.3767E7</v>
      </c>
      <c r="E70" s="6">
        <v>4.7534E7</v>
      </c>
      <c r="F70" s="8"/>
      <c r="G70" s="8"/>
      <c r="H70" s="8"/>
      <c r="I70" s="8"/>
    </row>
    <row r="71" ht="19.5" customHeight="1">
      <c r="A71" s="9">
        <v>70.0</v>
      </c>
      <c r="B71" s="11" t="s">
        <v>93</v>
      </c>
      <c r="C71" s="13" t="s">
        <v>22</v>
      </c>
      <c r="D71" s="9">
        <v>2.6218E7</v>
      </c>
      <c r="E71" s="9">
        <v>5.2436E7</v>
      </c>
      <c r="F71" s="11"/>
      <c r="G71" s="11"/>
      <c r="H71" s="11"/>
      <c r="I71" s="11"/>
    </row>
    <row r="72" ht="19.5" customHeight="1">
      <c r="A72" s="6">
        <v>71.0</v>
      </c>
      <c r="B72" s="8" t="s">
        <v>88</v>
      </c>
      <c r="C72" s="10" t="s">
        <v>22</v>
      </c>
      <c r="D72" s="6">
        <v>2.6218E7</v>
      </c>
      <c r="E72" s="6">
        <v>5.2436E7</v>
      </c>
      <c r="F72" s="8"/>
      <c r="G72" s="8"/>
      <c r="H72" s="8"/>
      <c r="I72" s="8"/>
    </row>
    <row r="73" ht="19.5" customHeight="1">
      <c r="A73" s="9">
        <v>72.0</v>
      </c>
      <c r="B73" s="11" t="s">
        <v>101</v>
      </c>
      <c r="C73" s="13" t="s">
        <v>22</v>
      </c>
      <c r="D73" s="9">
        <v>2.6218E7</v>
      </c>
      <c r="E73" s="9">
        <v>5.2436E7</v>
      </c>
      <c r="F73" s="11"/>
      <c r="G73" s="11"/>
      <c r="H73" s="11"/>
      <c r="I73" s="11"/>
    </row>
    <row r="74" ht="19.5" customHeight="1">
      <c r="A74" s="6">
        <v>73.0</v>
      </c>
      <c r="B74" s="8" t="s">
        <v>74</v>
      </c>
      <c r="C74" s="10" t="s">
        <v>22</v>
      </c>
      <c r="D74" s="6">
        <v>1.4888E7</v>
      </c>
      <c r="E74" s="6">
        <v>2.9776E7</v>
      </c>
      <c r="F74" s="8"/>
      <c r="G74" s="8"/>
      <c r="H74" s="8"/>
      <c r="I74" s="8"/>
    </row>
    <row r="75" ht="19.5" customHeight="1">
      <c r="A75" s="9">
        <v>74.0</v>
      </c>
      <c r="B75" s="11" t="s">
        <v>411</v>
      </c>
      <c r="C75" s="13" t="s">
        <v>22</v>
      </c>
      <c r="D75" s="9">
        <v>2.323E7</v>
      </c>
      <c r="E75" s="9">
        <v>4.646E7</v>
      </c>
      <c r="F75" s="11"/>
      <c r="G75" s="11"/>
      <c r="H75" s="11"/>
      <c r="I75" s="11"/>
    </row>
    <row r="76" ht="19.5" customHeight="1">
      <c r="A76" s="6">
        <v>75.0</v>
      </c>
      <c r="B76" s="8" t="s">
        <v>114</v>
      </c>
      <c r="C76" s="10" t="s">
        <v>22</v>
      </c>
      <c r="D76" s="6">
        <v>2.323E7</v>
      </c>
      <c r="E76" s="6">
        <v>4.646E7</v>
      </c>
      <c r="F76" s="8"/>
      <c r="G76" s="8"/>
      <c r="H76" s="8"/>
      <c r="I76" s="8"/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38.5"/>
    <col customWidth="1" min="3" max="3" width="10.5"/>
    <col customWidth="1" min="4" max="11" width="19.25"/>
    <col customWidth="1" min="12" max="22" width="7.63"/>
  </cols>
  <sheetData>
    <row r="1" ht="27.75" customHeight="1">
      <c r="A1" s="90" t="s">
        <v>0</v>
      </c>
      <c r="B1" s="90" t="s">
        <v>2</v>
      </c>
      <c r="C1" s="90" t="s">
        <v>3</v>
      </c>
      <c r="D1" s="90" t="s">
        <v>397</v>
      </c>
      <c r="E1" s="90" t="s">
        <v>398</v>
      </c>
      <c r="F1" s="90" t="s">
        <v>401</v>
      </c>
      <c r="G1" s="90" t="s">
        <v>402</v>
      </c>
      <c r="H1" s="90" t="s">
        <v>403</v>
      </c>
      <c r="I1" s="90" t="s">
        <v>404</v>
      </c>
      <c r="J1" s="90" t="s">
        <v>405</v>
      </c>
      <c r="K1" s="90" t="s">
        <v>406</v>
      </c>
    </row>
    <row r="2" ht="19.5" customHeight="1">
      <c r="A2" s="6">
        <v>1.0</v>
      </c>
      <c r="B2" s="8" t="s">
        <v>102</v>
      </c>
      <c r="C2" s="10" t="s">
        <v>15</v>
      </c>
      <c r="D2" s="6">
        <v>500000.0</v>
      </c>
      <c r="E2" s="6">
        <v>1000000.0</v>
      </c>
      <c r="F2" s="6">
        <v>3940000.0</v>
      </c>
      <c r="G2" s="6">
        <v>4728000.0</v>
      </c>
      <c r="H2" s="6">
        <v>5674000.0</v>
      </c>
      <c r="I2" s="6">
        <v>6808000.0</v>
      </c>
      <c r="J2" s="6">
        <v>8170000.0</v>
      </c>
      <c r="K2" s="6">
        <v>9804000.0</v>
      </c>
    </row>
    <row r="3" ht="19.5" customHeight="1">
      <c r="A3" s="9">
        <v>2.0</v>
      </c>
      <c r="B3" s="11" t="s">
        <v>106</v>
      </c>
      <c r="C3" s="13" t="s">
        <v>15</v>
      </c>
      <c r="D3" s="9">
        <v>500000.0</v>
      </c>
      <c r="E3" s="9">
        <v>1000000.0</v>
      </c>
      <c r="F3" s="9">
        <v>3940000.0</v>
      </c>
      <c r="G3" s="9">
        <v>4728000.0</v>
      </c>
      <c r="H3" s="9">
        <v>5674000.0</v>
      </c>
      <c r="I3" s="9">
        <v>6808000.0</v>
      </c>
      <c r="J3" s="9">
        <v>8170000.0</v>
      </c>
      <c r="K3" s="9">
        <v>9804000.0</v>
      </c>
    </row>
    <row r="4" ht="19.5" customHeight="1">
      <c r="A4" s="6">
        <v>3.0</v>
      </c>
      <c r="B4" s="8" t="s">
        <v>14</v>
      </c>
      <c r="C4" s="10" t="s">
        <v>15</v>
      </c>
      <c r="D4" s="6">
        <v>500000.0</v>
      </c>
      <c r="E4" s="6">
        <v>1000000.0</v>
      </c>
      <c r="F4" s="6">
        <v>2980000.0</v>
      </c>
      <c r="G4" s="6">
        <v>3576000.0</v>
      </c>
      <c r="H4" s="6">
        <v>4291000.0</v>
      </c>
      <c r="I4" s="6">
        <v>5149000.0</v>
      </c>
      <c r="J4" s="6">
        <v>6179000.0</v>
      </c>
      <c r="K4" s="6">
        <v>7415000.0</v>
      </c>
    </row>
    <row r="5" ht="19.5" customHeight="1">
      <c r="A5" s="9">
        <v>4.0</v>
      </c>
      <c r="B5" s="11" t="s">
        <v>58</v>
      </c>
      <c r="C5" s="13" t="s">
        <v>15</v>
      </c>
      <c r="D5" s="9">
        <v>500000.0</v>
      </c>
      <c r="E5" s="9">
        <v>1000000.0</v>
      </c>
      <c r="F5" s="9">
        <v>4440000.0</v>
      </c>
      <c r="G5" s="9">
        <v>5328000.0</v>
      </c>
      <c r="H5" s="9">
        <v>6394000.0</v>
      </c>
      <c r="I5" s="9">
        <v>7672000.0</v>
      </c>
      <c r="J5" s="9">
        <v>9207000.0</v>
      </c>
      <c r="K5" s="9">
        <v>1.1048E7</v>
      </c>
    </row>
    <row r="6" ht="19.5" customHeight="1">
      <c r="A6" s="6">
        <v>5.0</v>
      </c>
      <c r="B6" s="8" t="s">
        <v>138</v>
      </c>
      <c r="C6" s="10" t="s">
        <v>15</v>
      </c>
      <c r="D6" s="6">
        <v>500000.0</v>
      </c>
      <c r="E6" s="6">
        <v>1000000.0</v>
      </c>
      <c r="F6" s="6">
        <v>2660000.0</v>
      </c>
      <c r="G6" s="6">
        <v>3192000.0</v>
      </c>
      <c r="H6" s="6">
        <v>3830000.0</v>
      </c>
      <c r="I6" s="6">
        <v>4596000.0</v>
      </c>
      <c r="J6" s="6">
        <v>5516000.0</v>
      </c>
      <c r="K6" s="6">
        <v>6619000.0</v>
      </c>
    </row>
    <row r="7" ht="19.5" customHeight="1">
      <c r="A7" s="9">
        <v>6.0</v>
      </c>
      <c r="B7" s="11" t="s">
        <v>187</v>
      </c>
      <c r="C7" s="13" t="s">
        <v>15</v>
      </c>
      <c r="D7" s="9">
        <v>500000.0</v>
      </c>
      <c r="E7" s="9">
        <v>1000000.0</v>
      </c>
      <c r="F7" s="9">
        <v>4430000.0</v>
      </c>
      <c r="G7" s="9">
        <v>5316000.0</v>
      </c>
      <c r="H7" s="9">
        <v>6379000.0</v>
      </c>
      <c r="I7" s="9">
        <v>7655000.0</v>
      </c>
      <c r="J7" s="9">
        <v>9186000.0</v>
      </c>
      <c r="K7" s="9">
        <v>1.1023E7</v>
      </c>
    </row>
    <row r="8" ht="19.5" customHeight="1">
      <c r="A8" s="6">
        <v>7.0</v>
      </c>
      <c r="B8" s="8" t="s">
        <v>307</v>
      </c>
      <c r="C8" s="10" t="s">
        <v>15</v>
      </c>
      <c r="D8" s="6">
        <v>500000.0</v>
      </c>
      <c r="E8" s="6">
        <v>1000000.0</v>
      </c>
      <c r="F8" s="6">
        <v>4160000.0</v>
      </c>
      <c r="G8" s="6">
        <v>4992000.0</v>
      </c>
      <c r="H8" s="6">
        <v>5990000.0</v>
      </c>
      <c r="I8" s="6">
        <v>7188000.0</v>
      </c>
      <c r="J8" s="6">
        <v>8626000.0</v>
      </c>
      <c r="K8" s="6">
        <v>1.0351E7</v>
      </c>
    </row>
    <row r="9" ht="19.5" customHeight="1">
      <c r="A9" s="9">
        <v>8.0</v>
      </c>
      <c r="B9" s="11" t="s">
        <v>23</v>
      </c>
      <c r="C9" s="13" t="s">
        <v>15</v>
      </c>
      <c r="D9" s="9">
        <v>500000.0</v>
      </c>
      <c r="E9" s="9">
        <v>1000000.0</v>
      </c>
      <c r="F9" s="9">
        <v>2660000.0</v>
      </c>
      <c r="G9" s="9">
        <v>3192000.0</v>
      </c>
      <c r="H9" s="9">
        <v>3830000.0</v>
      </c>
      <c r="I9" s="9">
        <v>4596000.0</v>
      </c>
      <c r="J9" s="9">
        <v>5516000.0</v>
      </c>
      <c r="K9" s="9">
        <v>6619000.0</v>
      </c>
    </row>
    <row r="10" ht="19.5" customHeight="1">
      <c r="A10" s="6">
        <v>9.0</v>
      </c>
      <c r="B10" s="8" t="s">
        <v>33</v>
      </c>
      <c r="C10" s="10" t="s">
        <v>15</v>
      </c>
      <c r="D10" s="6">
        <v>500000.0</v>
      </c>
      <c r="E10" s="6">
        <v>1000000.0</v>
      </c>
      <c r="F10" s="6">
        <v>2770000.0</v>
      </c>
      <c r="G10" s="6">
        <v>3324000.0</v>
      </c>
      <c r="H10" s="6">
        <v>3989000.0</v>
      </c>
      <c r="I10" s="6">
        <v>4787000.0</v>
      </c>
      <c r="J10" s="6">
        <v>5744000.0</v>
      </c>
      <c r="K10" s="6">
        <v>6893000.0</v>
      </c>
    </row>
    <row r="11" ht="19.5" customHeight="1">
      <c r="A11" s="9">
        <v>10.0</v>
      </c>
      <c r="B11" s="11" t="s">
        <v>192</v>
      </c>
      <c r="C11" s="13" t="s">
        <v>15</v>
      </c>
      <c r="D11" s="9">
        <v>500000.0</v>
      </c>
      <c r="E11" s="9">
        <v>1000000.0</v>
      </c>
      <c r="F11" s="9">
        <v>5000000.0</v>
      </c>
      <c r="G11" s="9">
        <v>9000000.0</v>
      </c>
      <c r="H11" s="9">
        <v>1.1E7</v>
      </c>
      <c r="I11" s="9">
        <v>1.3E7</v>
      </c>
      <c r="J11" s="9">
        <v>1.5E7</v>
      </c>
      <c r="K11" s="9">
        <v>1.7E7</v>
      </c>
    </row>
    <row r="12" ht="19.5" customHeight="1">
      <c r="A12" s="6">
        <v>11.0</v>
      </c>
      <c r="B12" s="8" t="s">
        <v>193</v>
      </c>
      <c r="C12" s="10" t="s">
        <v>15</v>
      </c>
      <c r="D12" s="6">
        <v>500000.0</v>
      </c>
      <c r="E12" s="6">
        <v>1000000.0</v>
      </c>
      <c r="F12" s="6">
        <v>4430000.0</v>
      </c>
      <c r="G12" s="6">
        <v>5316000.0</v>
      </c>
      <c r="H12" s="6">
        <v>6379000.0</v>
      </c>
      <c r="I12" s="6">
        <v>7655000.0</v>
      </c>
      <c r="J12" s="6">
        <v>9186000.0</v>
      </c>
      <c r="K12" s="6">
        <v>1.1023E7</v>
      </c>
    </row>
    <row r="13" ht="19.5" customHeight="1">
      <c r="A13" s="9">
        <v>12.0</v>
      </c>
      <c r="B13" s="11" t="s">
        <v>53</v>
      </c>
      <c r="C13" s="13" t="s">
        <v>15</v>
      </c>
      <c r="D13" s="9">
        <v>500000.0</v>
      </c>
      <c r="E13" s="9">
        <v>1000000.0</v>
      </c>
      <c r="F13" s="9">
        <v>2770000.0</v>
      </c>
      <c r="G13" s="9">
        <v>3324000.0</v>
      </c>
      <c r="H13" s="9">
        <v>3989000.0</v>
      </c>
      <c r="I13" s="9">
        <v>4787000.0</v>
      </c>
      <c r="J13" s="9">
        <v>5744000.0</v>
      </c>
      <c r="K13" s="9">
        <v>6893000.0</v>
      </c>
    </row>
    <row r="14" ht="19.5" customHeight="1">
      <c r="A14" s="6">
        <v>13.0</v>
      </c>
      <c r="B14" s="8" t="s">
        <v>214</v>
      </c>
      <c r="C14" s="10" t="s">
        <v>15</v>
      </c>
      <c r="D14" s="6">
        <v>500000.0</v>
      </c>
      <c r="E14" s="6">
        <v>1000000.0</v>
      </c>
      <c r="F14" s="6">
        <v>4160000.0</v>
      </c>
      <c r="G14" s="6">
        <v>4992000.0</v>
      </c>
      <c r="H14" s="6">
        <v>5990000.0</v>
      </c>
      <c r="I14" s="6">
        <v>7188000.0</v>
      </c>
      <c r="J14" s="6">
        <v>8626000.0</v>
      </c>
      <c r="K14" s="6">
        <v>1.0351E7</v>
      </c>
    </row>
    <row r="15" ht="19.5" customHeight="1">
      <c r="A15" s="9">
        <v>14.0</v>
      </c>
      <c r="B15" s="11" t="s">
        <v>220</v>
      </c>
      <c r="C15" s="13" t="s">
        <v>15</v>
      </c>
      <c r="D15" s="9">
        <v>500000.0</v>
      </c>
      <c r="E15" s="9">
        <v>1000000.0</v>
      </c>
      <c r="F15" s="9">
        <v>4500000.0</v>
      </c>
      <c r="G15" s="9">
        <v>7500000.0</v>
      </c>
      <c r="H15" s="9">
        <v>1.05E7</v>
      </c>
      <c r="I15" s="9">
        <v>1.35E7</v>
      </c>
      <c r="J15" s="9">
        <v>1.65E7</v>
      </c>
      <c r="K15" s="9">
        <v>1.95E7</v>
      </c>
    </row>
    <row r="16" ht="19.5" customHeight="1">
      <c r="A16" s="6">
        <v>15.0</v>
      </c>
      <c r="B16" s="8" t="s">
        <v>200</v>
      </c>
      <c r="C16" s="10" t="s">
        <v>15</v>
      </c>
      <c r="D16" s="6">
        <v>500000.0</v>
      </c>
      <c r="E16" s="6">
        <v>1000000.0</v>
      </c>
      <c r="F16" s="6">
        <v>2660000.0</v>
      </c>
      <c r="G16" s="6">
        <v>3192000.0</v>
      </c>
      <c r="H16" s="6">
        <v>3830000.0</v>
      </c>
      <c r="I16" s="6">
        <v>4596000.0</v>
      </c>
      <c r="J16" s="6">
        <v>5516000.0</v>
      </c>
      <c r="K16" s="6">
        <v>6619000.0</v>
      </c>
    </row>
    <row r="17" ht="19.5" customHeight="1">
      <c r="A17" s="9">
        <v>16.0</v>
      </c>
      <c r="B17" s="11" t="s">
        <v>203</v>
      </c>
      <c r="C17" s="13" t="s">
        <v>15</v>
      </c>
      <c r="D17" s="9">
        <v>500000.0</v>
      </c>
      <c r="E17" s="9">
        <v>1000000.0</v>
      </c>
      <c r="F17" s="9">
        <v>2660000.0</v>
      </c>
      <c r="G17" s="9">
        <v>3192000.0</v>
      </c>
      <c r="H17" s="9">
        <v>3830000.0</v>
      </c>
      <c r="I17" s="9">
        <v>4596000.0</v>
      </c>
      <c r="J17" s="9">
        <v>5516000.0</v>
      </c>
      <c r="K17" s="9">
        <v>6619000.0</v>
      </c>
    </row>
    <row r="18" ht="19.5" customHeight="1">
      <c r="A18" s="6">
        <v>17.0</v>
      </c>
      <c r="B18" s="8" t="s">
        <v>204</v>
      </c>
      <c r="C18" s="10" t="s">
        <v>15</v>
      </c>
      <c r="D18" s="6">
        <v>500000.0</v>
      </c>
      <c r="E18" s="6">
        <v>1000000.0</v>
      </c>
      <c r="F18" s="6">
        <v>2660000.0</v>
      </c>
      <c r="G18" s="6">
        <v>3192000.0</v>
      </c>
      <c r="H18" s="6">
        <v>3830000.0</v>
      </c>
      <c r="I18" s="6">
        <v>4596000.0</v>
      </c>
      <c r="J18" s="6">
        <v>5516000.0</v>
      </c>
      <c r="K18" s="6">
        <v>6619000.0</v>
      </c>
    </row>
    <row r="19" ht="19.5" customHeight="1">
      <c r="A19" s="9">
        <v>18.0</v>
      </c>
      <c r="B19" s="11" t="s">
        <v>115</v>
      </c>
      <c r="C19" s="13" t="s">
        <v>15</v>
      </c>
      <c r="D19" s="9">
        <v>500000.0</v>
      </c>
      <c r="E19" s="9">
        <v>1000000.0</v>
      </c>
      <c r="F19" s="9">
        <v>3940000.0</v>
      </c>
      <c r="G19" s="9">
        <v>4728000.0</v>
      </c>
      <c r="H19" s="9">
        <v>5674000.0</v>
      </c>
      <c r="I19" s="9">
        <v>6808000.0</v>
      </c>
      <c r="J19" s="9">
        <v>8170000.0</v>
      </c>
      <c r="K19" s="9">
        <v>9804000.0</v>
      </c>
    </row>
    <row r="20" ht="19.5" customHeight="1">
      <c r="A20" s="6">
        <v>19.0</v>
      </c>
      <c r="B20" s="8" t="s">
        <v>47</v>
      </c>
      <c r="C20" s="10" t="s">
        <v>15</v>
      </c>
      <c r="D20" s="6">
        <v>500000.0</v>
      </c>
      <c r="E20" s="6">
        <v>1000000.0</v>
      </c>
      <c r="F20" s="6">
        <v>4000000.0</v>
      </c>
      <c r="G20" s="6">
        <v>7000000.0</v>
      </c>
      <c r="H20" s="6">
        <v>1.0E7</v>
      </c>
      <c r="I20" s="6">
        <v>1.3E7</v>
      </c>
      <c r="J20" s="6">
        <v>1.5E7</v>
      </c>
      <c r="K20" s="6">
        <v>1.8E7</v>
      </c>
    </row>
    <row r="21" ht="19.5" customHeight="1">
      <c r="A21" s="9">
        <v>20.0</v>
      </c>
      <c r="B21" s="11" t="s">
        <v>194</v>
      </c>
      <c r="C21" s="13" t="s">
        <v>15</v>
      </c>
      <c r="D21" s="9">
        <v>500000.0</v>
      </c>
      <c r="E21" s="9">
        <v>1000000.0</v>
      </c>
      <c r="F21" s="9">
        <v>4430000.0</v>
      </c>
      <c r="G21" s="9">
        <v>5316000.0</v>
      </c>
      <c r="H21" s="9">
        <v>6379000.0</v>
      </c>
      <c r="I21" s="9">
        <v>7655000.0</v>
      </c>
      <c r="J21" s="9">
        <v>9186000.0</v>
      </c>
      <c r="K21" s="9">
        <v>1.1023E7</v>
      </c>
    </row>
    <row r="22" ht="19.5" customHeight="1">
      <c r="A22" s="6">
        <v>21.0</v>
      </c>
      <c r="B22" s="8" t="s">
        <v>37</v>
      </c>
      <c r="C22" s="10" t="s">
        <v>15</v>
      </c>
      <c r="D22" s="6">
        <v>500000.0</v>
      </c>
      <c r="E22" s="6">
        <v>1000000.0</v>
      </c>
      <c r="F22" s="6">
        <v>2770000.0</v>
      </c>
      <c r="G22" s="6">
        <v>3324000.0</v>
      </c>
      <c r="H22" s="6">
        <v>3989000.0</v>
      </c>
      <c r="I22" s="6">
        <v>4787000.0</v>
      </c>
      <c r="J22" s="6">
        <v>5744000.0</v>
      </c>
      <c r="K22" s="6">
        <v>6893000.0</v>
      </c>
    </row>
    <row r="23" ht="19.5" customHeight="1">
      <c r="A23" s="9">
        <v>22.0</v>
      </c>
      <c r="B23" s="11" t="s">
        <v>195</v>
      </c>
      <c r="C23" s="13" t="s">
        <v>15</v>
      </c>
      <c r="D23" s="9">
        <v>500000.0</v>
      </c>
      <c r="E23" s="9">
        <v>1000000.0</v>
      </c>
      <c r="F23" s="9">
        <v>3940000.0</v>
      </c>
      <c r="G23" s="9">
        <v>4728000.0</v>
      </c>
      <c r="H23" s="9">
        <v>5674000.0</v>
      </c>
      <c r="I23" s="9">
        <v>6808000.0</v>
      </c>
      <c r="J23" s="9">
        <v>8170000.0</v>
      </c>
      <c r="K23" s="9">
        <v>9804000.0</v>
      </c>
    </row>
    <row r="24" ht="19.5" customHeight="1">
      <c r="A24" s="6">
        <v>23.0</v>
      </c>
      <c r="B24" s="8" t="s">
        <v>218</v>
      </c>
      <c r="C24" s="10" t="s">
        <v>15</v>
      </c>
      <c r="D24" s="6">
        <v>500000.0</v>
      </c>
      <c r="E24" s="6">
        <v>1000000.0</v>
      </c>
      <c r="F24" s="6">
        <v>4790000.0</v>
      </c>
      <c r="G24" s="6">
        <v>6095000.0</v>
      </c>
      <c r="H24" s="6">
        <v>7400000.0</v>
      </c>
      <c r="I24" s="6">
        <v>8705000.0</v>
      </c>
      <c r="J24" s="6">
        <v>1.001E7</v>
      </c>
      <c r="K24" s="6">
        <v>1.1022E7</v>
      </c>
    </row>
    <row r="25" ht="19.5" customHeight="1">
      <c r="A25" s="9">
        <v>24.0</v>
      </c>
      <c r="B25" s="11" t="s">
        <v>291</v>
      </c>
      <c r="C25" s="13" t="s">
        <v>15</v>
      </c>
      <c r="D25" s="9">
        <v>500000.0</v>
      </c>
      <c r="E25" s="9">
        <v>1000000.0</v>
      </c>
      <c r="F25" s="9">
        <v>2660000.0</v>
      </c>
      <c r="G25" s="9">
        <v>3192000.0</v>
      </c>
      <c r="H25" s="9">
        <v>3830000.0</v>
      </c>
      <c r="I25" s="9">
        <v>4596000.0</v>
      </c>
      <c r="J25" s="9">
        <v>5516000.0</v>
      </c>
      <c r="K25" s="9">
        <v>6619000.0</v>
      </c>
    </row>
    <row r="26" ht="19.5" customHeight="1">
      <c r="A26" s="6">
        <v>25.0</v>
      </c>
      <c r="B26" s="8" t="s">
        <v>141</v>
      </c>
      <c r="C26" s="10" t="s">
        <v>15</v>
      </c>
      <c r="D26" s="6">
        <v>500000.0</v>
      </c>
      <c r="E26" s="6">
        <v>1000000.0</v>
      </c>
      <c r="F26" s="6">
        <v>2660000.0</v>
      </c>
      <c r="G26" s="6">
        <v>3192000.0</v>
      </c>
      <c r="H26" s="6">
        <v>3830000.0</v>
      </c>
      <c r="I26" s="6">
        <v>4596000.0</v>
      </c>
      <c r="J26" s="6">
        <v>5516000.0</v>
      </c>
      <c r="K26" s="6">
        <v>6619000.0</v>
      </c>
    </row>
    <row r="27" ht="19.5" customHeight="1">
      <c r="A27" s="9">
        <v>26.0</v>
      </c>
      <c r="B27" s="11" t="s">
        <v>143</v>
      </c>
      <c r="C27" s="13" t="s">
        <v>15</v>
      </c>
      <c r="D27" s="9">
        <v>500000.0</v>
      </c>
      <c r="E27" s="9">
        <v>1000000.0</v>
      </c>
      <c r="F27" s="9">
        <v>3940000.0</v>
      </c>
      <c r="G27" s="9">
        <v>4728000.0</v>
      </c>
      <c r="H27" s="9">
        <v>5674000.0</v>
      </c>
      <c r="I27" s="9">
        <v>6808000.0</v>
      </c>
      <c r="J27" s="9">
        <v>8170000.0</v>
      </c>
      <c r="K27" s="9">
        <v>9804000.0</v>
      </c>
    </row>
    <row r="28" ht="19.5" customHeight="1">
      <c r="A28" s="6">
        <v>27.0</v>
      </c>
      <c r="B28" s="8" t="s">
        <v>183</v>
      </c>
      <c r="C28" s="10" t="s">
        <v>15</v>
      </c>
      <c r="D28" s="6">
        <v>500000.0</v>
      </c>
      <c r="E28" s="6">
        <v>1000000.0</v>
      </c>
      <c r="F28" s="6">
        <v>5500000.0</v>
      </c>
      <c r="G28" s="6">
        <v>8500000.0</v>
      </c>
      <c r="H28" s="6">
        <v>1.15E7</v>
      </c>
      <c r="I28" s="6">
        <v>1.45E7</v>
      </c>
      <c r="J28" s="6">
        <v>1.75E7</v>
      </c>
      <c r="K28" s="6">
        <v>2.1E7</v>
      </c>
    </row>
    <row r="29" ht="19.5" customHeight="1">
      <c r="A29" s="9">
        <v>28.0</v>
      </c>
      <c r="B29" s="11" t="s">
        <v>223</v>
      </c>
      <c r="C29" s="13" t="s">
        <v>15</v>
      </c>
      <c r="D29" s="9">
        <v>500000.0</v>
      </c>
      <c r="E29" s="9">
        <v>1000000.0</v>
      </c>
      <c r="F29" s="9">
        <v>5000000.0</v>
      </c>
      <c r="G29" s="9">
        <v>8000000.0</v>
      </c>
      <c r="H29" s="9">
        <v>1.1E7</v>
      </c>
      <c r="I29" s="9">
        <v>1.4E7</v>
      </c>
      <c r="J29" s="9">
        <v>1.7E7</v>
      </c>
      <c r="K29" s="9">
        <v>2.0E7</v>
      </c>
    </row>
    <row r="30" ht="19.5" customHeight="1">
      <c r="A30" s="6">
        <v>29.0</v>
      </c>
      <c r="B30" s="8" t="s">
        <v>148</v>
      </c>
      <c r="C30" s="10" t="s">
        <v>15</v>
      </c>
      <c r="D30" s="6">
        <v>500000.0</v>
      </c>
      <c r="E30" s="6">
        <v>1000000.0</v>
      </c>
      <c r="F30" s="6">
        <v>2660000.0</v>
      </c>
      <c r="G30" s="6">
        <v>3192000.0</v>
      </c>
      <c r="H30" s="6">
        <v>3830000.0</v>
      </c>
      <c r="I30" s="6">
        <v>4596000.0</v>
      </c>
      <c r="J30" s="6">
        <v>5516000.0</v>
      </c>
      <c r="K30" s="6">
        <v>6619000.0</v>
      </c>
    </row>
    <row r="31" ht="19.5" customHeight="1">
      <c r="A31" s="9">
        <v>30.0</v>
      </c>
      <c r="B31" s="11" t="s">
        <v>152</v>
      </c>
      <c r="C31" s="13" t="s">
        <v>15</v>
      </c>
      <c r="D31" s="9">
        <v>500000.0</v>
      </c>
      <c r="E31" s="9">
        <v>1000000.0</v>
      </c>
      <c r="F31" s="9">
        <v>4160000.0</v>
      </c>
      <c r="G31" s="9">
        <v>4992000.0</v>
      </c>
      <c r="H31" s="9">
        <v>5990000.0</v>
      </c>
      <c r="I31" s="9">
        <v>7188000.0</v>
      </c>
      <c r="J31" s="9">
        <v>8626000.0</v>
      </c>
      <c r="K31" s="9">
        <v>1.0351E7</v>
      </c>
    </row>
    <row r="32" ht="19.5" customHeight="1">
      <c r="A32" s="6">
        <v>31.0</v>
      </c>
      <c r="B32" s="8" t="s">
        <v>155</v>
      </c>
      <c r="C32" s="10" t="s">
        <v>15</v>
      </c>
      <c r="D32" s="6">
        <v>500000.0</v>
      </c>
      <c r="E32" s="6">
        <v>1000000.0</v>
      </c>
      <c r="F32" s="6">
        <v>3060000.0</v>
      </c>
      <c r="G32" s="6">
        <v>3672000.0</v>
      </c>
      <c r="H32" s="6">
        <v>4406000.0</v>
      </c>
      <c r="I32" s="6">
        <v>5288000.0</v>
      </c>
      <c r="J32" s="6">
        <v>6345000.0</v>
      </c>
      <c r="K32" s="6">
        <v>7614000.0</v>
      </c>
    </row>
    <row r="33" ht="19.5" customHeight="1">
      <c r="A33" s="9">
        <v>32.0</v>
      </c>
      <c r="B33" s="11" t="s">
        <v>414</v>
      </c>
      <c r="C33" s="13" t="s">
        <v>15</v>
      </c>
      <c r="D33" s="9">
        <v>500000.0</v>
      </c>
      <c r="E33" s="9">
        <v>1000000.0</v>
      </c>
      <c r="F33" s="9">
        <v>3460000.0</v>
      </c>
      <c r="G33" s="9">
        <v>4152000.0</v>
      </c>
      <c r="H33" s="9">
        <v>4982000.0</v>
      </c>
      <c r="I33" s="9">
        <v>5979000.0</v>
      </c>
      <c r="J33" s="9">
        <v>7175000.0</v>
      </c>
      <c r="K33" s="9">
        <v>8610000.0</v>
      </c>
    </row>
    <row r="34" ht="19.5" customHeight="1">
      <c r="A34" s="6">
        <v>33.0</v>
      </c>
      <c r="B34" s="8" t="s">
        <v>297</v>
      </c>
      <c r="C34" s="10" t="s">
        <v>15</v>
      </c>
      <c r="D34" s="6">
        <v>500000.0</v>
      </c>
      <c r="E34" s="6">
        <v>1000000.0</v>
      </c>
      <c r="F34" s="6">
        <v>3460000.0</v>
      </c>
      <c r="G34" s="6">
        <v>4152000.0</v>
      </c>
      <c r="H34" s="6">
        <v>4982000.0</v>
      </c>
      <c r="I34" s="6">
        <v>5979000.0</v>
      </c>
      <c r="J34" s="6">
        <v>7175000.0</v>
      </c>
      <c r="K34" s="6">
        <v>8610000.0</v>
      </c>
    </row>
    <row r="35" ht="19.5" customHeight="1">
      <c r="A35" s="9">
        <v>34.0</v>
      </c>
      <c r="B35" s="11" t="s">
        <v>415</v>
      </c>
      <c r="C35" s="13" t="s">
        <v>15</v>
      </c>
      <c r="D35" s="9">
        <v>500000.0</v>
      </c>
      <c r="E35" s="9">
        <v>1000000.0</v>
      </c>
      <c r="F35" s="9">
        <v>4430000.0</v>
      </c>
      <c r="G35" s="9">
        <v>5316000.0</v>
      </c>
      <c r="H35" s="9">
        <v>6379000.0</v>
      </c>
      <c r="I35" s="9">
        <v>7655000.0</v>
      </c>
      <c r="J35" s="9">
        <v>9186000.0</v>
      </c>
      <c r="K35" s="9">
        <v>1.1023E7</v>
      </c>
    </row>
    <row r="36" ht="19.5" customHeight="1">
      <c r="A36" s="6">
        <v>35.0</v>
      </c>
      <c r="B36" s="8" t="s">
        <v>166</v>
      </c>
      <c r="C36" s="10" t="s">
        <v>15</v>
      </c>
      <c r="D36" s="6">
        <v>500000.0</v>
      </c>
      <c r="E36" s="6">
        <v>1000000.0</v>
      </c>
      <c r="F36" s="6">
        <v>4160000.0</v>
      </c>
      <c r="G36" s="6">
        <v>4992000.0</v>
      </c>
      <c r="H36" s="6">
        <v>5990000.0</v>
      </c>
      <c r="I36" s="6">
        <v>7188000.0</v>
      </c>
      <c r="J36" s="6">
        <v>8626000.0</v>
      </c>
      <c r="K36" s="6">
        <v>1.0351E7</v>
      </c>
    </row>
    <row r="37" ht="19.5" customHeight="1">
      <c r="A37" s="9">
        <v>36.0</v>
      </c>
      <c r="B37" s="11" t="s">
        <v>172</v>
      </c>
      <c r="C37" s="13" t="s">
        <v>15</v>
      </c>
      <c r="D37" s="9">
        <v>500000.0</v>
      </c>
      <c r="E37" s="9">
        <v>1000000.0</v>
      </c>
      <c r="F37" s="9">
        <v>4160000.0</v>
      </c>
      <c r="G37" s="9">
        <v>4992000.0</v>
      </c>
      <c r="H37" s="9">
        <v>5990000.0</v>
      </c>
      <c r="I37" s="9">
        <v>7188000.0</v>
      </c>
      <c r="J37" s="9">
        <v>8626000.0</v>
      </c>
      <c r="K37" s="9">
        <v>1.0351E7</v>
      </c>
    </row>
    <row r="38" ht="19.5" customHeight="1">
      <c r="A38" s="6">
        <v>37.0</v>
      </c>
      <c r="B38" s="8" t="s">
        <v>173</v>
      </c>
      <c r="C38" s="10" t="s">
        <v>15</v>
      </c>
      <c r="D38" s="6">
        <v>500000.0</v>
      </c>
      <c r="E38" s="6">
        <v>1000000.0</v>
      </c>
      <c r="F38" s="6">
        <v>3780000.0</v>
      </c>
      <c r="G38" s="6">
        <v>4536000.0</v>
      </c>
      <c r="H38" s="6">
        <v>5443000.0</v>
      </c>
      <c r="I38" s="6">
        <v>6532000.0</v>
      </c>
      <c r="J38" s="6">
        <v>7838000.0</v>
      </c>
      <c r="K38" s="6">
        <v>9406000.0</v>
      </c>
    </row>
    <row r="39" ht="19.5" customHeight="1">
      <c r="A39" s="9">
        <v>38.0</v>
      </c>
      <c r="B39" s="11" t="s">
        <v>355</v>
      </c>
      <c r="C39" s="13" t="s">
        <v>15</v>
      </c>
      <c r="D39" s="9">
        <v>500000.0</v>
      </c>
      <c r="E39" s="9">
        <v>1000000.0</v>
      </c>
      <c r="F39" s="9">
        <v>2770000.0</v>
      </c>
      <c r="G39" s="9">
        <v>3324000.0</v>
      </c>
      <c r="H39" s="9">
        <v>3989000.0</v>
      </c>
      <c r="I39" s="9">
        <v>4787000.0</v>
      </c>
      <c r="J39" s="9">
        <v>5744000.0</v>
      </c>
      <c r="K39" s="9">
        <v>6893000.0</v>
      </c>
    </row>
    <row r="40" ht="19.5" customHeight="1">
      <c r="A40" s="6">
        <v>39.0</v>
      </c>
      <c r="B40" s="8" t="s">
        <v>178</v>
      </c>
      <c r="C40" s="10" t="s">
        <v>15</v>
      </c>
      <c r="D40" s="6">
        <v>500000.0</v>
      </c>
      <c r="E40" s="6">
        <v>1000000.0</v>
      </c>
      <c r="F40" s="6">
        <v>2660000.0</v>
      </c>
      <c r="G40" s="6">
        <v>3192000.0</v>
      </c>
      <c r="H40" s="6">
        <v>3830000.0</v>
      </c>
      <c r="I40" s="6">
        <v>4596000.0</v>
      </c>
      <c r="J40" s="6">
        <v>5516000.0</v>
      </c>
      <c r="K40" s="6">
        <v>6619000.0</v>
      </c>
    </row>
    <row r="41" ht="19.5" customHeight="1">
      <c r="A41" s="9">
        <v>40.0</v>
      </c>
      <c r="B41" s="11" t="s">
        <v>181</v>
      </c>
      <c r="C41" s="13" t="s">
        <v>15</v>
      </c>
      <c r="D41" s="9">
        <v>500000.0</v>
      </c>
      <c r="E41" s="9">
        <v>1000000.0</v>
      </c>
      <c r="F41" s="9">
        <v>3060000.0</v>
      </c>
      <c r="G41" s="9">
        <v>3672000.0</v>
      </c>
      <c r="H41" s="9">
        <v>4406000.0</v>
      </c>
      <c r="I41" s="9">
        <v>5288000.0</v>
      </c>
      <c r="J41" s="9">
        <v>6345000.0</v>
      </c>
      <c r="K41" s="9">
        <v>7614000.0</v>
      </c>
    </row>
    <row r="42" ht="19.5" customHeight="1">
      <c r="A42" s="6">
        <v>41.0</v>
      </c>
      <c r="B42" s="8" t="s">
        <v>129</v>
      </c>
      <c r="C42" s="10" t="s">
        <v>15</v>
      </c>
      <c r="D42" s="6">
        <v>500000.0</v>
      </c>
      <c r="E42" s="6">
        <v>1000000.0</v>
      </c>
      <c r="F42" s="6">
        <v>4160000.0</v>
      </c>
      <c r="G42" s="6">
        <v>4992000.0</v>
      </c>
      <c r="H42" s="6">
        <v>5990000.0</v>
      </c>
      <c r="I42" s="6">
        <v>7188000.0</v>
      </c>
      <c r="J42" s="6">
        <v>8626000.0</v>
      </c>
      <c r="K42" s="6">
        <v>1.0351E7</v>
      </c>
    </row>
    <row r="43" ht="19.5" customHeight="1">
      <c r="A43" s="9">
        <v>42.0</v>
      </c>
      <c r="B43" s="11" t="s">
        <v>184</v>
      </c>
      <c r="C43" s="13" t="s">
        <v>15</v>
      </c>
      <c r="D43" s="9">
        <v>500000.0</v>
      </c>
      <c r="E43" s="9">
        <v>1000000.0</v>
      </c>
      <c r="F43" s="9">
        <v>3550000.0</v>
      </c>
      <c r="G43" s="9">
        <v>4170000.0</v>
      </c>
      <c r="H43" s="9">
        <v>4913000.0</v>
      </c>
      <c r="I43" s="9">
        <v>5780000.0</v>
      </c>
      <c r="J43" s="9">
        <v>6800000.0</v>
      </c>
      <c r="K43" s="9">
        <v>8000000.0</v>
      </c>
    </row>
    <row r="44" ht="19.5" customHeight="1">
      <c r="A44" s="6">
        <v>43.0</v>
      </c>
      <c r="B44" s="8" t="s">
        <v>208</v>
      </c>
      <c r="C44" s="10" t="s">
        <v>15</v>
      </c>
      <c r="D44" s="6">
        <v>500000.0</v>
      </c>
      <c r="E44" s="6">
        <v>1000000.0</v>
      </c>
      <c r="F44" s="6">
        <v>2660000.0</v>
      </c>
      <c r="G44" s="6">
        <v>3192000.0</v>
      </c>
      <c r="H44" s="6">
        <v>3830000.0</v>
      </c>
      <c r="I44" s="6">
        <v>4596000.0</v>
      </c>
      <c r="J44" s="6">
        <v>5516000.0</v>
      </c>
      <c r="K44" s="6">
        <v>6619000.0</v>
      </c>
    </row>
    <row r="45" ht="19.5" customHeight="1">
      <c r="A45" s="9">
        <v>44.0</v>
      </c>
      <c r="B45" s="11" t="s">
        <v>197</v>
      </c>
      <c r="C45" s="13" t="s">
        <v>15</v>
      </c>
      <c r="D45" s="9">
        <v>500000.0</v>
      </c>
      <c r="E45" s="9">
        <v>1000000.0</v>
      </c>
      <c r="F45" s="9">
        <v>3940000.0</v>
      </c>
      <c r="G45" s="9">
        <v>4728000.0</v>
      </c>
      <c r="H45" s="9">
        <v>5674000.0</v>
      </c>
      <c r="I45" s="9">
        <v>6808000.0</v>
      </c>
      <c r="J45" s="9">
        <v>8170000.0</v>
      </c>
      <c r="K45" s="9">
        <v>9804000.0</v>
      </c>
    </row>
    <row r="46" ht="19.5" customHeight="1">
      <c r="A46" s="6">
        <v>45.0</v>
      </c>
      <c r="B46" s="8" t="s">
        <v>68</v>
      </c>
      <c r="C46" s="10" t="s">
        <v>15</v>
      </c>
      <c r="D46" s="6">
        <v>500000.0</v>
      </c>
      <c r="E46" s="6">
        <v>1000000.0</v>
      </c>
      <c r="F46" s="6">
        <v>4950000.0</v>
      </c>
      <c r="G46" s="6">
        <v>5940000.0</v>
      </c>
      <c r="H46" s="6">
        <v>7128000.0</v>
      </c>
      <c r="I46" s="6">
        <v>8554000.0</v>
      </c>
      <c r="J46" s="6">
        <v>1.0264E7</v>
      </c>
      <c r="K46" s="6">
        <v>1.2317E7</v>
      </c>
    </row>
    <row r="47" ht="19.5" customHeight="1">
      <c r="A47" s="9">
        <v>46.0</v>
      </c>
      <c r="B47" s="11" t="s">
        <v>72</v>
      </c>
      <c r="C47" s="13" t="s">
        <v>15</v>
      </c>
      <c r="D47" s="9">
        <v>500000.0</v>
      </c>
      <c r="E47" s="9">
        <v>1000000.0</v>
      </c>
      <c r="F47" s="9">
        <v>4950000.0</v>
      </c>
      <c r="G47" s="9">
        <v>5940000.0</v>
      </c>
      <c r="H47" s="9">
        <v>7128000.0</v>
      </c>
      <c r="I47" s="9">
        <v>8554000.0</v>
      </c>
      <c r="J47" s="9">
        <v>1.0264E7</v>
      </c>
      <c r="K47" s="9">
        <v>1.2317E7</v>
      </c>
    </row>
    <row r="48" ht="19.5" customHeight="1">
      <c r="A48" s="6">
        <v>47.0</v>
      </c>
      <c r="B48" s="8" t="s">
        <v>77</v>
      </c>
      <c r="C48" s="10" t="s">
        <v>15</v>
      </c>
      <c r="D48" s="6">
        <v>500000.0</v>
      </c>
      <c r="E48" s="6">
        <v>1000000.0</v>
      </c>
      <c r="F48" s="6">
        <v>4610000.0</v>
      </c>
      <c r="G48" s="6">
        <v>5532000.0</v>
      </c>
      <c r="H48" s="6">
        <v>6638000.0</v>
      </c>
      <c r="I48" s="6">
        <v>7966000.0</v>
      </c>
      <c r="J48" s="6">
        <v>9559000.0</v>
      </c>
      <c r="K48" s="6">
        <v>1.1471E7</v>
      </c>
    </row>
    <row r="49" ht="19.5" customHeight="1">
      <c r="A49" s="9">
        <v>48.0</v>
      </c>
      <c r="B49" s="11" t="s">
        <v>82</v>
      </c>
      <c r="C49" s="13" t="s">
        <v>15</v>
      </c>
      <c r="D49" s="9">
        <v>500000.0</v>
      </c>
      <c r="E49" s="9">
        <v>1000000.0</v>
      </c>
      <c r="F49" s="9">
        <v>4270000.0</v>
      </c>
      <c r="G49" s="9">
        <v>5124000.0</v>
      </c>
      <c r="H49" s="9">
        <v>6149000.0</v>
      </c>
      <c r="I49" s="9">
        <v>7379000.0</v>
      </c>
      <c r="J49" s="9">
        <v>8854000.0</v>
      </c>
      <c r="K49" s="9">
        <v>1.0625E7</v>
      </c>
    </row>
    <row r="50" ht="19.5" customHeight="1">
      <c r="A50" s="6">
        <v>49.0</v>
      </c>
      <c r="B50" s="8" t="s">
        <v>198</v>
      </c>
      <c r="C50" s="10" t="s">
        <v>15</v>
      </c>
      <c r="D50" s="6">
        <v>500000.0</v>
      </c>
      <c r="E50" s="6">
        <v>1000000.0</v>
      </c>
      <c r="F50" s="6">
        <v>3940000.0</v>
      </c>
      <c r="G50" s="6">
        <v>4728000.0</v>
      </c>
      <c r="H50" s="6">
        <v>5674000.0</v>
      </c>
      <c r="I50" s="6">
        <v>6808000.0</v>
      </c>
      <c r="J50" s="6">
        <v>8170000.0</v>
      </c>
      <c r="K50" s="6">
        <v>9804000.0</v>
      </c>
    </row>
    <row r="51" ht="19.5" customHeight="1">
      <c r="A51" s="9">
        <v>50.0</v>
      </c>
      <c r="B51" s="11" t="s">
        <v>85</v>
      </c>
      <c r="C51" s="13" t="s">
        <v>15</v>
      </c>
      <c r="D51" s="9">
        <v>500000.0</v>
      </c>
      <c r="E51" s="9">
        <v>1000000.0</v>
      </c>
      <c r="F51" s="9">
        <v>5560000.0</v>
      </c>
      <c r="G51" s="9">
        <v>6672000.0</v>
      </c>
      <c r="H51" s="9">
        <v>8006000.0</v>
      </c>
      <c r="I51" s="9">
        <v>9608000.0</v>
      </c>
      <c r="J51" s="9">
        <v>1.1529E7</v>
      </c>
      <c r="K51" s="9">
        <v>1.3835E7</v>
      </c>
    </row>
    <row r="52" ht="19.5" customHeight="1">
      <c r="A52" s="6">
        <v>51.0</v>
      </c>
      <c r="B52" s="8" t="s">
        <v>88</v>
      </c>
      <c r="C52" s="10" t="s">
        <v>15</v>
      </c>
      <c r="D52" s="6">
        <v>500000.0</v>
      </c>
      <c r="E52" s="6">
        <v>1000000.0</v>
      </c>
      <c r="F52" s="6">
        <v>4950000.0</v>
      </c>
      <c r="G52" s="6">
        <v>5940000.0</v>
      </c>
      <c r="H52" s="6">
        <v>7128000.0</v>
      </c>
      <c r="I52" s="6">
        <v>8554000.0</v>
      </c>
      <c r="J52" s="6">
        <v>1.0264E7</v>
      </c>
      <c r="K52" s="6">
        <v>1.2317E7</v>
      </c>
    </row>
    <row r="53" ht="19.5" customHeight="1">
      <c r="A53" s="9">
        <v>52.0</v>
      </c>
      <c r="B53" s="11" t="s">
        <v>95</v>
      </c>
      <c r="C53" s="13" t="s">
        <v>15</v>
      </c>
      <c r="D53" s="9">
        <v>500000.0</v>
      </c>
      <c r="E53" s="9">
        <v>1000000.0</v>
      </c>
      <c r="F53" s="9">
        <v>4270000.0</v>
      </c>
      <c r="G53" s="9">
        <v>5124000.0</v>
      </c>
      <c r="H53" s="9">
        <v>6149000.0</v>
      </c>
      <c r="I53" s="9">
        <v>7379000.0</v>
      </c>
      <c r="J53" s="9">
        <v>8854000.0</v>
      </c>
      <c r="K53" s="9">
        <v>1.0625E7</v>
      </c>
    </row>
    <row r="54" ht="19.5" customHeight="1">
      <c r="A54" s="6">
        <v>53.0</v>
      </c>
      <c r="B54" s="8" t="s">
        <v>136</v>
      </c>
      <c r="C54" s="10" t="s">
        <v>15</v>
      </c>
      <c r="D54" s="6">
        <v>500000.0</v>
      </c>
      <c r="E54" s="6">
        <v>1000000.0</v>
      </c>
      <c r="F54" s="6">
        <v>3940000.0</v>
      </c>
      <c r="G54" s="6">
        <v>4728000.0</v>
      </c>
      <c r="H54" s="6">
        <v>5674000.0</v>
      </c>
      <c r="I54" s="6">
        <v>6808000.0</v>
      </c>
      <c r="J54" s="6">
        <v>8170000.0</v>
      </c>
      <c r="K54" s="6">
        <v>9804000.0</v>
      </c>
    </row>
    <row r="55" ht="19.5" customHeight="1">
      <c r="A55" s="9">
        <v>54.0</v>
      </c>
      <c r="B55" s="11" t="s">
        <v>93</v>
      </c>
      <c r="C55" s="13" t="s">
        <v>15</v>
      </c>
      <c r="D55" s="9">
        <v>500000.0</v>
      </c>
      <c r="E55" s="9">
        <v>1000000.0</v>
      </c>
      <c r="F55" s="9">
        <v>4950000.0</v>
      </c>
      <c r="G55" s="9">
        <v>5940000.0</v>
      </c>
      <c r="H55" s="9">
        <v>7128000.0</v>
      </c>
      <c r="I55" s="9">
        <v>8554000.0</v>
      </c>
      <c r="J55" s="9">
        <v>1.0264E7</v>
      </c>
      <c r="K55" s="9">
        <v>1.2317E7</v>
      </c>
    </row>
    <row r="56" ht="19.5" customHeight="1">
      <c r="A56" s="6">
        <v>55.0</v>
      </c>
      <c r="B56" s="8" t="s">
        <v>134</v>
      </c>
      <c r="C56" s="10" t="s">
        <v>15</v>
      </c>
      <c r="D56" s="6">
        <v>500000.0</v>
      </c>
      <c r="E56" s="6">
        <v>1000000.0</v>
      </c>
      <c r="F56" s="6">
        <v>3940000.0</v>
      </c>
      <c r="G56" s="6">
        <v>4728000.0</v>
      </c>
      <c r="H56" s="6">
        <v>5674000.0</v>
      </c>
      <c r="I56" s="6">
        <v>6808000.0</v>
      </c>
      <c r="J56" s="6">
        <v>8170000.0</v>
      </c>
      <c r="K56" s="6">
        <v>9804000.0</v>
      </c>
    </row>
    <row r="57" ht="19.5" customHeight="1">
      <c r="A57" s="9">
        <v>56.0</v>
      </c>
      <c r="B57" s="11" t="s">
        <v>119</v>
      </c>
      <c r="C57" s="13" t="s">
        <v>15</v>
      </c>
      <c r="D57" s="9">
        <v>500000.0</v>
      </c>
      <c r="E57" s="9">
        <v>1000000.0</v>
      </c>
      <c r="F57" s="9">
        <v>3940000.0</v>
      </c>
      <c r="G57" s="9">
        <v>4728000.0</v>
      </c>
      <c r="H57" s="9">
        <v>5674000.0</v>
      </c>
      <c r="I57" s="9">
        <v>6808000.0</v>
      </c>
      <c r="J57" s="9">
        <v>8170000.0</v>
      </c>
      <c r="K57" s="9">
        <v>9804000.0</v>
      </c>
    </row>
    <row r="58" ht="19.5" customHeight="1">
      <c r="A58" s="6">
        <v>57.0</v>
      </c>
      <c r="B58" s="8" t="s">
        <v>125</v>
      </c>
      <c r="C58" s="10" t="s">
        <v>15</v>
      </c>
      <c r="D58" s="6">
        <v>500000.0</v>
      </c>
      <c r="E58" s="6">
        <v>1000000.0</v>
      </c>
      <c r="F58" s="6">
        <v>3940000.0</v>
      </c>
      <c r="G58" s="6">
        <v>4728000.0</v>
      </c>
      <c r="H58" s="6">
        <v>5674000.0</v>
      </c>
      <c r="I58" s="6">
        <v>6808000.0</v>
      </c>
      <c r="J58" s="6">
        <v>8170000.0</v>
      </c>
      <c r="K58" s="6">
        <v>9804000.0</v>
      </c>
    </row>
    <row r="59" ht="19.5" customHeight="1">
      <c r="A59" s="9">
        <v>58.0</v>
      </c>
      <c r="B59" s="11" t="s">
        <v>63</v>
      </c>
      <c r="C59" s="13" t="s">
        <v>15</v>
      </c>
      <c r="D59" s="9">
        <v>500000.0</v>
      </c>
      <c r="E59" s="9">
        <v>1000000.0</v>
      </c>
      <c r="F59" s="9">
        <v>4270000.0</v>
      </c>
      <c r="G59" s="9">
        <v>5124000.0</v>
      </c>
      <c r="H59" s="9">
        <v>6149000.0</v>
      </c>
      <c r="I59" s="9">
        <v>7379000.0</v>
      </c>
      <c r="J59" s="9">
        <v>8854000.0</v>
      </c>
      <c r="K59" s="9">
        <v>1.0625E7</v>
      </c>
    </row>
    <row r="60" ht="19.5" customHeight="1">
      <c r="A60" s="6">
        <v>59.0</v>
      </c>
      <c r="B60" s="8" t="s">
        <v>90</v>
      </c>
      <c r="C60" s="10" t="s">
        <v>15</v>
      </c>
      <c r="D60" s="6">
        <v>500000.0</v>
      </c>
      <c r="E60" s="6">
        <v>1000000.0</v>
      </c>
      <c r="F60" s="6">
        <v>4270000.0</v>
      </c>
      <c r="G60" s="6">
        <v>5124000.0</v>
      </c>
      <c r="H60" s="6">
        <v>6149000.0</v>
      </c>
      <c r="I60" s="6">
        <v>7379000.0</v>
      </c>
      <c r="J60" s="6">
        <v>8854000.0</v>
      </c>
      <c r="K60" s="6">
        <v>1.0625E7</v>
      </c>
    </row>
    <row r="61" ht="19.5" customHeight="1">
      <c r="A61" s="9">
        <v>60.0</v>
      </c>
      <c r="B61" s="11" t="s">
        <v>422</v>
      </c>
      <c r="C61" s="13" t="s">
        <v>15</v>
      </c>
      <c r="D61" s="9">
        <v>500000.0</v>
      </c>
      <c r="E61" s="9">
        <v>1000000.0</v>
      </c>
      <c r="F61" s="9">
        <v>2770000.0</v>
      </c>
      <c r="G61" s="9">
        <v>3324000.0</v>
      </c>
      <c r="H61" s="9">
        <v>3989000.0</v>
      </c>
      <c r="I61" s="11" t="s">
        <v>327</v>
      </c>
      <c r="J61" s="11" t="s">
        <v>327</v>
      </c>
      <c r="K61" s="11" t="s">
        <v>327</v>
      </c>
    </row>
    <row r="62" ht="19.5" customHeight="1">
      <c r="A62" s="6">
        <v>61.0</v>
      </c>
      <c r="B62" s="8" t="s">
        <v>394</v>
      </c>
      <c r="C62" s="10" t="s">
        <v>15</v>
      </c>
      <c r="D62" s="6">
        <v>500000.0</v>
      </c>
      <c r="E62" s="6">
        <v>1000000.0</v>
      </c>
      <c r="F62" s="6">
        <v>3940000.0</v>
      </c>
      <c r="G62" s="6">
        <v>4728000.0</v>
      </c>
      <c r="H62" s="6">
        <v>5674000.0</v>
      </c>
      <c r="I62" s="8" t="s">
        <v>327</v>
      </c>
      <c r="J62" s="8" t="s">
        <v>327</v>
      </c>
      <c r="K62" s="8" t="s">
        <v>327</v>
      </c>
    </row>
    <row r="63" ht="19.5" customHeight="1">
      <c r="A63" s="9">
        <v>62.0</v>
      </c>
      <c r="B63" s="11" t="s">
        <v>388</v>
      </c>
      <c r="C63" s="13" t="s">
        <v>15</v>
      </c>
      <c r="D63" s="9">
        <v>500000.0</v>
      </c>
      <c r="E63" s="9">
        <v>1000000.0</v>
      </c>
      <c r="F63" s="9">
        <v>4010000.0</v>
      </c>
      <c r="G63" s="9">
        <v>4812000.0</v>
      </c>
      <c r="H63" s="9">
        <v>5774000.0</v>
      </c>
      <c r="I63" s="11" t="s">
        <v>327</v>
      </c>
      <c r="J63" s="11" t="s">
        <v>327</v>
      </c>
      <c r="K63" s="11" t="s">
        <v>327</v>
      </c>
    </row>
    <row r="64" ht="19.5" customHeight="1">
      <c r="A64" s="6">
        <v>63.0</v>
      </c>
      <c r="B64" s="8" t="s">
        <v>381</v>
      </c>
      <c r="C64" s="10" t="s">
        <v>15</v>
      </c>
      <c r="D64" s="6">
        <v>500000.0</v>
      </c>
      <c r="E64" s="6">
        <v>1000000.0</v>
      </c>
      <c r="F64" s="6">
        <v>4160000.0</v>
      </c>
      <c r="G64" s="6">
        <v>4992000.0</v>
      </c>
      <c r="H64" s="6">
        <v>5990000.0</v>
      </c>
      <c r="I64" s="8" t="s">
        <v>327</v>
      </c>
      <c r="J64" s="8" t="s">
        <v>327</v>
      </c>
      <c r="K64" s="8" t="s">
        <v>327</v>
      </c>
    </row>
    <row r="65" ht="19.5" customHeight="1">
      <c r="A65" s="9">
        <v>64.0</v>
      </c>
      <c r="B65" s="11" t="s">
        <v>423</v>
      </c>
      <c r="C65" s="13" t="s">
        <v>15</v>
      </c>
      <c r="D65" s="9">
        <v>500000.0</v>
      </c>
      <c r="E65" s="9">
        <v>1000000.0</v>
      </c>
      <c r="F65" s="9">
        <v>5560000.0</v>
      </c>
      <c r="G65" s="9">
        <v>6672000.0</v>
      </c>
      <c r="H65" s="9">
        <v>8006000.0</v>
      </c>
      <c r="I65" s="9">
        <v>9608000.0</v>
      </c>
      <c r="J65" s="9">
        <v>1.1529E7</v>
      </c>
      <c r="K65" s="9">
        <v>1.3835E7</v>
      </c>
    </row>
    <row r="66" ht="19.5" customHeight="1">
      <c r="A66" s="6">
        <v>65.0</v>
      </c>
      <c r="B66" s="8" t="s">
        <v>424</v>
      </c>
      <c r="C66" s="10" t="s">
        <v>15</v>
      </c>
      <c r="D66" s="6">
        <v>500000.0</v>
      </c>
      <c r="E66" s="6">
        <v>1000000.0</v>
      </c>
      <c r="F66" s="6">
        <v>4950000.0</v>
      </c>
      <c r="G66" s="6">
        <v>5940000.0</v>
      </c>
      <c r="H66" s="6">
        <v>7125000.0</v>
      </c>
      <c r="I66" s="6">
        <v>8554000.0</v>
      </c>
      <c r="J66" s="6">
        <v>1.0264E7</v>
      </c>
      <c r="K66" s="6">
        <v>1.2317E7</v>
      </c>
    </row>
    <row r="67" ht="19.5" customHeight="1">
      <c r="A67" s="9">
        <v>66.0</v>
      </c>
      <c r="B67" s="11" t="s">
        <v>425</v>
      </c>
      <c r="C67" s="13" t="s">
        <v>15</v>
      </c>
      <c r="D67" s="9">
        <v>500000.0</v>
      </c>
      <c r="E67" s="9">
        <v>1000000.0</v>
      </c>
      <c r="F67" s="9">
        <v>4270000.0</v>
      </c>
      <c r="G67" s="9">
        <v>5124000.0</v>
      </c>
      <c r="H67" s="9">
        <v>6149000.0</v>
      </c>
      <c r="I67" s="9">
        <v>7379000.0</v>
      </c>
      <c r="J67" s="9">
        <v>8854000.0</v>
      </c>
      <c r="K67" s="9">
        <v>1.0625E7</v>
      </c>
    </row>
    <row r="68" ht="19.5" customHeight="1">
      <c r="A68" s="6">
        <v>67.0</v>
      </c>
      <c r="B68" s="8" t="s">
        <v>426</v>
      </c>
      <c r="C68" s="10" t="s">
        <v>15</v>
      </c>
      <c r="D68" s="6">
        <v>500000.0</v>
      </c>
      <c r="E68" s="6">
        <v>1000000.0</v>
      </c>
      <c r="F68" s="6">
        <v>2770000.0</v>
      </c>
      <c r="G68" s="6">
        <v>3324000.0</v>
      </c>
      <c r="H68" s="6">
        <v>3989400.0</v>
      </c>
      <c r="I68" s="6">
        <v>4787000.0</v>
      </c>
      <c r="J68" s="6">
        <v>5544000.0</v>
      </c>
      <c r="K68" s="6">
        <v>6893000.0</v>
      </c>
    </row>
    <row r="69" ht="19.5" customHeight="1">
      <c r="A69" s="9">
        <v>68.0</v>
      </c>
      <c r="B69" s="11" t="s">
        <v>427</v>
      </c>
      <c r="C69" s="13" t="s">
        <v>15</v>
      </c>
      <c r="D69" s="9">
        <v>500000.0</v>
      </c>
      <c r="E69" s="9">
        <v>1000000.0</v>
      </c>
      <c r="F69" s="9">
        <v>4160000.0</v>
      </c>
      <c r="G69" s="9">
        <v>4992000.0</v>
      </c>
      <c r="H69" s="9">
        <v>5990000.0</v>
      </c>
      <c r="I69" s="9">
        <v>7188000.0</v>
      </c>
      <c r="J69" s="9">
        <v>8626000.0</v>
      </c>
      <c r="K69" s="9">
        <v>1.0351E7</v>
      </c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21.88"/>
    <col customWidth="1" min="3" max="3" width="10.5"/>
    <col customWidth="1" min="4" max="11" width="19.25"/>
    <col customWidth="1" min="12" max="22" width="7.63"/>
  </cols>
  <sheetData>
    <row r="1" ht="27.75" customHeight="1">
      <c r="A1" s="91" t="s">
        <v>0</v>
      </c>
      <c r="B1" s="91" t="s">
        <v>2</v>
      </c>
      <c r="C1" s="91" t="s">
        <v>3</v>
      </c>
      <c r="D1" s="91" t="s">
        <v>397</v>
      </c>
      <c r="E1" s="91" t="s">
        <v>398</v>
      </c>
      <c r="F1" s="91" t="s">
        <v>401</v>
      </c>
      <c r="G1" s="91" t="s">
        <v>402</v>
      </c>
      <c r="H1" s="91" t="s">
        <v>403</v>
      </c>
      <c r="I1" s="91" t="s">
        <v>404</v>
      </c>
      <c r="J1" s="91" t="s">
        <v>405</v>
      </c>
      <c r="K1" s="91" t="s">
        <v>406</v>
      </c>
    </row>
    <row r="2" ht="19.5" customHeight="1">
      <c r="A2" s="6">
        <v>1.0</v>
      </c>
      <c r="B2" s="8" t="s">
        <v>277</v>
      </c>
      <c r="C2" s="10" t="s">
        <v>278</v>
      </c>
      <c r="D2" s="6">
        <v>500000.0</v>
      </c>
      <c r="E2" s="6">
        <v>1000000.0</v>
      </c>
      <c r="F2" s="6">
        <v>2980000.0</v>
      </c>
      <c r="G2" s="6">
        <v>3576000.0</v>
      </c>
      <c r="H2" s="6">
        <v>4291000.0</v>
      </c>
      <c r="I2" s="6">
        <v>5149000.0</v>
      </c>
      <c r="J2" s="6">
        <v>6179000.0</v>
      </c>
      <c r="K2" s="6">
        <v>7415000.0</v>
      </c>
    </row>
    <row r="3" ht="19.5" customHeight="1">
      <c r="A3" s="9">
        <v>2.0</v>
      </c>
      <c r="B3" s="11" t="s">
        <v>51</v>
      </c>
      <c r="C3" s="13" t="s">
        <v>22</v>
      </c>
      <c r="D3" s="9">
        <v>500000.0</v>
      </c>
      <c r="E3" s="9">
        <v>1000000.0</v>
      </c>
      <c r="F3" s="9">
        <v>2500000.0</v>
      </c>
      <c r="G3" s="11" t="s">
        <v>327</v>
      </c>
      <c r="H3" s="11" t="s">
        <v>327</v>
      </c>
      <c r="I3" s="11" t="s">
        <v>327</v>
      </c>
      <c r="J3" s="11" t="s">
        <v>327</v>
      </c>
      <c r="K3" s="11" t="s">
        <v>327</v>
      </c>
    </row>
    <row r="4" ht="19.5" customHeight="1">
      <c r="A4" s="6">
        <v>3.0</v>
      </c>
      <c r="B4" s="8" t="s">
        <v>64</v>
      </c>
      <c r="C4" s="10" t="s">
        <v>22</v>
      </c>
      <c r="D4" s="6">
        <v>500000.0</v>
      </c>
      <c r="E4" s="6">
        <v>1000000.0</v>
      </c>
      <c r="F4" s="6">
        <v>2500000.0</v>
      </c>
      <c r="G4" s="8" t="s">
        <v>327</v>
      </c>
      <c r="H4" s="8" t="s">
        <v>327</v>
      </c>
      <c r="I4" s="8" t="s">
        <v>327</v>
      </c>
      <c r="J4" s="8" t="s">
        <v>327</v>
      </c>
      <c r="K4" s="8" t="s">
        <v>327</v>
      </c>
    </row>
    <row r="5" ht="19.5" customHeight="1">
      <c r="A5" s="9">
        <v>4.0</v>
      </c>
      <c r="B5" s="11" t="s">
        <v>59</v>
      </c>
      <c r="C5" s="13" t="s">
        <v>22</v>
      </c>
      <c r="D5" s="9">
        <v>500000.0</v>
      </c>
      <c r="E5" s="9">
        <v>1000000.0</v>
      </c>
      <c r="F5" s="9">
        <v>2500000.0</v>
      </c>
      <c r="G5" s="11" t="s">
        <v>327</v>
      </c>
      <c r="H5" s="11" t="s">
        <v>327</v>
      </c>
      <c r="I5" s="11" t="s">
        <v>327</v>
      </c>
      <c r="J5" s="11" t="s">
        <v>327</v>
      </c>
      <c r="K5" s="11" t="s">
        <v>327</v>
      </c>
    </row>
    <row r="6" ht="19.5" customHeight="1">
      <c r="A6" s="6">
        <v>5.0</v>
      </c>
      <c r="B6" s="8" t="s">
        <v>14</v>
      </c>
      <c r="C6" s="10" t="s">
        <v>22</v>
      </c>
      <c r="D6" s="6">
        <v>500000.0</v>
      </c>
      <c r="E6" s="6">
        <v>1000000.0</v>
      </c>
      <c r="F6" s="6">
        <v>2500000.0</v>
      </c>
      <c r="G6" s="8" t="s">
        <v>327</v>
      </c>
      <c r="H6" s="8" t="s">
        <v>327</v>
      </c>
      <c r="I6" s="8" t="s">
        <v>327</v>
      </c>
      <c r="J6" s="8" t="s">
        <v>327</v>
      </c>
      <c r="K6" s="8" t="s">
        <v>327</v>
      </c>
    </row>
    <row r="7" ht="19.5" customHeight="1">
      <c r="A7" s="9">
        <v>6.0</v>
      </c>
      <c r="B7" s="11" t="s">
        <v>123</v>
      </c>
      <c r="C7" s="13" t="s">
        <v>22</v>
      </c>
      <c r="D7" s="9">
        <v>500000.0</v>
      </c>
      <c r="E7" s="9">
        <v>1000000.0</v>
      </c>
      <c r="F7" s="9">
        <v>3000000.0</v>
      </c>
      <c r="G7" s="11" t="s">
        <v>327</v>
      </c>
      <c r="H7" s="11" t="s">
        <v>327</v>
      </c>
      <c r="I7" s="11" t="s">
        <v>327</v>
      </c>
      <c r="J7" s="11" t="s">
        <v>327</v>
      </c>
      <c r="K7" s="11" t="s">
        <v>327</v>
      </c>
    </row>
    <row r="8" ht="19.5" customHeight="1">
      <c r="A8" s="6">
        <v>7.0</v>
      </c>
      <c r="B8" s="8" t="s">
        <v>93</v>
      </c>
      <c r="C8" s="10" t="s">
        <v>22</v>
      </c>
      <c r="D8" s="6">
        <v>500000.0</v>
      </c>
      <c r="E8" s="6">
        <v>1000000.0</v>
      </c>
      <c r="F8" s="6">
        <v>3500000.0</v>
      </c>
      <c r="G8" s="8" t="s">
        <v>327</v>
      </c>
      <c r="H8" s="8" t="s">
        <v>327</v>
      </c>
      <c r="I8" s="8" t="s">
        <v>327</v>
      </c>
      <c r="J8" s="8" t="s">
        <v>327</v>
      </c>
      <c r="K8" s="8" t="s">
        <v>327</v>
      </c>
    </row>
    <row r="9" ht="19.5" customHeight="1">
      <c r="A9" s="9">
        <v>8.0</v>
      </c>
      <c r="B9" s="11" t="s">
        <v>88</v>
      </c>
      <c r="C9" s="13" t="s">
        <v>22</v>
      </c>
      <c r="D9" s="9">
        <v>500000.0</v>
      </c>
      <c r="E9" s="9">
        <v>1000000.0</v>
      </c>
      <c r="F9" s="9">
        <v>3500000.0</v>
      </c>
      <c r="G9" s="11" t="s">
        <v>327</v>
      </c>
      <c r="H9" s="11" t="s">
        <v>327</v>
      </c>
      <c r="I9" s="11" t="s">
        <v>327</v>
      </c>
      <c r="J9" s="11" t="s">
        <v>327</v>
      </c>
      <c r="K9" s="11" t="s">
        <v>327</v>
      </c>
    </row>
    <row r="10" ht="19.5" customHeight="1">
      <c r="A10" s="6">
        <v>9.0</v>
      </c>
      <c r="B10" s="8" t="s">
        <v>101</v>
      </c>
      <c r="C10" s="10" t="s">
        <v>22</v>
      </c>
      <c r="D10" s="6">
        <v>500000.0</v>
      </c>
      <c r="E10" s="6">
        <v>1000000.0</v>
      </c>
      <c r="F10" s="6">
        <v>3500000.0</v>
      </c>
      <c r="G10" s="8" t="s">
        <v>327</v>
      </c>
      <c r="H10" s="8" t="s">
        <v>327</v>
      </c>
      <c r="I10" s="8" t="s">
        <v>327</v>
      </c>
      <c r="J10" s="8" t="s">
        <v>327</v>
      </c>
      <c r="K10" s="8" t="s">
        <v>327</v>
      </c>
    </row>
    <row r="11" ht="19.5" customHeight="1">
      <c r="A11" s="9">
        <v>10.0</v>
      </c>
      <c r="B11" s="11" t="s">
        <v>74</v>
      </c>
      <c r="C11" s="13" t="s">
        <v>22</v>
      </c>
      <c r="D11" s="9">
        <v>500000.0</v>
      </c>
      <c r="E11" s="9">
        <v>1000000.0</v>
      </c>
      <c r="F11" s="9">
        <v>3500000.0</v>
      </c>
      <c r="G11" s="11" t="s">
        <v>327</v>
      </c>
      <c r="H11" s="11" t="s">
        <v>327</v>
      </c>
      <c r="I11" s="11" t="s">
        <v>327</v>
      </c>
      <c r="J11" s="11" t="s">
        <v>327</v>
      </c>
      <c r="K11" s="11" t="s">
        <v>327</v>
      </c>
    </row>
    <row r="12" ht="19.5" customHeight="1">
      <c r="A12" s="6">
        <v>11.0</v>
      </c>
      <c r="B12" s="8" t="s">
        <v>108</v>
      </c>
      <c r="C12" s="10" t="s">
        <v>22</v>
      </c>
      <c r="D12" s="6">
        <v>500000.0</v>
      </c>
      <c r="E12" s="6">
        <v>1000000.0</v>
      </c>
      <c r="F12" s="6">
        <v>2000000.0</v>
      </c>
      <c r="G12" s="6">
        <v>2500000.0</v>
      </c>
      <c r="H12" s="6">
        <v>3000000.0</v>
      </c>
      <c r="I12" s="8" t="s">
        <v>327</v>
      </c>
      <c r="J12" s="8" t="s">
        <v>327</v>
      </c>
      <c r="K12" s="8" t="s">
        <v>327</v>
      </c>
    </row>
    <row r="13" ht="19.5" customHeight="1">
      <c r="A13" s="9">
        <v>12.0</v>
      </c>
      <c r="B13" s="11" t="s">
        <v>114</v>
      </c>
      <c r="C13" s="13" t="s">
        <v>22</v>
      </c>
      <c r="D13" s="9">
        <v>500000.0</v>
      </c>
      <c r="E13" s="9">
        <v>1000000.0</v>
      </c>
      <c r="F13" s="9">
        <v>2000000.0</v>
      </c>
      <c r="G13" s="9">
        <v>2500000.0</v>
      </c>
      <c r="H13" s="9">
        <v>3000000.0</v>
      </c>
      <c r="I13" s="11" t="s">
        <v>327</v>
      </c>
      <c r="J13" s="11" t="s">
        <v>327</v>
      </c>
      <c r="K13" s="11" t="s">
        <v>327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40.25"/>
    <col customWidth="1" min="3" max="3" width="10.5"/>
    <col customWidth="1" min="4" max="7" width="24.5"/>
    <col customWidth="1" min="8" max="26" width="7.63"/>
  </cols>
  <sheetData>
    <row r="1" ht="27.75" customHeight="1">
      <c r="A1" s="94" t="s">
        <v>0</v>
      </c>
      <c r="B1" s="94" t="s">
        <v>2</v>
      </c>
      <c r="C1" s="94" t="s">
        <v>3</v>
      </c>
      <c r="D1" s="94" t="s">
        <v>367</v>
      </c>
      <c r="E1" s="94" t="s">
        <v>368</v>
      </c>
      <c r="F1" s="94" t="s">
        <v>369</v>
      </c>
      <c r="G1" s="94" t="s">
        <v>370</v>
      </c>
    </row>
    <row r="2" ht="19.5" customHeight="1">
      <c r="A2" s="6">
        <v>1.0</v>
      </c>
      <c r="B2" s="8" t="s">
        <v>33</v>
      </c>
      <c r="C2" s="10" t="s">
        <v>15</v>
      </c>
      <c r="D2" s="6">
        <v>1.2E7</v>
      </c>
      <c r="E2" s="6">
        <v>1.275E7</v>
      </c>
      <c r="F2" s="6">
        <v>1.35E7</v>
      </c>
      <c r="G2" s="6">
        <v>1.5E7</v>
      </c>
    </row>
    <row r="3" ht="19.5" customHeight="1">
      <c r="A3" s="9">
        <v>2.0</v>
      </c>
      <c r="B3" s="11" t="s">
        <v>37</v>
      </c>
      <c r="C3" s="13" t="s">
        <v>15</v>
      </c>
      <c r="D3" s="9">
        <v>1.2E7</v>
      </c>
      <c r="E3" s="9">
        <v>1.275E7</v>
      </c>
      <c r="F3" s="9">
        <v>1.35E7</v>
      </c>
      <c r="G3" s="9">
        <v>1.5E7</v>
      </c>
    </row>
    <row r="4" ht="19.5" customHeight="1">
      <c r="A4" s="6">
        <v>3.0</v>
      </c>
      <c r="B4" s="8" t="s">
        <v>14</v>
      </c>
      <c r="C4" s="10" t="s">
        <v>15</v>
      </c>
      <c r="D4" s="6">
        <v>1.2E7</v>
      </c>
      <c r="E4" s="6">
        <v>1.275E7</v>
      </c>
      <c r="F4" s="6">
        <v>1.35E7</v>
      </c>
      <c r="G4" s="6">
        <v>1.5E7</v>
      </c>
    </row>
    <row r="5" ht="19.5" customHeight="1">
      <c r="A5" s="9">
        <v>4.0</v>
      </c>
      <c r="B5" s="11" t="s">
        <v>23</v>
      </c>
      <c r="C5" s="13" t="s">
        <v>15</v>
      </c>
      <c r="D5" s="9">
        <v>1.2E7</v>
      </c>
      <c r="E5" s="9">
        <v>1.275E7</v>
      </c>
      <c r="F5" s="9">
        <v>1.35E7</v>
      </c>
      <c r="G5" s="9">
        <v>1.5E7</v>
      </c>
    </row>
    <row r="6" ht="19.5" customHeight="1">
      <c r="A6" s="6">
        <v>5.0</v>
      </c>
      <c r="B6" s="8" t="s">
        <v>426</v>
      </c>
      <c r="C6" s="10" t="s">
        <v>15</v>
      </c>
      <c r="D6" s="6">
        <v>1.2E7</v>
      </c>
      <c r="E6" s="6">
        <v>1.275E7</v>
      </c>
      <c r="F6" s="6">
        <v>1.35E7</v>
      </c>
      <c r="G6" s="6">
        <v>1.5E7</v>
      </c>
    </row>
    <row r="7" ht="19.5" customHeight="1">
      <c r="A7" s="9">
        <v>6.0</v>
      </c>
      <c r="B7" s="11" t="s">
        <v>376</v>
      </c>
      <c r="C7" s="13" t="s">
        <v>15</v>
      </c>
      <c r="D7" s="9">
        <v>0.0</v>
      </c>
      <c r="E7" s="9">
        <v>0.0</v>
      </c>
      <c r="F7" s="9">
        <v>0.0</v>
      </c>
      <c r="G7" s="9">
        <v>0.0</v>
      </c>
    </row>
    <row r="8" ht="19.5" customHeight="1">
      <c r="A8" s="6">
        <v>7.0</v>
      </c>
      <c r="B8" s="8" t="s">
        <v>47</v>
      </c>
      <c r="C8" s="10" t="s">
        <v>15</v>
      </c>
      <c r="D8" s="6">
        <v>1.2E7</v>
      </c>
      <c r="E8" s="6">
        <v>1.275E7</v>
      </c>
      <c r="F8" s="6">
        <v>1.35E7</v>
      </c>
      <c r="G8" s="6">
        <v>1.5E7</v>
      </c>
    </row>
    <row r="9" ht="19.5" customHeight="1">
      <c r="A9" s="9">
        <v>8.0</v>
      </c>
      <c r="B9" s="11" t="s">
        <v>53</v>
      </c>
      <c r="C9" s="13" t="s">
        <v>15</v>
      </c>
      <c r="D9" s="9">
        <v>4000000.0</v>
      </c>
      <c r="E9" s="9">
        <v>4250000.0</v>
      </c>
      <c r="F9" s="9">
        <v>4500000.0</v>
      </c>
      <c r="G9" s="9">
        <v>5000000.0</v>
      </c>
    </row>
    <row r="10" ht="19.5" customHeight="1">
      <c r="A10" s="6">
        <v>9.0</v>
      </c>
      <c r="B10" s="8" t="s">
        <v>93</v>
      </c>
      <c r="C10" s="10" t="s">
        <v>15</v>
      </c>
      <c r="D10" s="6">
        <v>4.0E7</v>
      </c>
      <c r="E10" s="6">
        <v>4.25E7</v>
      </c>
      <c r="F10" s="6">
        <v>4.5E7</v>
      </c>
      <c r="G10" s="6">
        <v>5.0E7</v>
      </c>
    </row>
    <row r="11" ht="19.5" customHeight="1">
      <c r="A11" s="9">
        <v>10.0</v>
      </c>
      <c r="B11" s="11" t="s">
        <v>88</v>
      </c>
      <c r="C11" s="13" t="s">
        <v>15</v>
      </c>
      <c r="D11" s="9">
        <v>2.4E7</v>
      </c>
      <c r="E11" s="9">
        <v>2.55E7</v>
      </c>
      <c r="F11" s="9">
        <v>2.7E7</v>
      </c>
      <c r="G11" s="9">
        <v>3.0E7</v>
      </c>
    </row>
    <row r="12" ht="19.5" customHeight="1">
      <c r="A12" s="6">
        <v>11.0</v>
      </c>
      <c r="B12" s="8" t="s">
        <v>85</v>
      </c>
      <c r="C12" s="10" t="s">
        <v>15</v>
      </c>
      <c r="D12" s="6">
        <v>2.4E7</v>
      </c>
      <c r="E12" s="6">
        <v>2.55E7</v>
      </c>
      <c r="F12" s="6">
        <v>2.7E7</v>
      </c>
      <c r="G12" s="6">
        <v>3.0E7</v>
      </c>
    </row>
    <row r="13" ht="19.5" customHeight="1">
      <c r="A13" s="9">
        <v>12.0</v>
      </c>
      <c r="B13" s="11" t="s">
        <v>68</v>
      </c>
      <c r="C13" s="13" t="s">
        <v>15</v>
      </c>
      <c r="D13" s="9">
        <v>3.2E7</v>
      </c>
      <c r="E13" s="9">
        <v>3.4E7</v>
      </c>
      <c r="F13" s="9">
        <v>3.6E7</v>
      </c>
      <c r="G13" s="9">
        <v>4.0E7</v>
      </c>
    </row>
    <row r="14" ht="19.5" customHeight="1">
      <c r="A14" s="6">
        <v>13.0</v>
      </c>
      <c r="B14" s="8" t="s">
        <v>58</v>
      </c>
      <c r="C14" s="10" t="s">
        <v>15</v>
      </c>
      <c r="D14" s="6">
        <v>2.4E7</v>
      </c>
      <c r="E14" s="6">
        <v>2.55E7</v>
      </c>
      <c r="F14" s="6">
        <v>2.7E7</v>
      </c>
      <c r="G14" s="6">
        <v>3.0E7</v>
      </c>
    </row>
    <row r="15" ht="19.5" customHeight="1">
      <c r="A15" s="9">
        <v>14.0</v>
      </c>
      <c r="B15" s="11" t="s">
        <v>82</v>
      </c>
      <c r="C15" s="13" t="s">
        <v>15</v>
      </c>
      <c r="D15" s="9">
        <v>2.4E7</v>
      </c>
      <c r="E15" s="9">
        <v>2.55E7</v>
      </c>
      <c r="F15" s="9">
        <v>2.7E7</v>
      </c>
      <c r="G15" s="9">
        <v>3.0E7</v>
      </c>
    </row>
    <row r="16" ht="19.5" customHeight="1">
      <c r="A16" s="6">
        <v>15.0</v>
      </c>
      <c r="B16" s="8" t="s">
        <v>72</v>
      </c>
      <c r="C16" s="10" t="s">
        <v>15</v>
      </c>
      <c r="D16" s="6">
        <v>3.2E7</v>
      </c>
      <c r="E16" s="6">
        <v>3.4E7</v>
      </c>
      <c r="F16" s="6">
        <v>3.6E7</v>
      </c>
      <c r="G16" s="6">
        <v>4.0E7</v>
      </c>
    </row>
    <row r="17" ht="19.5" customHeight="1">
      <c r="A17" s="9">
        <v>16.0</v>
      </c>
      <c r="B17" s="11" t="s">
        <v>77</v>
      </c>
      <c r="C17" s="13" t="s">
        <v>15</v>
      </c>
      <c r="D17" s="9">
        <v>2.4E7</v>
      </c>
      <c r="E17" s="9">
        <v>2.55E7</v>
      </c>
      <c r="F17" s="9">
        <v>2.7E7</v>
      </c>
      <c r="G17" s="9">
        <v>3.0E7</v>
      </c>
    </row>
    <row r="18" ht="19.5" customHeight="1">
      <c r="A18" s="6">
        <v>17.0</v>
      </c>
      <c r="B18" s="8" t="s">
        <v>95</v>
      </c>
      <c r="C18" s="10" t="s">
        <v>15</v>
      </c>
      <c r="D18" s="6">
        <v>4.0E7</v>
      </c>
      <c r="E18" s="6">
        <v>4.25E7</v>
      </c>
      <c r="F18" s="6">
        <v>4.5E7</v>
      </c>
      <c r="G18" s="6">
        <v>5.0E7</v>
      </c>
    </row>
    <row r="19" ht="19.5" customHeight="1">
      <c r="A19" s="9">
        <v>18.0</v>
      </c>
      <c r="B19" s="11" t="s">
        <v>63</v>
      </c>
      <c r="C19" s="13" t="s">
        <v>15</v>
      </c>
      <c r="D19" s="9">
        <v>3.2E7</v>
      </c>
      <c r="E19" s="9">
        <v>3.4E7</v>
      </c>
      <c r="F19" s="9">
        <v>3.6E7</v>
      </c>
      <c r="G19" s="9">
        <v>4.0E7</v>
      </c>
    </row>
    <row r="20" ht="19.5" customHeight="1">
      <c r="A20" s="6">
        <v>19.0</v>
      </c>
      <c r="B20" s="8" t="s">
        <v>90</v>
      </c>
      <c r="C20" s="10" t="s">
        <v>15</v>
      </c>
      <c r="D20" s="6">
        <v>2.4E7</v>
      </c>
      <c r="E20" s="6">
        <v>2.55E7</v>
      </c>
      <c r="F20" s="6">
        <v>2.7E7</v>
      </c>
      <c r="G20" s="6">
        <v>3.0E7</v>
      </c>
    </row>
    <row r="21" ht="19.5" customHeight="1">
      <c r="A21" s="9">
        <v>20.0</v>
      </c>
      <c r="B21" s="11" t="s">
        <v>102</v>
      </c>
      <c r="C21" s="13" t="s">
        <v>15</v>
      </c>
      <c r="D21" s="9">
        <v>1.2E7</v>
      </c>
      <c r="E21" s="9">
        <v>1.275E7</v>
      </c>
      <c r="F21" s="9">
        <v>1.35E7</v>
      </c>
      <c r="G21" s="9">
        <v>1.5E7</v>
      </c>
    </row>
    <row r="22" ht="19.5" customHeight="1">
      <c r="A22" s="6">
        <v>21.0</v>
      </c>
      <c r="B22" s="8" t="s">
        <v>106</v>
      </c>
      <c r="C22" s="10" t="s">
        <v>15</v>
      </c>
      <c r="D22" s="6">
        <v>1.2E7</v>
      </c>
      <c r="E22" s="6">
        <v>1.275E7</v>
      </c>
      <c r="F22" s="6">
        <v>1.35E7</v>
      </c>
      <c r="G22" s="6">
        <v>1.5E7</v>
      </c>
    </row>
    <row r="23" ht="19.5" customHeight="1">
      <c r="A23" s="9">
        <v>22.0</v>
      </c>
      <c r="B23" s="11" t="s">
        <v>115</v>
      </c>
      <c r="C23" s="13" t="s">
        <v>15</v>
      </c>
      <c r="D23" s="9">
        <v>1.2E7</v>
      </c>
      <c r="E23" s="9">
        <v>1.275E7</v>
      </c>
      <c r="F23" s="9">
        <v>1.35E7</v>
      </c>
      <c r="G23" s="9">
        <v>1.5E7</v>
      </c>
    </row>
    <row r="24" ht="19.5" customHeight="1">
      <c r="A24" s="6">
        <v>23.0</v>
      </c>
      <c r="B24" s="8" t="s">
        <v>119</v>
      </c>
      <c r="C24" s="10" t="s">
        <v>15</v>
      </c>
      <c r="D24" s="6">
        <v>1.2E7</v>
      </c>
      <c r="E24" s="6">
        <v>1.275E7</v>
      </c>
      <c r="F24" s="6">
        <v>1.35E7</v>
      </c>
      <c r="G24" s="6">
        <v>1.5E7</v>
      </c>
    </row>
    <row r="25" ht="19.5" customHeight="1">
      <c r="A25" s="9">
        <v>24.0</v>
      </c>
      <c r="B25" s="11" t="s">
        <v>129</v>
      </c>
      <c r="C25" s="13" t="s">
        <v>15</v>
      </c>
      <c r="D25" s="9">
        <v>1.2E7</v>
      </c>
      <c r="E25" s="9">
        <v>1.275E7</v>
      </c>
      <c r="F25" s="9">
        <v>1.35E7</v>
      </c>
      <c r="G25" s="9">
        <v>1.5E7</v>
      </c>
    </row>
    <row r="26" ht="19.5" customHeight="1">
      <c r="A26" s="6">
        <v>25.0</v>
      </c>
      <c r="B26" s="8" t="s">
        <v>125</v>
      </c>
      <c r="C26" s="10" t="s">
        <v>15</v>
      </c>
      <c r="D26" s="6">
        <v>1.2E7</v>
      </c>
      <c r="E26" s="6">
        <v>1.275E7</v>
      </c>
      <c r="F26" s="6">
        <v>1.35E7</v>
      </c>
      <c r="G26" s="6">
        <v>1.5E7</v>
      </c>
    </row>
    <row r="27" ht="19.5" customHeight="1">
      <c r="A27" s="9">
        <v>26.0</v>
      </c>
      <c r="B27" s="11" t="s">
        <v>385</v>
      </c>
      <c r="C27" s="13" t="s">
        <v>15</v>
      </c>
      <c r="D27" s="9">
        <v>1.2E7</v>
      </c>
      <c r="E27" s="9">
        <v>1.275E7</v>
      </c>
      <c r="F27" s="9">
        <v>1.35E7</v>
      </c>
      <c r="G27" s="9">
        <v>1.5E7</v>
      </c>
    </row>
    <row r="28" ht="19.5" customHeight="1">
      <c r="A28" s="6">
        <v>27.0</v>
      </c>
      <c r="B28" s="8" t="s">
        <v>136</v>
      </c>
      <c r="C28" s="10" t="s">
        <v>15</v>
      </c>
      <c r="D28" s="6">
        <v>1.2E7</v>
      </c>
      <c r="E28" s="6">
        <v>1.275E7</v>
      </c>
      <c r="F28" s="6">
        <v>1.35E7</v>
      </c>
      <c r="G28" s="6">
        <v>1.5E7</v>
      </c>
    </row>
    <row r="29" ht="19.5" customHeight="1">
      <c r="A29" s="9">
        <v>28.0</v>
      </c>
      <c r="B29" s="11" t="s">
        <v>388</v>
      </c>
      <c r="C29" s="13" t="s">
        <v>15</v>
      </c>
      <c r="D29" s="9">
        <v>0.0</v>
      </c>
      <c r="E29" s="9">
        <v>0.0</v>
      </c>
      <c r="F29" s="9">
        <v>0.0</v>
      </c>
      <c r="G29" s="9">
        <v>0.0</v>
      </c>
    </row>
    <row r="30" ht="19.5" customHeight="1">
      <c r="A30" s="6">
        <v>29.0</v>
      </c>
      <c r="B30" s="8" t="s">
        <v>381</v>
      </c>
      <c r="C30" s="10" t="s">
        <v>15</v>
      </c>
      <c r="D30" s="6">
        <v>0.0</v>
      </c>
      <c r="E30" s="6">
        <v>0.0</v>
      </c>
      <c r="F30" s="6">
        <v>0.0</v>
      </c>
      <c r="G30" s="6">
        <v>0.0</v>
      </c>
    </row>
    <row r="31" ht="19.5" customHeight="1">
      <c r="A31" s="9">
        <v>30.0</v>
      </c>
      <c r="B31" s="11" t="s">
        <v>389</v>
      </c>
      <c r="C31" s="13" t="s">
        <v>15</v>
      </c>
      <c r="D31" s="9">
        <v>4000000.0</v>
      </c>
      <c r="E31" s="9">
        <v>4250000.0</v>
      </c>
      <c r="F31" s="9">
        <v>4500000.0</v>
      </c>
      <c r="G31" s="9">
        <v>5000000.0</v>
      </c>
    </row>
    <row r="32" ht="19.5" customHeight="1">
      <c r="A32" s="6">
        <v>31.0</v>
      </c>
      <c r="B32" s="8" t="s">
        <v>148</v>
      </c>
      <c r="C32" s="10" t="s">
        <v>15</v>
      </c>
      <c r="D32" s="6">
        <v>4000000.0</v>
      </c>
      <c r="E32" s="6">
        <v>4250000.0</v>
      </c>
      <c r="F32" s="6">
        <v>4500000.0</v>
      </c>
      <c r="G32" s="6">
        <v>5000000.0</v>
      </c>
    </row>
    <row r="33" ht="19.5" customHeight="1">
      <c r="A33" s="9">
        <v>32.0</v>
      </c>
      <c r="B33" s="11" t="s">
        <v>390</v>
      </c>
      <c r="C33" s="13" t="s">
        <v>15</v>
      </c>
      <c r="D33" s="9">
        <v>4000000.0</v>
      </c>
      <c r="E33" s="9">
        <v>4250000.0</v>
      </c>
      <c r="F33" s="9">
        <v>4500000.0</v>
      </c>
      <c r="G33" s="9">
        <v>5000000.0</v>
      </c>
    </row>
    <row r="34" ht="19.5" customHeight="1">
      <c r="A34" s="6">
        <v>33.0</v>
      </c>
      <c r="B34" s="8" t="s">
        <v>178</v>
      </c>
      <c r="C34" s="10" t="s">
        <v>15</v>
      </c>
      <c r="D34" s="6">
        <v>4000000.0</v>
      </c>
      <c r="E34" s="6">
        <v>4250000.0</v>
      </c>
      <c r="F34" s="6">
        <v>4500000.0</v>
      </c>
      <c r="G34" s="6">
        <v>5000000.0</v>
      </c>
    </row>
    <row r="35" ht="19.5" customHeight="1">
      <c r="A35" s="9">
        <v>34.0</v>
      </c>
      <c r="B35" s="11" t="s">
        <v>297</v>
      </c>
      <c r="C35" s="13" t="s">
        <v>15</v>
      </c>
      <c r="D35" s="9">
        <v>4000000.0</v>
      </c>
      <c r="E35" s="9">
        <v>4250000.0</v>
      </c>
      <c r="F35" s="9">
        <v>4500000.0</v>
      </c>
      <c r="G35" s="9">
        <v>5000000.0</v>
      </c>
    </row>
    <row r="36" ht="19.5" customHeight="1">
      <c r="A36" s="6">
        <v>35.0</v>
      </c>
      <c r="B36" s="8" t="s">
        <v>391</v>
      </c>
      <c r="C36" s="10" t="s">
        <v>15</v>
      </c>
      <c r="D36" s="6">
        <v>4000000.0</v>
      </c>
      <c r="E36" s="6">
        <v>4250000.0</v>
      </c>
      <c r="F36" s="6">
        <v>4500000.0</v>
      </c>
      <c r="G36" s="6">
        <v>5000000.0</v>
      </c>
    </row>
    <row r="37" ht="19.5" customHeight="1">
      <c r="A37" s="9">
        <v>36.0</v>
      </c>
      <c r="B37" s="11" t="s">
        <v>141</v>
      </c>
      <c r="C37" s="13" t="s">
        <v>15</v>
      </c>
      <c r="D37" s="9">
        <v>4000000.0</v>
      </c>
      <c r="E37" s="9">
        <v>4250000.0</v>
      </c>
      <c r="F37" s="9">
        <v>4500000.0</v>
      </c>
      <c r="G37" s="9">
        <v>5000000.0</v>
      </c>
    </row>
    <row r="38" ht="19.5" customHeight="1">
      <c r="A38" s="6">
        <v>37.0</v>
      </c>
      <c r="B38" s="8" t="s">
        <v>291</v>
      </c>
      <c r="C38" s="10" t="s">
        <v>15</v>
      </c>
      <c r="D38" s="6">
        <v>4000000.0</v>
      </c>
      <c r="E38" s="6">
        <v>4250000.0</v>
      </c>
      <c r="F38" s="6">
        <v>4500000.0</v>
      </c>
      <c r="G38" s="6">
        <v>5000000.0</v>
      </c>
    </row>
    <row r="39" ht="19.5" customHeight="1">
      <c r="A39" s="9">
        <v>38.0</v>
      </c>
      <c r="B39" s="11" t="s">
        <v>355</v>
      </c>
      <c r="C39" s="13" t="s">
        <v>15</v>
      </c>
      <c r="D39" s="9">
        <v>4000000.0</v>
      </c>
      <c r="E39" s="9">
        <v>4250000.0</v>
      </c>
      <c r="F39" s="9">
        <v>4500000.0</v>
      </c>
      <c r="G39" s="9">
        <v>5000000.0</v>
      </c>
    </row>
    <row r="40" ht="19.5" customHeight="1">
      <c r="A40" s="6">
        <v>39.0</v>
      </c>
      <c r="B40" s="8" t="s">
        <v>152</v>
      </c>
      <c r="C40" s="10" t="s">
        <v>15</v>
      </c>
      <c r="D40" s="6">
        <v>4000000.0</v>
      </c>
      <c r="E40" s="6">
        <v>4250000.0</v>
      </c>
      <c r="F40" s="6">
        <v>4500000.0</v>
      </c>
      <c r="G40" s="6">
        <v>5000000.0</v>
      </c>
    </row>
    <row r="41" ht="19.5" customHeight="1">
      <c r="A41" s="9">
        <v>40.0</v>
      </c>
      <c r="B41" s="11" t="s">
        <v>172</v>
      </c>
      <c r="C41" s="13" t="s">
        <v>15</v>
      </c>
      <c r="D41" s="9">
        <v>4000000.0</v>
      </c>
      <c r="E41" s="9">
        <v>4250000.0</v>
      </c>
      <c r="F41" s="9">
        <v>4500000.0</v>
      </c>
      <c r="G41" s="9">
        <v>5000000.0</v>
      </c>
    </row>
    <row r="42" ht="19.5" customHeight="1">
      <c r="A42" s="6">
        <v>41.0</v>
      </c>
      <c r="B42" s="8" t="s">
        <v>143</v>
      </c>
      <c r="C42" s="10" t="s">
        <v>15</v>
      </c>
      <c r="D42" s="6">
        <v>4000000.0</v>
      </c>
      <c r="E42" s="6">
        <v>4250000.0</v>
      </c>
      <c r="F42" s="6">
        <v>4500000.0</v>
      </c>
      <c r="G42" s="6">
        <v>5000000.0</v>
      </c>
    </row>
    <row r="43" ht="19.5" customHeight="1">
      <c r="A43" s="9">
        <v>42.0</v>
      </c>
      <c r="B43" s="11" t="s">
        <v>166</v>
      </c>
      <c r="C43" s="13" t="s">
        <v>15</v>
      </c>
      <c r="D43" s="9">
        <v>4000000.0</v>
      </c>
      <c r="E43" s="9">
        <v>4250000.0</v>
      </c>
      <c r="F43" s="9">
        <v>4500000.0</v>
      </c>
      <c r="G43" s="9">
        <v>5000000.0</v>
      </c>
    </row>
    <row r="44" ht="19.5" customHeight="1">
      <c r="A44" s="6">
        <v>43.0</v>
      </c>
      <c r="B44" s="8" t="s">
        <v>173</v>
      </c>
      <c r="C44" s="10" t="s">
        <v>15</v>
      </c>
      <c r="D44" s="6">
        <v>4000000.0</v>
      </c>
      <c r="E44" s="6">
        <v>4250000.0</v>
      </c>
      <c r="F44" s="6">
        <v>4500000.0</v>
      </c>
      <c r="G44" s="6">
        <v>5000000.0</v>
      </c>
    </row>
    <row r="45" ht="19.5" customHeight="1">
      <c r="A45" s="9">
        <v>44.0</v>
      </c>
      <c r="B45" s="11" t="s">
        <v>155</v>
      </c>
      <c r="C45" s="13" t="s">
        <v>15</v>
      </c>
      <c r="D45" s="9">
        <v>4000000.0</v>
      </c>
      <c r="E45" s="9">
        <v>4250000.0</v>
      </c>
      <c r="F45" s="9">
        <v>4500000.0</v>
      </c>
      <c r="G45" s="9">
        <v>5000000.0</v>
      </c>
    </row>
    <row r="46" ht="19.5" customHeight="1">
      <c r="A46" s="6">
        <v>45.0</v>
      </c>
      <c r="B46" s="8" t="s">
        <v>138</v>
      </c>
      <c r="C46" s="10" t="s">
        <v>15</v>
      </c>
      <c r="D46" s="6">
        <v>4000000.0</v>
      </c>
      <c r="E46" s="6">
        <v>4250000.0</v>
      </c>
      <c r="F46" s="6">
        <v>4500000.0</v>
      </c>
      <c r="G46" s="6">
        <v>5000000.0</v>
      </c>
    </row>
    <row r="47" ht="19.5" customHeight="1">
      <c r="A47" s="9">
        <v>46.0</v>
      </c>
      <c r="B47" s="11" t="s">
        <v>440</v>
      </c>
      <c r="C47" s="13" t="s">
        <v>15</v>
      </c>
      <c r="D47" s="9">
        <v>0.0</v>
      </c>
      <c r="E47" s="9">
        <v>0.0</v>
      </c>
      <c r="F47" s="9">
        <v>0.0</v>
      </c>
      <c r="G47" s="9">
        <v>0.0</v>
      </c>
    </row>
    <row r="48" ht="19.5" customHeight="1">
      <c r="A48" s="6">
        <v>47.0</v>
      </c>
      <c r="B48" s="8" t="s">
        <v>183</v>
      </c>
      <c r="C48" s="10" t="s">
        <v>15</v>
      </c>
      <c r="D48" s="6">
        <v>7.6617E7</v>
      </c>
      <c r="E48" s="6">
        <v>1.53234E8</v>
      </c>
      <c r="F48" s="6">
        <v>2.29851E8</v>
      </c>
      <c r="G48" s="6">
        <v>2.5E8</v>
      </c>
    </row>
    <row r="49" ht="19.5" customHeight="1">
      <c r="A49" s="9">
        <v>48.0</v>
      </c>
      <c r="B49" s="11" t="s">
        <v>184</v>
      </c>
      <c r="C49" s="13" t="s">
        <v>15</v>
      </c>
      <c r="D49" s="9">
        <v>1.4708E7</v>
      </c>
      <c r="E49" s="9">
        <v>2.9416E7</v>
      </c>
      <c r="F49" s="9">
        <v>3.0E7</v>
      </c>
      <c r="G49" s="9">
        <v>3.0E7</v>
      </c>
    </row>
    <row r="50" ht="19.5" customHeight="1">
      <c r="A50" s="6">
        <v>49.0</v>
      </c>
      <c r="B50" s="8" t="s">
        <v>195</v>
      </c>
      <c r="C50" s="10" t="s">
        <v>15</v>
      </c>
      <c r="D50" s="6">
        <v>4000000.0</v>
      </c>
      <c r="E50" s="6">
        <v>4250000.0</v>
      </c>
      <c r="F50" s="6">
        <v>4500000.0</v>
      </c>
      <c r="G50" s="6">
        <v>5000000.0</v>
      </c>
    </row>
    <row r="51" ht="19.5" customHeight="1">
      <c r="A51" s="9">
        <v>50.0</v>
      </c>
      <c r="B51" s="11" t="s">
        <v>193</v>
      </c>
      <c r="C51" s="13" t="s">
        <v>15</v>
      </c>
      <c r="D51" s="9">
        <v>4000000.0</v>
      </c>
      <c r="E51" s="9">
        <v>4250000.0</v>
      </c>
      <c r="F51" s="9">
        <v>4500000.0</v>
      </c>
      <c r="G51" s="9">
        <v>5000000.0</v>
      </c>
    </row>
    <row r="52" ht="19.5" customHeight="1">
      <c r="A52" s="6">
        <v>51.0</v>
      </c>
      <c r="B52" s="8" t="s">
        <v>194</v>
      </c>
      <c r="C52" s="10" t="s">
        <v>15</v>
      </c>
      <c r="D52" s="6">
        <v>4000000.0</v>
      </c>
      <c r="E52" s="6">
        <v>4250000.0</v>
      </c>
      <c r="F52" s="6">
        <v>4500000.0</v>
      </c>
      <c r="G52" s="6">
        <v>5000000.0</v>
      </c>
    </row>
    <row r="53" ht="19.5" customHeight="1">
      <c r="A53" s="9">
        <v>52.0</v>
      </c>
      <c r="B53" s="11" t="s">
        <v>187</v>
      </c>
      <c r="C53" s="13" t="s">
        <v>15</v>
      </c>
      <c r="D53" s="9">
        <v>4000000.0</v>
      </c>
      <c r="E53" s="9">
        <v>4250000.0</v>
      </c>
      <c r="F53" s="9">
        <v>4500000.0</v>
      </c>
      <c r="G53" s="9">
        <v>5000000.0</v>
      </c>
    </row>
    <row r="54" ht="19.5" customHeight="1">
      <c r="A54" s="6">
        <v>53.0</v>
      </c>
      <c r="B54" s="8" t="s">
        <v>198</v>
      </c>
      <c r="C54" s="10" t="s">
        <v>15</v>
      </c>
      <c r="D54" s="6">
        <v>2.0E7</v>
      </c>
      <c r="E54" s="6">
        <v>2.125E7</v>
      </c>
      <c r="F54" s="6">
        <v>2.25E7</v>
      </c>
      <c r="G54" s="6">
        <v>2.5E7</v>
      </c>
    </row>
    <row r="55" ht="19.5" customHeight="1">
      <c r="A55" s="9">
        <v>54.0</v>
      </c>
      <c r="B55" s="11" t="s">
        <v>197</v>
      </c>
      <c r="C55" s="13" t="s">
        <v>15</v>
      </c>
      <c r="D55" s="9">
        <v>8000000.0</v>
      </c>
      <c r="E55" s="9">
        <v>8500000.0</v>
      </c>
      <c r="F55" s="9">
        <v>9000000.0</v>
      </c>
      <c r="G55" s="9">
        <v>1.0E7</v>
      </c>
    </row>
    <row r="56" ht="19.5" customHeight="1">
      <c r="A56" s="6">
        <v>55.0</v>
      </c>
      <c r="B56" s="8" t="s">
        <v>192</v>
      </c>
      <c r="C56" s="10" t="s">
        <v>15</v>
      </c>
      <c r="D56" s="6">
        <v>2.4E7</v>
      </c>
      <c r="E56" s="6">
        <v>2.55E7</v>
      </c>
      <c r="F56" s="6">
        <v>2.7E7</v>
      </c>
      <c r="G56" s="6">
        <v>3.0E7</v>
      </c>
    </row>
    <row r="57" ht="19.5" customHeight="1">
      <c r="A57" s="9">
        <v>56.0</v>
      </c>
      <c r="B57" s="11" t="s">
        <v>208</v>
      </c>
      <c r="C57" s="13" t="s">
        <v>15</v>
      </c>
      <c r="D57" s="9">
        <v>4000000.0</v>
      </c>
      <c r="E57" s="9">
        <v>4250000.0</v>
      </c>
      <c r="F57" s="9">
        <v>4500000.0</v>
      </c>
      <c r="G57" s="9">
        <v>5000000.0</v>
      </c>
    </row>
    <row r="58" ht="19.5" customHeight="1">
      <c r="A58" s="6">
        <v>57.0</v>
      </c>
      <c r="B58" s="8" t="s">
        <v>200</v>
      </c>
      <c r="C58" s="10" t="s">
        <v>15</v>
      </c>
      <c r="D58" s="6">
        <v>4000000.0</v>
      </c>
      <c r="E58" s="6">
        <v>4250000.0</v>
      </c>
      <c r="F58" s="6">
        <v>4500000.0</v>
      </c>
      <c r="G58" s="6">
        <v>5000000.0</v>
      </c>
    </row>
    <row r="59" ht="19.5" customHeight="1">
      <c r="A59" s="9">
        <v>58.0</v>
      </c>
      <c r="B59" s="11" t="s">
        <v>204</v>
      </c>
      <c r="C59" s="13" t="s">
        <v>15</v>
      </c>
      <c r="D59" s="9">
        <v>4000000.0</v>
      </c>
      <c r="E59" s="9">
        <v>4250000.0</v>
      </c>
      <c r="F59" s="9">
        <v>4500000.0</v>
      </c>
      <c r="G59" s="9">
        <v>5000000.0</v>
      </c>
    </row>
    <row r="60" ht="19.5" customHeight="1">
      <c r="A60" s="6">
        <v>59.0</v>
      </c>
      <c r="B60" s="8" t="s">
        <v>203</v>
      </c>
      <c r="C60" s="10" t="s">
        <v>15</v>
      </c>
      <c r="D60" s="6">
        <v>4000000.0</v>
      </c>
      <c r="E60" s="6">
        <v>4250000.0</v>
      </c>
      <c r="F60" s="6">
        <v>4500000.0</v>
      </c>
      <c r="G60" s="6">
        <v>5000000.0</v>
      </c>
    </row>
    <row r="61" ht="19.5" customHeight="1">
      <c r="A61" s="9">
        <v>60.0</v>
      </c>
      <c r="B61" s="11" t="s">
        <v>220</v>
      </c>
      <c r="C61" s="13" t="s">
        <v>15</v>
      </c>
      <c r="D61" s="9">
        <v>1.5348E7</v>
      </c>
      <c r="E61" s="9">
        <v>3.0696E7</v>
      </c>
      <c r="F61" s="9">
        <v>4.0E7</v>
      </c>
      <c r="G61" s="9">
        <v>4.0E7</v>
      </c>
    </row>
    <row r="62" ht="19.5" customHeight="1">
      <c r="A62" s="6">
        <v>61.0</v>
      </c>
      <c r="B62" s="8" t="s">
        <v>223</v>
      </c>
      <c r="C62" s="10" t="s">
        <v>15</v>
      </c>
      <c r="D62" s="6">
        <v>7.6618E7</v>
      </c>
      <c r="E62" s="6">
        <v>1.53236E8</v>
      </c>
      <c r="F62" s="6">
        <v>2.29854E8</v>
      </c>
      <c r="G62" s="6">
        <v>2.5E8</v>
      </c>
    </row>
    <row r="63" ht="19.5" customHeight="1">
      <c r="A63" s="9">
        <v>62.0</v>
      </c>
      <c r="B63" s="11" t="s">
        <v>214</v>
      </c>
      <c r="C63" s="13" t="s">
        <v>15</v>
      </c>
      <c r="D63" s="9">
        <v>4800000.0</v>
      </c>
      <c r="E63" s="9">
        <v>5100000.0</v>
      </c>
      <c r="F63" s="9">
        <v>5400000.0</v>
      </c>
      <c r="G63" s="9">
        <v>6000000.0</v>
      </c>
    </row>
    <row r="64" ht="19.5" customHeight="1">
      <c r="A64" s="6">
        <v>63.0</v>
      </c>
      <c r="B64" s="8" t="s">
        <v>307</v>
      </c>
      <c r="C64" s="10" t="s">
        <v>15</v>
      </c>
      <c r="D64" s="6">
        <v>4800000.0</v>
      </c>
      <c r="E64" s="6">
        <v>5100000.0</v>
      </c>
      <c r="F64" s="6">
        <v>5400000.0</v>
      </c>
      <c r="G64" s="6">
        <v>6000000.0</v>
      </c>
    </row>
    <row r="65" ht="19.5" customHeight="1">
      <c r="A65" s="9">
        <v>64.0</v>
      </c>
      <c r="B65" s="11" t="s">
        <v>218</v>
      </c>
      <c r="C65" s="13" t="s">
        <v>15</v>
      </c>
      <c r="D65" s="9">
        <v>4800000.0</v>
      </c>
      <c r="E65" s="9">
        <v>5100000.0</v>
      </c>
      <c r="F65" s="9">
        <v>5400000.0</v>
      </c>
      <c r="G65" s="9">
        <v>6000000.0</v>
      </c>
    </row>
    <row r="66" ht="19.5" customHeight="1">
      <c r="A66" s="6">
        <v>65.0</v>
      </c>
      <c r="B66" s="8" t="s">
        <v>423</v>
      </c>
      <c r="C66" s="10" t="s">
        <v>15</v>
      </c>
      <c r="D66" s="6">
        <v>0.0</v>
      </c>
      <c r="E66" s="6">
        <v>0.0</v>
      </c>
      <c r="F66" s="6">
        <v>0.0</v>
      </c>
      <c r="G66" s="6">
        <v>0.0</v>
      </c>
    </row>
    <row r="67" ht="19.5" customHeight="1">
      <c r="A67" s="9">
        <v>66.0</v>
      </c>
      <c r="B67" s="11" t="s">
        <v>424</v>
      </c>
      <c r="C67" s="13" t="s">
        <v>15</v>
      </c>
      <c r="D67" s="9">
        <v>0.0</v>
      </c>
      <c r="E67" s="9">
        <v>0.0</v>
      </c>
      <c r="F67" s="9">
        <v>0.0</v>
      </c>
      <c r="G67" s="9">
        <v>0.0</v>
      </c>
    </row>
    <row r="68" ht="19.5" customHeight="1">
      <c r="A68" s="6">
        <v>67.0</v>
      </c>
      <c r="B68" s="8" t="s">
        <v>425</v>
      </c>
      <c r="C68" s="10" t="s">
        <v>15</v>
      </c>
      <c r="D68" s="6">
        <v>0.0</v>
      </c>
      <c r="E68" s="6">
        <v>0.0</v>
      </c>
      <c r="F68" s="6">
        <v>0.0</v>
      </c>
      <c r="G68" s="6">
        <v>0.0</v>
      </c>
    </row>
    <row r="69" ht="19.5" customHeight="1">
      <c r="A69" s="9">
        <v>68.0</v>
      </c>
      <c r="B69" s="11" t="s">
        <v>427</v>
      </c>
      <c r="C69" s="13" t="s">
        <v>15</v>
      </c>
      <c r="D69" s="9">
        <v>4800000.0</v>
      </c>
      <c r="E69" s="9">
        <v>5100000.0</v>
      </c>
      <c r="F69" s="9">
        <v>5400000.0</v>
      </c>
      <c r="G69" s="9">
        <v>6000000.0</v>
      </c>
    </row>
    <row r="70" ht="19.5" customHeight="1">
      <c r="A70" s="6">
        <v>69.0</v>
      </c>
      <c r="B70" s="8" t="s">
        <v>277</v>
      </c>
      <c r="C70" s="10" t="s">
        <v>278</v>
      </c>
      <c r="D70" s="6">
        <v>1.2E7</v>
      </c>
      <c r="E70" s="6">
        <v>1.275E7</v>
      </c>
      <c r="F70" s="6">
        <v>1.35E7</v>
      </c>
      <c r="G70" s="6">
        <v>1.5E7</v>
      </c>
    </row>
    <row r="71" ht="19.5" customHeight="1">
      <c r="A71" s="9">
        <v>70.0</v>
      </c>
      <c r="B71" s="11" t="s">
        <v>51</v>
      </c>
      <c r="C71" s="13" t="s">
        <v>22</v>
      </c>
      <c r="D71" s="9">
        <v>0.0</v>
      </c>
      <c r="E71" s="9">
        <v>0.0</v>
      </c>
      <c r="F71" s="9">
        <v>0.0</v>
      </c>
      <c r="G71" s="9">
        <v>0.0</v>
      </c>
    </row>
    <row r="72" ht="19.5" customHeight="1">
      <c r="A72" s="6">
        <v>71.0</v>
      </c>
      <c r="B72" s="8" t="s">
        <v>64</v>
      </c>
      <c r="C72" s="10" t="s">
        <v>22</v>
      </c>
      <c r="D72" s="6">
        <v>0.0</v>
      </c>
      <c r="E72" s="6">
        <v>0.0</v>
      </c>
      <c r="F72" s="6">
        <v>0.0</v>
      </c>
      <c r="G72" s="6">
        <v>0.0</v>
      </c>
    </row>
    <row r="73" ht="19.5" customHeight="1">
      <c r="A73" s="9">
        <v>72.0</v>
      </c>
      <c r="B73" s="11" t="s">
        <v>59</v>
      </c>
      <c r="C73" s="13" t="s">
        <v>22</v>
      </c>
      <c r="D73" s="9">
        <v>0.0</v>
      </c>
      <c r="E73" s="9">
        <v>0.0</v>
      </c>
      <c r="F73" s="9">
        <v>0.0</v>
      </c>
      <c r="G73" s="9">
        <v>0.0</v>
      </c>
    </row>
    <row r="74" ht="19.5" customHeight="1">
      <c r="A74" s="6">
        <v>73.0</v>
      </c>
      <c r="B74" s="8" t="s">
        <v>14</v>
      </c>
      <c r="C74" s="10" t="s">
        <v>22</v>
      </c>
      <c r="D74" s="6">
        <v>0.0</v>
      </c>
      <c r="E74" s="6">
        <v>0.0</v>
      </c>
      <c r="F74" s="6">
        <v>0.0</v>
      </c>
      <c r="G74" s="6">
        <v>0.0</v>
      </c>
    </row>
    <row r="75" ht="19.5" customHeight="1">
      <c r="A75" s="9">
        <v>74.0</v>
      </c>
      <c r="B75" s="11" t="s">
        <v>123</v>
      </c>
      <c r="C75" s="13" t="s">
        <v>22</v>
      </c>
      <c r="D75" s="9">
        <v>0.0</v>
      </c>
      <c r="E75" s="9">
        <v>0.0</v>
      </c>
      <c r="F75" s="9">
        <v>0.0</v>
      </c>
      <c r="G75" s="9">
        <v>0.0</v>
      </c>
    </row>
    <row r="76" ht="19.5" customHeight="1">
      <c r="A76" s="6">
        <v>75.0</v>
      </c>
      <c r="B76" s="8" t="s">
        <v>93</v>
      </c>
      <c r="C76" s="10" t="s">
        <v>22</v>
      </c>
      <c r="D76" s="6">
        <v>0.0</v>
      </c>
      <c r="E76" s="6">
        <v>0.0</v>
      </c>
      <c r="F76" s="6">
        <v>0.0</v>
      </c>
      <c r="G76" s="6">
        <v>0.0</v>
      </c>
    </row>
    <row r="77" ht="19.5" customHeight="1">
      <c r="A77" s="9">
        <v>76.0</v>
      </c>
      <c r="B77" s="11" t="s">
        <v>88</v>
      </c>
      <c r="C77" s="13" t="s">
        <v>22</v>
      </c>
      <c r="D77" s="9">
        <v>0.0</v>
      </c>
      <c r="E77" s="9">
        <v>0.0</v>
      </c>
      <c r="F77" s="9">
        <v>0.0</v>
      </c>
      <c r="G77" s="9">
        <v>0.0</v>
      </c>
    </row>
    <row r="78" ht="19.5" customHeight="1">
      <c r="A78" s="6">
        <v>77.0</v>
      </c>
      <c r="B78" s="8" t="s">
        <v>101</v>
      </c>
      <c r="C78" s="10" t="s">
        <v>22</v>
      </c>
      <c r="D78" s="6">
        <v>0.0</v>
      </c>
      <c r="E78" s="6">
        <v>0.0</v>
      </c>
      <c r="F78" s="6">
        <v>0.0</v>
      </c>
      <c r="G78" s="6">
        <v>0.0</v>
      </c>
    </row>
    <row r="79" ht="19.5" customHeight="1">
      <c r="A79" s="9">
        <v>78.0</v>
      </c>
      <c r="B79" s="11" t="s">
        <v>74</v>
      </c>
      <c r="C79" s="13" t="s">
        <v>22</v>
      </c>
      <c r="D79" s="9">
        <v>0.0</v>
      </c>
      <c r="E79" s="9">
        <v>0.0</v>
      </c>
      <c r="F79" s="9">
        <v>0.0</v>
      </c>
      <c r="G79" s="9">
        <v>0.0</v>
      </c>
    </row>
    <row r="80" ht="19.5" customHeight="1">
      <c r="A80" s="6">
        <v>79.0</v>
      </c>
      <c r="B80" s="8" t="s">
        <v>108</v>
      </c>
      <c r="C80" s="10" t="s">
        <v>22</v>
      </c>
      <c r="D80" s="6">
        <v>0.0</v>
      </c>
      <c r="E80" s="6">
        <v>0.0</v>
      </c>
      <c r="F80" s="6">
        <v>0.0</v>
      </c>
      <c r="G80" s="6">
        <v>0.0</v>
      </c>
    </row>
    <row r="81" ht="19.5" customHeight="1">
      <c r="A81" s="9">
        <v>80.0</v>
      </c>
      <c r="B81" s="11" t="s">
        <v>114</v>
      </c>
      <c r="C81" s="13" t="s">
        <v>22</v>
      </c>
      <c r="D81" s="9">
        <v>0.0</v>
      </c>
      <c r="E81" s="9">
        <v>0.0</v>
      </c>
      <c r="F81" s="9">
        <v>0.0</v>
      </c>
      <c r="G81" s="9">
        <v>0.0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38.5"/>
    <col customWidth="1" min="3" max="3" width="10.5"/>
    <col customWidth="1" min="4" max="11" width="19.25"/>
    <col customWidth="1" min="12" max="22" width="7.63"/>
  </cols>
  <sheetData>
    <row r="1" ht="27.75" customHeight="1">
      <c r="A1" s="95" t="s">
        <v>0</v>
      </c>
      <c r="B1" s="95" t="s">
        <v>2</v>
      </c>
      <c r="C1" s="95" t="s">
        <v>3</v>
      </c>
      <c r="D1" s="95" t="s">
        <v>397</v>
      </c>
      <c r="E1" s="95" t="s">
        <v>398</v>
      </c>
      <c r="F1" s="95" t="s">
        <v>401</v>
      </c>
      <c r="G1" s="95" t="s">
        <v>402</v>
      </c>
      <c r="H1" s="95" t="s">
        <v>403</v>
      </c>
      <c r="I1" s="95" t="s">
        <v>404</v>
      </c>
      <c r="J1" s="95" t="s">
        <v>405</v>
      </c>
      <c r="K1" s="95" t="s">
        <v>406</v>
      </c>
    </row>
    <row r="2" ht="19.5" customHeight="1">
      <c r="A2" s="6">
        <v>1.0</v>
      </c>
      <c r="B2" s="8" t="s">
        <v>102</v>
      </c>
      <c r="C2" s="10" t="s">
        <v>15</v>
      </c>
      <c r="D2" s="6">
        <v>500000.0</v>
      </c>
      <c r="E2" s="6">
        <v>1000000.0</v>
      </c>
      <c r="F2" s="6">
        <v>3940000.0</v>
      </c>
      <c r="G2" s="6">
        <v>4728000.0</v>
      </c>
      <c r="H2" s="6">
        <v>5674000.0</v>
      </c>
      <c r="I2" s="6">
        <v>6808000.0</v>
      </c>
      <c r="J2" s="6">
        <v>8170000.0</v>
      </c>
      <c r="K2" s="6">
        <v>9804000.0</v>
      </c>
    </row>
    <row r="3" ht="19.5" customHeight="1">
      <c r="A3" s="9">
        <v>2.0</v>
      </c>
      <c r="B3" s="11" t="s">
        <v>106</v>
      </c>
      <c r="C3" s="13" t="s">
        <v>15</v>
      </c>
      <c r="D3" s="9">
        <v>500000.0</v>
      </c>
      <c r="E3" s="9">
        <v>1000000.0</v>
      </c>
      <c r="F3" s="9">
        <v>3940000.0</v>
      </c>
      <c r="G3" s="9">
        <v>4728000.0</v>
      </c>
      <c r="H3" s="9">
        <v>5674000.0</v>
      </c>
      <c r="I3" s="9">
        <v>6808000.0</v>
      </c>
      <c r="J3" s="9">
        <v>8170000.0</v>
      </c>
      <c r="K3" s="9">
        <v>9804000.0</v>
      </c>
    </row>
    <row r="4" ht="19.5" customHeight="1">
      <c r="A4" s="6">
        <v>3.0</v>
      </c>
      <c r="B4" s="8" t="s">
        <v>14</v>
      </c>
      <c r="C4" s="10" t="s">
        <v>15</v>
      </c>
      <c r="D4" s="6">
        <v>500000.0</v>
      </c>
      <c r="E4" s="6">
        <v>1000000.0</v>
      </c>
      <c r="F4" s="6">
        <v>2980000.0</v>
      </c>
      <c r="G4" s="6">
        <v>3576000.0</v>
      </c>
      <c r="H4" s="6">
        <v>4291000.0</v>
      </c>
      <c r="I4" s="6">
        <v>5149000.0</v>
      </c>
      <c r="J4" s="6">
        <v>6179000.0</v>
      </c>
      <c r="K4" s="6">
        <v>7415000.0</v>
      </c>
    </row>
    <row r="5" ht="19.5" customHeight="1">
      <c r="A5" s="9">
        <v>4.0</v>
      </c>
      <c r="B5" s="11" t="s">
        <v>58</v>
      </c>
      <c r="C5" s="13" t="s">
        <v>15</v>
      </c>
      <c r="D5" s="9">
        <v>500000.0</v>
      </c>
      <c r="E5" s="9">
        <v>1000000.0</v>
      </c>
      <c r="F5" s="9">
        <v>4440000.0</v>
      </c>
      <c r="G5" s="9">
        <v>5328000.0</v>
      </c>
      <c r="H5" s="9">
        <v>6394000.0</v>
      </c>
      <c r="I5" s="9">
        <v>7672000.0</v>
      </c>
      <c r="J5" s="9">
        <v>9207000.0</v>
      </c>
      <c r="K5" s="9">
        <v>1.1048E7</v>
      </c>
    </row>
    <row r="6" ht="19.5" customHeight="1">
      <c r="A6" s="6">
        <v>5.0</v>
      </c>
      <c r="B6" s="8" t="s">
        <v>138</v>
      </c>
      <c r="C6" s="10" t="s">
        <v>15</v>
      </c>
      <c r="D6" s="6">
        <v>500000.0</v>
      </c>
      <c r="E6" s="6">
        <v>1000000.0</v>
      </c>
      <c r="F6" s="6">
        <v>2660000.0</v>
      </c>
      <c r="G6" s="6">
        <v>3192000.0</v>
      </c>
      <c r="H6" s="6">
        <v>3830000.0</v>
      </c>
      <c r="I6" s="6">
        <v>4596000.0</v>
      </c>
      <c r="J6" s="6">
        <v>5516000.0</v>
      </c>
      <c r="K6" s="6">
        <v>6619000.0</v>
      </c>
    </row>
    <row r="7" ht="19.5" customHeight="1">
      <c r="A7" s="9">
        <v>6.0</v>
      </c>
      <c r="B7" s="11" t="s">
        <v>187</v>
      </c>
      <c r="C7" s="13" t="s">
        <v>15</v>
      </c>
      <c r="D7" s="9">
        <v>500000.0</v>
      </c>
      <c r="E7" s="9">
        <v>1000000.0</v>
      </c>
      <c r="F7" s="9">
        <v>4430000.0</v>
      </c>
      <c r="G7" s="9">
        <v>5316000.0</v>
      </c>
      <c r="H7" s="9">
        <v>6379000.0</v>
      </c>
      <c r="I7" s="9">
        <v>7655000.0</v>
      </c>
      <c r="J7" s="9">
        <v>9186000.0</v>
      </c>
      <c r="K7" s="9">
        <v>1.1023E7</v>
      </c>
    </row>
    <row r="8" ht="19.5" customHeight="1">
      <c r="A8" s="6">
        <v>7.0</v>
      </c>
      <c r="B8" s="8" t="s">
        <v>307</v>
      </c>
      <c r="C8" s="10" t="s">
        <v>15</v>
      </c>
      <c r="D8" s="6">
        <v>500000.0</v>
      </c>
      <c r="E8" s="6">
        <v>1000000.0</v>
      </c>
      <c r="F8" s="6">
        <v>4160000.0</v>
      </c>
      <c r="G8" s="6">
        <v>4992000.0</v>
      </c>
      <c r="H8" s="6">
        <v>5990000.0</v>
      </c>
      <c r="I8" s="6">
        <v>7188000.0</v>
      </c>
      <c r="J8" s="6">
        <v>8626000.0</v>
      </c>
      <c r="K8" s="6">
        <v>1.0351E7</v>
      </c>
    </row>
    <row r="9" ht="19.5" customHeight="1">
      <c r="A9" s="9">
        <v>8.0</v>
      </c>
      <c r="B9" s="11" t="s">
        <v>23</v>
      </c>
      <c r="C9" s="13" t="s">
        <v>15</v>
      </c>
      <c r="D9" s="9">
        <v>500000.0</v>
      </c>
      <c r="E9" s="9">
        <v>1000000.0</v>
      </c>
      <c r="F9" s="9">
        <v>2660000.0</v>
      </c>
      <c r="G9" s="9">
        <v>3192000.0</v>
      </c>
      <c r="H9" s="9">
        <v>3830000.0</v>
      </c>
      <c r="I9" s="9">
        <v>4596000.0</v>
      </c>
      <c r="J9" s="9">
        <v>5516000.0</v>
      </c>
      <c r="K9" s="9">
        <v>6619000.0</v>
      </c>
    </row>
    <row r="10" ht="19.5" customHeight="1">
      <c r="A10" s="6">
        <v>9.0</v>
      </c>
      <c r="B10" s="8" t="s">
        <v>33</v>
      </c>
      <c r="C10" s="10" t="s">
        <v>15</v>
      </c>
      <c r="D10" s="6">
        <v>500000.0</v>
      </c>
      <c r="E10" s="6">
        <v>1000000.0</v>
      </c>
      <c r="F10" s="6">
        <v>2770000.0</v>
      </c>
      <c r="G10" s="6">
        <v>3324000.0</v>
      </c>
      <c r="H10" s="6">
        <v>3989000.0</v>
      </c>
      <c r="I10" s="6">
        <v>4787000.0</v>
      </c>
      <c r="J10" s="6">
        <v>5744000.0</v>
      </c>
      <c r="K10" s="6">
        <v>6893000.0</v>
      </c>
    </row>
    <row r="11" ht="19.5" customHeight="1">
      <c r="A11" s="9">
        <v>10.0</v>
      </c>
      <c r="B11" s="11" t="s">
        <v>192</v>
      </c>
      <c r="C11" s="13" t="s">
        <v>15</v>
      </c>
      <c r="D11" s="9">
        <v>500000.0</v>
      </c>
      <c r="E11" s="9">
        <v>1000000.0</v>
      </c>
      <c r="F11" s="9">
        <v>5000000.0</v>
      </c>
      <c r="G11" s="9">
        <v>9000000.0</v>
      </c>
      <c r="H11" s="9">
        <v>1.1E7</v>
      </c>
      <c r="I11" s="9">
        <v>1.3E7</v>
      </c>
      <c r="J11" s="9">
        <v>1.5E7</v>
      </c>
      <c r="K11" s="9">
        <v>1.7E7</v>
      </c>
    </row>
    <row r="12" ht="19.5" customHeight="1">
      <c r="A12" s="6">
        <v>11.0</v>
      </c>
      <c r="B12" s="8" t="s">
        <v>193</v>
      </c>
      <c r="C12" s="10" t="s">
        <v>15</v>
      </c>
      <c r="D12" s="6">
        <v>500000.0</v>
      </c>
      <c r="E12" s="6">
        <v>1000000.0</v>
      </c>
      <c r="F12" s="6">
        <v>4430000.0</v>
      </c>
      <c r="G12" s="6">
        <v>5316000.0</v>
      </c>
      <c r="H12" s="6">
        <v>6379000.0</v>
      </c>
      <c r="I12" s="6">
        <v>7655000.0</v>
      </c>
      <c r="J12" s="6">
        <v>9186000.0</v>
      </c>
      <c r="K12" s="6">
        <v>1.1023E7</v>
      </c>
    </row>
    <row r="13" ht="19.5" customHeight="1">
      <c r="A13" s="9">
        <v>12.0</v>
      </c>
      <c r="B13" s="11" t="s">
        <v>53</v>
      </c>
      <c r="C13" s="13" t="s">
        <v>15</v>
      </c>
      <c r="D13" s="9">
        <v>500000.0</v>
      </c>
      <c r="E13" s="9">
        <v>1000000.0</v>
      </c>
      <c r="F13" s="9">
        <v>2770000.0</v>
      </c>
      <c r="G13" s="9">
        <v>3324000.0</v>
      </c>
      <c r="H13" s="9">
        <v>3989000.0</v>
      </c>
      <c r="I13" s="9">
        <v>4787000.0</v>
      </c>
      <c r="J13" s="9">
        <v>5744000.0</v>
      </c>
      <c r="K13" s="9">
        <v>6893000.0</v>
      </c>
    </row>
    <row r="14" ht="19.5" customHeight="1">
      <c r="A14" s="6">
        <v>13.0</v>
      </c>
      <c r="B14" s="8" t="s">
        <v>214</v>
      </c>
      <c r="C14" s="10" t="s">
        <v>15</v>
      </c>
      <c r="D14" s="6">
        <v>500000.0</v>
      </c>
      <c r="E14" s="6">
        <v>1000000.0</v>
      </c>
      <c r="F14" s="6">
        <v>4160000.0</v>
      </c>
      <c r="G14" s="6">
        <v>4992000.0</v>
      </c>
      <c r="H14" s="6">
        <v>5990000.0</v>
      </c>
      <c r="I14" s="6">
        <v>7188000.0</v>
      </c>
      <c r="J14" s="6">
        <v>8626000.0</v>
      </c>
      <c r="K14" s="6">
        <v>1.0351E7</v>
      </c>
    </row>
    <row r="15" ht="19.5" customHeight="1">
      <c r="A15" s="9">
        <v>14.0</v>
      </c>
      <c r="B15" s="11" t="s">
        <v>220</v>
      </c>
      <c r="C15" s="13" t="s">
        <v>15</v>
      </c>
      <c r="D15" s="9">
        <v>500000.0</v>
      </c>
      <c r="E15" s="9">
        <v>1000000.0</v>
      </c>
      <c r="F15" s="9">
        <v>4500000.0</v>
      </c>
      <c r="G15" s="9">
        <v>7500000.0</v>
      </c>
      <c r="H15" s="9">
        <v>1.05E7</v>
      </c>
      <c r="I15" s="9">
        <v>1.35E7</v>
      </c>
      <c r="J15" s="9">
        <v>1.65E7</v>
      </c>
      <c r="K15" s="9">
        <v>1.95E7</v>
      </c>
    </row>
    <row r="16" ht="19.5" customHeight="1">
      <c r="A16" s="6">
        <v>15.0</v>
      </c>
      <c r="B16" s="8" t="s">
        <v>200</v>
      </c>
      <c r="C16" s="10" t="s">
        <v>15</v>
      </c>
      <c r="D16" s="6">
        <v>500000.0</v>
      </c>
      <c r="E16" s="6">
        <v>1000000.0</v>
      </c>
      <c r="F16" s="6">
        <v>2660000.0</v>
      </c>
      <c r="G16" s="6">
        <v>3192000.0</v>
      </c>
      <c r="H16" s="6">
        <v>3830000.0</v>
      </c>
      <c r="I16" s="6">
        <v>4596000.0</v>
      </c>
      <c r="J16" s="6">
        <v>5516000.0</v>
      </c>
      <c r="K16" s="6">
        <v>6619000.0</v>
      </c>
    </row>
    <row r="17" ht="19.5" customHeight="1">
      <c r="A17" s="9">
        <v>16.0</v>
      </c>
      <c r="B17" s="11" t="s">
        <v>203</v>
      </c>
      <c r="C17" s="13" t="s">
        <v>15</v>
      </c>
      <c r="D17" s="9">
        <v>500000.0</v>
      </c>
      <c r="E17" s="9">
        <v>1000000.0</v>
      </c>
      <c r="F17" s="9">
        <v>2660000.0</v>
      </c>
      <c r="G17" s="9">
        <v>3192000.0</v>
      </c>
      <c r="H17" s="9">
        <v>3830000.0</v>
      </c>
      <c r="I17" s="9">
        <v>4596000.0</v>
      </c>
      <c r="J17" s="9">
        <v>5516000.0</v>
      </c>
      <c r="K17" s="9">
        <v>6619000.0</v>
      </c>
    </row>
    <row r="18" ht="19.5" customHeight="1">
      <c r="A18" s="6">
        <v>17.0</v>
      </c>
      <c r="B18" s="8" t="s">
        <v>204</v>
      </c>
      <c r="C18" s="10" t="s">
        <v>15</v>
      </c>
      <c r="D18" s="6">
        <v>500000.0</v>
      </c>
      <c r="E18" s="6">
        <v>1000000.0</v>
      </c>
      <c r="F18" s="6">
        <v>2660000.0</v>
      </c>
      <c r="G18" s="6">
        <v>3192000.0</v>
      </c>
      <c r="H18" s="6">
        <v>3830000.0</v>
      </c>
      <c r="I18" s="6">
        <v>4596000.0</v>
      </c>
      <c r="J18" s="6">
        <v>5516000.0</v>
      </c>
      <c r="K18" s="6">
        <v>6619000.0</v>
      </c>
    </row>
    <row r="19" ht="19.5" customHeight="1">
      <c r="A19" s="9">
        <v>18.0</v>
      </c>
      <c r="B19" s="11" t="s">
        <v>115</v>
      </c>
      <c r="C19" s="13" t="s">
        <v>15</v>
      </c>
      <c r="D19" s="9">
        <v>500000.0</v>
      </c>
      <c r="E19" s="9">
        <v>1000000.0</v>
      </c>
      <c r="F19" s="9">
        <v>3940000.0</v>
      </c>
      <c r="G19" s="9">
        <v>4728000.0</v>
      </c>
      <c r="H19" s="9">
        <v>5674000.0</v>
      </c>
      <c r="I19" s="9">
        <v>6808000.0</v>
      </c>
      <c r="J19" s="9">
        <v>8170000.0</v>
      </c>
      <c r="K19" s="9">
        <v>9804000.0</v>
      </c>
    </row>
    <row r="20" ht="19.5" customHeight="1">
      <c r="A20" s="6">
        <v>19.0</v>
      </c>
      <c r="B20" s="8" t="s">
        <v>47</v>
      </c>
      <c r="C20" s="10" t="s">
        <v>15</v>
      </c>
      <c r="D20" s="6">
        <v>500000.0</v>
      </c>
      <c r="E20" s="6">
        <v>1000000.0</v>
      </c>
      <c r="F20" s="6">
        <v>4000000.0</v>
      </c>
      <c r="G20" s="6">
        <v>7000000.0</v>
      </c>
      <c r="H20" s="6">
        <v>1.0E7</v>
      </c>
      <c r="I20" s="6">
        <v>1.3E7</v>
      </c>
      <c r="J20" s="6">
        <v>1.5E7</v>
      </c>
      <c r="K20" s="6">
        <v>1.8E7</v>
      </c>
    </row>
    <row r="21" ht="19.5" customHeight="1">
      <c r="A21" s="9">
        <v>20.0</v>
      </c>
      <c r="B21" s="11" t="s">
        <v>194</v>
      </c>
      <c r="C21" s="13" t="s">
        <v>15</v>
      </c>
      <c r="D21" s="9">
        <v>500000.0</v>
      </c>
      <c r="E21" s="9">
        <v>1000000.0</v>
      </c>
      <c r="F21" s="9">
        <v>4430000.0</v>
      </c>
      <c r="G21" s="9">
        <v>5316000.0</v>
      </c>
      <c r="H21" s="9">
        <v>6379000.0</v>
      </c>
      <c r="I21" s="9">
        <v>7655000.0</v>
      </c>
      <c r="J21" s="9">
        <v>9186000.0</v>
      </c>
      <c r="K21" s="9">
        <v>1.1023E7</v>
      </c>
    </row>
    <row r="22" ht="19.5" customHeight="1">
      <c r="A22" s="6">
        <v>21.0</v>
      </c>
      <c r="B22" s="8" t="s">
        <v>37</v>
      </c>
      <c r="C22" s="10" t="s">
        <v>15</v>
      </c>
      <c r="D22" s="6">
        <v>500000.0</v>
      </c>
      <c r="E22" s="6">
        <v>1000000.0</v>
      </c>
      <c r="F22" s="6">
        <v>2770000.0</v>
      </c>
      <c r="G22" s="6">
        <v>3324000.0</v>
      </c>
      <c r="H22" s="6">
        <v>3989000.0</v>
      </c>
      <c r="I22" s="6">
        <v>4787000.0</v>
      </c>
      <c r="J22" s="6">
        <v>5744000.0</v>
      </c>
      <c r="K22" s="6">
        <v>6893000.0</v>
      </c>
    </row>
    <row r="23" ht="19.5" customHeight="1">
      <c r="A23" s="9">
        <v>22.0</v>
      </c>
      <c r="B23" s="11" t="s">
        <v>195</v>
      </c>
      <c r="C23" s="13" t="s">
        <v>15</v>
      </c>
      <c r="D23" s="9">
        <v>500000.0</v>
      </c>
      <c r="E23" s="9">
        <v>1000000.0</v>
      </c>
      <c r="F23" s="9">
        <v>3940000.0</v>
      </c>
      <c r="G23" s="9">
        <v>4728000.0</v>
      </c>
      <c r="H23" s="9">
        <v>5674000.0</v>
      </c>
      <c r="I23" s="9">
        <v>6808000.0</v>
      </c>
      <c r="J23" s="9">
        <v>8170000.0</v>
      </c>
      <c r="K23" s="9">
        <v>9804000.0</v>
      </c>
    </row>
    <row r="24" ht="19.5" customHeight="1">
      <c r="A24" s="6">
        <v>23.0</v>
      </c>
      <c r="B24" s="8" t="s">
        <v>218</v>
      </c>
      <c r="C24" s="10" t="s">
        <v>15</v>
      </c>
      <c r="D24" s="6">
        <v>500000.0</v>
      </c>
      <c r="E24" s="6">
        <v>1000000.0</v>
      </c>
      <c r="F24" s="6">
        <v>4790000.0</v>
      </c>
      <c r="G24" s="6">
        <v>6095000.0</v>
      </c>
      <c r="H24" s="6">
        <v>7400000.0</v>
      </c>
      <c r="I24" s="6">
        <v>8705000.0</v>
      </c>
      <c r="J24" s="6">
        <v>1.001E7</v>
      </c>
      <c r="K24" s="6">
        <v>1.1022E7</v>
      </c>
    </row>
    <row r="25" ht="19.5" customHeight="1">
      <c r="A25" s="9">
        <v>24.0</v>
      </c>
      <c r="B25" s="11" t="s">
        <v>291</v>
      </c>
      <c r="C25" s="13" t="s">
        <v>15</v>
      </c>
      <c r="D25" s="9">
        <v>500000.0</v>
      </c>
      <c r="E25" s="9">
        <v>1000000.0</v>
      </c>
      <c r="F25" s="9">
        <v>2660000.0</v>
      </c>
      <c r="G25" s="9">
        <v>3192000.0</v>
      </c>
      <c r="H25" s="9">
        <v>3830000.0</v>
      </c>
      <c r="I25" s="9">
        <v>4596000.0</v>
      </c>
      <c r="J25" s="9">
        <v>5516000.0</v>
      </c>
      <c r="K25" s="9">
        <v>6619000.0</v>
      </c>
    </row>
    <row r="26" ht="19.5" customHeight="1">
      <c r="A26" s="6">
        <v>25.0</v>
      </c>
      <c r="B26" s="8" t="s">
        <v>141</v>
      </c>
      <c r="C26" s="10" t="s">
        <v>15</v>
      </c>
      <c r="D26" s="6">
        <v>500000.0</v>
      </c>
      <c r="E26" s="6">
        <v>1000000.0</v>
      </c>
      <c r="F26" s="6">
        <v>2660000.0</v>
      </c>
      <c r="G26" s="6">
        <v>3192000.0</v>
      </c>
      <c r="H26" s="6">
        <v>3830000.0</v>
      </c>
      <c r="I26" s="6">
        <v>4596000.0</v>
      </c>
      <c r="J26" s="6">
        <v>5516000.0</v>
      </c>
      <c r="K26" s="6">
        <v>6619000.0</v>
      </c>
    </row>
    <row r="27" ht="19.5" customHeight="1">
      <c r="A27" s="9">
        <v>26.0</v>
      </c>
      <c r="B27" s="11" t="s">
        <v>143</v>
      </c>
      <c r="C27" s="13" t="s">
        <v>15</v>
      </c>
      <c r="D27" s="9">
        <v>500000.0</v>
      </c>
      <c r="E27" s="9">
        <v>1000000.0</v>
      </c>
      <c r="F27" s="9">
        <v>3940000.0</v>
      </c>
      <c r="G27" s="9">
        <v>4728000.0</v>
      </c>
      <c r="H27" s="9">
        <v>5674000.0</v>
      </c>
      <c r="I27" s="9">
        <v>6808000.0</v>
      </c>
      <c r="J27" s="9">
        <v>8170000.0</v>
      </c>
      <c r="K27" s="9">
        <v>9804000.0</v>
      </c>
    </row>
    <row r="28" ht="19.5" customHeight="1">
      <c r="A28" s="6">
        <v>27.0</v>
      </c>
      <c r="B28" s="8" t="s">
        <v>183</v>
      </c>
      <c r="C28" s="10" t="s">
        <v>15</v>
      </c>
      <c r="D28" s="6">
        <v>500000.0</v>
      </c>
      <c r="E28" s="6">
        <v>1000000.0</v>
      </c>
      <c r="F28" s="6">
        <v>5500000.0</v>
      </c>
      <c r="G28" s="6">
        <v>8500000.0</v>
      </c>
      <c r="H28" s="6">
        <v>1.15E7</v>
      </c>
      <c r="I28" s="6">
        <v>1.45E7</v>
      </c>
      <c r="J28" s="6">
        <v>1.75E7</v>
      </c>
      <c r="K28" s="6">
        <v>2.1E7</v>
      </c>
    </row>
    <row r="29" ht="19.5" customHeight="1">
      <c r="A29" s="9">
        <v>28.0</v>
      </c>
      <c r="B29" s="11" t="s">
        <v>223</v>
      </c>
      <c r="C29" s="13" t="s">
        <v>15</v>
      </c>
      <c r="D29" s="9">
        <v>500000.0</v>
      </c>
      <c r="E29" s="9">
        <v>1000000.0</v>
      </c>
      <c r="F29" s="9">
        <v>5000000.0</v>
      </c>
      <c r="G29" s="9">
        <v>8000000.0</v>
      </c>
      <c r="H29" s="9">
        <v>1.1E7</v>
      </c>
      <c r="I29" s="9">
        <v>1.4E7</v>
      </c>
      <c r="J29" s="9">
        <v>1.7E7</v>
      </c>
      <c r="K29" s="9">
        <v>2.0E7</v>
      </c>
    </row>
    <row r="30" ht="19.5" customHeight="1">
      <c r="A30" s="6">
        <v>29.0</v>
      </c>
      <c r="B30" s="8" t="s">
        <v>148</v>
      </c>
      <c r="C30" s="10" t="s">
        <v>15</v>
      </c>
      <c r="D30" s="6">
        <v>500000.0</v>
      </c>
      <c r="E30" s="6">
        <v>1000000.0</v>
      </c>
      <c r="F30" s="6">
        <v>2660000.0</v>
      </c>
      <c r="G30" s="6">
        <v>3192000.0</v>
      </c>
      <c r="H30" s="6">
        <v>3830000.0</v>
      </c>
      <c r="I30" s="6">
        <v>4596000.0</v>
      </c>
      <c r="J30" s="6">
        <v>5516000.0</v>
      </c>
      <c r="K30" s="6">
        <v>6619000.0</v>
      </c>
    </row>
    <row r="31" ht="19.5" customHeight="1">
      <c r="A31" s="9">
        <v>30.0</v>
      </c>
      <c r="B31" s="11" t="s">
        <v>152</v>
      </c>
      <c r="C31" s="13" t="s">
        <v>15</v>
      </c>
      <c r="D31" s="9">
        <v>500000.0</v>
      </c>
      <c r="E31" s="9">
        <v>1000000.0</v>
      </c>
      <c r="F31" s="9">
        <v>4160000.0</v>
      </c>
      <c r="G31" s="9">
        <v>4992000.0</v>
      </c>
      <c r="H31" s="9">
        <v>5990000.0</v>
      </c>
      <c r="I31" s="9">
        <v>7188000.0</v>
      </c>
      <c r="J31" s="9">
        <v>8626000.0</v>
      </c>
      <c r="K31" s="9">
        <v>1.0351E7</v>
      </c>
    </row>
    <row r="32" ht="19.5" customHeight="1">
      <c r="A32" s="6">
        <v>31.0</v>
      </c>
      <c r="B32" s="8" t="s">
        <v>155</v>
      </c>
      <c r="C32" s="10" t="s">
        <v>15</v>
      </c>
      <c r="D32" s="6">
        <v>500000.0</v>
      </c>
      <c r="E32" s="6">
        <v>1000000.0</v>
      </c>
      <c r="F32" s="6">
        <v>3060000.0</v>
      </c>
      <c r="G32" s="6">
        <v>3672000.0</v>
      </c>
      <c r="H32" s="6">
        <v>4406000.0</v>
      </c>
      <c r="I32" s="6">
        <v>5288000.0</v>
      </c>
      <c r="J32" s="6">
        <v>6345000.0</v>
      </c>
      <c r="K32" s="6">
        <v>7614000.0</v>
      </c>
    </row>
    <row r="33" ht="19.5" customHeight="1">
      <c r="A33" s="9">
        <v>32.0</v>
      </c>
      <c r="B33" s="11" t="s">
        <v>414</v>
      </c>
      <c r="C33" s="13" t="s">
        <v>15</v>
      </c>
      <c r="D33" s="9">
        <v>500000.0</v>
      </c>
      <c r="E33" s="9">
        <v>1000000.0</v>
      </c>
      <c r="F33" s="9">
        <v>3460000.0</v>
      </c>
      <c r="G33" s="9">
        <v>4152000.0</v>
      </c>
      <c r="H33" s="9">
        <v>4982000.0</v>
      </c>
      <c r="I33" s="9">
        <v>5979000.0</v>
      </c>
      <c r="J33" s="9">
        <v>7175000.0</v>
      </c>
      <c r="K33" s="9">
        <v>8610000.0</v>
      </c>
    </row>
    <row r="34" ht="19.5" customHeight="1">
      <c r="A34" s="6">
        <v>33.0</v>
      </c>
      <c r="B34" s="8" t="s">
        <v>297</v>
      </c>
      <c r="C34" s="10" t="s">
        <v>15</v>
      </c>
      <c r="D34" s="6">
        <v>500000.0</v>
      </c>
      <c r="E34" s="6">
        <v>1000000.0</v>
      </c>
      <c r="F34" s="6">
        <v>3460000.0</v>
      </c>
      <c r="G34" s="6">
        <v>4152000.0</v>
      </c>
      <c r="H34" s="6">
        <v>4982000.0</v>
      </c>
      <c r="I34" s="6">
        <v>5979000.0</v>
      </c>
      <c r="J34" s="6">
        <v>7175000.0</v>
      </c>
      <c r="K34" s="6">
        <v>8610000.0</v>
      </c>
    </row>
    <row r="35" ht="19.5" customHeight="1">
      <c r="A35" s="9">
        <v>34.0</v>
      </c>
      <c r="B35" s="11" t="s">
        <v>415</v>
      </c>
      <c r="C35" s="13" t="s">
        <v>15</v>
      </c>
      <c r="D35" s="9">
        <v>500000.0</v>
      </c>
      <c r="E35" s="9">
        <v>1000000.0</v>
      </c>
      <c r="F35" s="9">
        <v>4430000.0</v>
      </c>
      <c r="G35" s="9">
        <v>5316000.0</v>
      </c>
      <c r="H35" s="9">
        <v>6379000.0</v>
      </c>
      <c r="I35" s="9">
        <v>7655000.0</v>
      </c>
      <c r="J35" s="9">
        <v>9186000.0</v>
      </c>
      <c r="K35" s="9">
        <v>1.1023E7</v>
      </c>
    </row>
    <row r="36" ht="19.5" customHeight="1">
      <c r="A36" s="6">
        <v>35.0</v>
      </c>
      <c r="B36" s="8" t="s">
        <v>166</v>
      </c>
      <c r="C36" s="10" t="s">
        <v>15</v>
      </c>
      <c r="D36" s="6">
        <v>500000.0</v>
      </c>
      <c r="E36" s="6">
        <v>1000000.0</v>
      </c>
      <c r="F36" s="6">
        <v>4160000.0</v>
      </c>
      <c r="G36" s="6">
        <v>4992000.0</v>
      </c>
      <c r="H36" s="6">
        <v>5990000.0</v>
      </c>
      <c r="I36" s="6">
        <v>7188000.0</v>
      </c>
      <c r="J36" s="6">
        <v>8626000.0</v>
      </c>
      <c r="K36" s="6">
        <v>1.0351E7</v>
      </c>
    </row>
    <row r="37" ht="19.5" customHeight="1">
      <c r="A37" s="9">
        <v>36.0</v>
      </c>
      <c r="B37" s="11" t="s">
        <v>172</v>
      </c>
      <c r="C37" s="13" t="s">
        <v>15</v>
      </c>
      <c r="D37" s="9">
        <v>500000.0</v>
      </c>
      <c r="E37" s="9">
        <v>1000000.0</v>
      </c>
      <c r="F37" s="9">
        <v>4160000.0</v>
      </c>
      <c r="G37" s="9">
        <v>4992000.0</v>
      </c>
      <c r="H37" s="9">
        <v>5990000.0</v>
      </c>
      <c r="I37" s="9">
        <v>7188000.0</v>
      </c>
      <c r="J37" s="9">
        <v>8626000.0</v>
      </c>
      <c r="K37" s="9">
        <v>1.0351E7</v>
      </c>
    </row>
    <row r="38" ht="19.5" customHeight="1">
      <c r="A38" s="6">
        <v>37.0</v>
      </c>
      <c r="B38" s="8" t="s">
        <v>173</v>
      </c>
      <c r="C38" s="10" t="s">
        <v>15</v>
      </c>
      <c r="D38" s="6">
        <v>500000.0</v>
      </c>
      <c r="E38" s="6">
        <v>1000000.0</v>
      </c>
      <c r="F38" s="6">
        <v>3780000.0</v>
      </c>
      <c r="G38" s="6">
        <v>4536000.0</v>
      </c>
      <c r="H38" s="6">
        <v>5443000.0</v>
      </c>
      <c r="I38" s="6">
        <v>6532000.0</v>
      </c>
      <c r="J38" s="6">
        <v>7838000.0</v>
      </c>
      <c r="K38" s="6">
        <v>9406000.0</v>
      </c>
    </row>
    <row r="39" ht="19.5" customHeight="1">
      <c r="A39" s="9">
        <v>38.0</v>
      </c>
      <c r="B39" s="11" t="s">
        <v>355</v>
      </c>
      <c r="C39" s="13" t="s">
        <v>15</v>
      </c>
      <c r="D39" s="9">
        <v>500000.0</v>
      </c>
      <c r="E39" s="9">
        <v>1000000.0</v>
      </c>
      <c r="F39" s="9">
        <v>2770000.0</v>
      </c>
      <c r="G39" s="9">
        <v>3324000.0</v>
      </c>
      <c r="H39" s="9">
        <v>3989000.0</v>
      </c>
      <c r="I39" s="9">
        <v>4787000.0</v>
      </c>
      <c r="J39" s="9">
        <v>5744000.0</v>
      </c>
      <c r="K39" s="9">
        <v>6893000.0</v>
      </c>
    </row>
    <row r="40" ht="19.5" customHeight="1">
      <c r="A40" s="6">
        <v>39.0</v>
      </c>
      <c r="B40" s="8" t="s">
        <v>178</v>
      </c>
      <c r="C40" s="10" t="s">
        <v>15</v>
      </c>
      <c r="D40" s="6">
        <v>500000.0</v>
      </c>
      <c r="E40" s="6">
        <v>1000000.0</v>
      </c>
      <c r="F40" s="6">
        <v>2660000.0</v>
      </c>
      <c r="G40" s="6">
        <v>3192000.0</v>
      </c>
      <c r="H40" s="6">
        <v>3830000.0</v>
      </c>
      <c r="I40" s="6">
        <v>4596000.0</v>
      </c>
      <c r="J40" s="6">
        <v>5516000.0</v>
      </c>
      <c r="K40" s="6">
        <v>6619000.0</v>
      </c>
    </row>
    <row r="41" ht="19.5" customHeight="1">
      <c r="A41" s="9">
        <v>40.0</v>
      </c>
      <c r="B41" s="11" t="s">
        <v>181</v>
      </c>
      <c r="C41" s="13" t="s">
        <v>15</v>
      </c>
      <c r="D41" s="9">
        <v>500000.0</v>
      </c>
      <c r="E41" s="9">
        <v>1000000.0</v>
      </c>
      <c r="F41" s="9">
        <v>3060000.0</v>
      </c>
      <c r="G41" s="9">
        <v>3672000.0</v>
      </c>
      <c r="H41" s="9">
        <v>4406000.0</v>
      </c>
      <c r="I41" s="9">
        <v>5288000.0</v>
      </c>
      <c r="J41" s="9">
        <v>6345000.0</v>
      </c>
      <c r="K41" s="9">
        <v>7614000.0</v>
      </c>
    </row>
    <row r="42" ht="19.5" customHeight="1">
      <c r="A42" s="6">
        <v>41.0</v>
      </c>
      <c r="B42" s="8" t="s">
        <v>129</v>
      </c>
      <c r="C42" s="10" t="s">
        <v>15</v>
      </c>
      <c r="D42" s="6">
        <v>500000.0</v>
      </c>
      <c r="E42" s="6">
        <v>1000000.0</v>
      </c>
      <c r="F42" s="6">
        <v>4160000.0</v>
      </c>
      <c r="G42" s="6">
        <v>4992000.0</v>
      </c>
      <c r="H42" s="6">
        <v>5990000.0</v>
      </c>
      <c r="I42" s="6">
        <v>7188000.0</v>
      </c>
      <c r="J42" s="6">
        <v>8626000.0</v>
      </c>
      <c r="K42" s="6">
        <v>1.0351E7</v>
      </c>
    </row>
    <row r="43" ht="19.5" customHeight="1">
      <c r="A43" s="9">
        <v>42.0</v>
      </c>
      <c r="B43" s="11" t="s">
        <v>184</v>
      </c>
      <c r="C43" s="13" t="s">
        <v>15</v>
      </c>
      <c r="D43" s="9">
        <v>500000.0</v>
      </c>
      <c r="E43" s="9">
        <v>1000000.0</v>
      </c>
      <c r="F43" s="9">
        <v>3550000.0</v>
      </c>
      <c r="G43" s="9">
        <v>4170000.0</v>
      </c>
      <c r="H43" s="9">
        <v>4913000.0</v>
      </c>
      <c r="I43" s="9">
        <v>5780000.0</v>
      </c>
      <c r="J43" s="9">
        <v>6800000.0</v>
      </c>
      <c r="K43" s="9">
        <v>8000000.0</v>
      </c>
    </row>
    <row r="44" ht="19.5" customHeight="1">
      <c r="A44" s="6">
        <v>43.0</v>
      </c>
      <c r="B44" s="8" t="s">
        <v>208</v>
      </c>
      <c r="C44" s="10" t="s">
        <v>15</v>
      </c>
      <c r="D44" s="6">
        <v>500000.0</v>
      </c>
      <c r="E44" s="6">
        <v>1000000.0</v>
      </c>
      <c r="F44" s="6">
        <v>2660000.0</v>
      </c>
      <c r="G44" s="6">
        <v>3192000.0</v>
      </c>
      <c r="H44" s="6">
        <v>3830000.0</v>
      </c>
      <c r="I44" s="6">
        <v>4596000.0</v>
      </c>
      <c r="J44" s="6">
        <v>5516000.0</v>
      </c>
      <c r="K44" s="6">
        <v>6619000.0</v>
      </c>
    </row>
    <row r="45" ht="19.5" customHeight="1">
      <c r="A45" s="9">
        <v>44.0</v>
      </c>
      <c r="B45" s="11" t="s">
        <v>197</v>
      </c>
      <c r="C45" s="13" t="s">
        <v>15</v>
      </c>
      <c r="D45" s="9">
        <v>500000.0</v>
      </c>
      <c r="E45" s="9">
        <v>1000000.0</v>
      </c>
      <c r="F45" s="9">
        <v>3940000.0</v>
      </c>
      <c r="G45" s="9">
        <v>4728000.0</v>
      </c>
      <c r="H45" s="9">
        <v>5674000.0</v>
      </c>
      <c r="I45" s="9">
        <v>6808000.0</v>
      </c>
      <c r="J45" s="9">
        <v>8170000.0</v>
      </c>
      <c r="K45" s="9">
        <v>9804000.0</v>
      </c>
    </row>
    <row r="46" ht="19.5" customHeight="1">
      <c r="A46" s="6">
        <v>45.0</v>
      </c>
      <c r="B46" s="8" t="s">
        <v>68</v>
      </c>
      <c r="C46" s="10" t="s">
        <v>15</v>
      </c>
      <c r="D46" s="6">
        <v>500000.0</v>
      </c>
      <c r="E46" s="6">
        <v>1000000.0</v>
      </c>
      <c r="F46" s="6">
        <v>4950000.0</v>
      </c>
      <c r="G46" s="6">
        <v>5940000.0</v>
      </c>
      <c r="H46" s="6">
        <v>7128000.0</v>
      </c>
      <c r="I46" s="6">
        <v>8554000.0</v>
      </c>
      <c r="J46" s="6">
        <v>1.0264E7</v>
      </c>
      <c r="K46" s="6">
        <v>1.2317E7</v>
      </c>
    </row>
    <row r="47" ht="19.5" customHeight="1">
      <c r="A47" s="9">
        <v>46.0</v>
      </c>
      <c r="B47" s="11" t="s">
        <v>72</v>
      </c>
      <c r="C47" s="13" t="s">
        <v>15</v>
      </c>
      <c r="D47" s="9">
        <v>500000.0</v>
      </c>
      <c r="E47" s="9">
        <v>1000000.0</v>
      </c>
      <c r="F47" s="9">
        <v>4950000.0</v>
      </c>
      <c r="G47" s="9">
        <v>5940000.0</v>
      </c>
      <c r="H47" s="9">
        <v>7128000.0</v>
      </c>
      <c r="I47" s="9">
        <v>8554000.0</v>
      </c>
      <c r="J47" s="9">
        <v>1.0264E7</v>
      </c>
      <c r="K47" s="9">
        <v>1.2317E7</v>
      </c>
    </row>
    <row r="48" ht="19.5" customHeight="1">
      <c r="A48" s="6">
        <v>47.0</v>
      </c>
      <c r="B48" s="8" t="s">
        <v>77</v>
      </c>
      <c r="C48" s="10" t="s">
        <v>15</v>
      </c>
      <c r="D48" s="6">
        <v>500000.0</v>
      </c>
      <c r="E48" s="6">
        <v>1000000.0</v>
      </c>
      <c r="F48" s="6">
        <v>4610000.0</v>
      </c>
      <c r="G48" s="6">
        <v>5532000.0</v>
      </c>
      <c r="H48" s="6">
        <v>6638000.0</v>
      </c>
      <c r="I48" s="6">
        <v>7966000.0</v>
      </c>
      <c r="J48" s="6">
        <v>9559000.0</v>
      </c>
      <c r="K48" s="6">
        <v>1.1471E7</v>
      </c>
    </row>
    <row r="49" ht="19.5" customHeight="1">
      <c r="A49" s="9">
        <v>48.0</v>
      </c>
      <c r="B49" s="11" t="s">
        <v>82</v>
      </c>
      <c r="C49" s="13" t="s">
        <v>15</v>
      </c>
      <c r="D49" s="9">
        <v>500000.0</v>
      </c>
      <c r="E49" s="9">
        <v>1000000.0</v>
      </c>
      <c r="F49" s="9">
        <v>4270000.0</v>
      </c>
      <c r="G49" s="9">
        <v>5124000.0</v>
      </c>
      <c r="H49" s="9">
        <v>6149000.0</v>
      </c>
      <c r="I49" s="9">
        <v>7379000.0</v>
      </c>
      <c r="J49" s="9">
        <v>8854000.0</v>
      </c>
      <c r="K49" s="9">
        <v>1.0625E7</v>
      </c>
    </row>
    <row r="50" ht="19.5" customHeight="1">
      <c r="A50" s="6">
        <v>49.0</v>
      </c>
      <c r="B50" s="8" t="s">
        <v>198</v>
      </c>
      <c r="C50" s="10" t="s">
        <v>15</v>
      </c>
      <c r="D50" s="6">
        <v>500000.0</v>
      </c>
      <c r="E50" s="6">
        <v>1000000.0</v>
      </c>
      <c r="F50" s="6">
        <v>3940000.0</v>
      </c>
      <c r="G50" s="6">
        <v>4728000.0</v>
      </c>
      <c r="H50" s="6">
        <v>5674000.0</v>
      </c>
      <c r="I50" s="6">
        <v>6808000.0</v>
      </c>
      <c r="J50" s="6">
        <v>8170000.0</v>
      </c>
      <c r="K50" s="6">
        <v>9804000.0</v>
      </c>
    </row>
    <row r="51" ht="19.5" customHeight="1">
      <c r="A51" s="9">
        <v>50.0</v>
      </c>
      <c r="B51" s="11" t="s">
        <v>85</v>
      </c>
      <c r="C51" s="13" t="s">
        <v>15</v>
      </c>
      <c r="D51" s="9">
        <v>500000.0</v>
      </c>
      <c r="E51" s="9">
        <v>1000000.0</v>
      </c>
      <c r="F51" s="9">
        <v>5560000.0</v>
      </c>
      <c r="G51" s="9">
        <v>6672000.0</v>
      </c>
      <c r="H51" s="9">
        <v>8006000.0</v>
      </c>
      <c r="I51" s="9">
        <v>9608000.0</v>
      </c>
      <c r="J51" s="9">
        <v>1.1529E7</v>
      </c>
      <c r="K51" s="9">
        <v>1.3835E7</v>
      </c>
    </row>
    <row r="52" ht="19.5" customHeight="1">
      <c r="A52" s="6">
        <v>51.0</v>
      </c>
      <c r="B52" s="8" t="s">
        <v>88</v>
      </c>
      <c r="C52" s="10" t="s">
        <v>15</v>
      </c>
      <c r="D52" s="6">
        <v>500000.0</v>
      </c>
      <c r="E52" s="6">
        <v>1000000.0</v>
      </c>
      <c r="F52" s="6">
        <v>4950000.0</v>
      </c>
      <c r="G52" s="6">
        <v>5940000.0</v>
      </c>
      <c r="H52" s="6">
        <v>7128000.0</v>
      </c>
      <c r="I52" s="6">
        <v>8554000.0</v>
      </c>
      <c r="J52" s="6">
        <v>1.0264E7</v>
      </c>
      <c r="K52" s="6">
        <v>1.2317E7</v>
      </c>
    </row>
    <row r="53" ht="19.5" customHeight="1">
      <c r="A53" s="9">
        <v>52.0</v>
      </c>
      <c r="B53" s="11" t="s">
        <v>95</v>
      </c>
      <c r="C53" s="13" t="s">
        <v>15</v>
      </c>
      <c r="D53" s="9">
        <v>500000.0</v>
      </c>
      <c r="E53" s="9">
        <v>1000000.0</v>
      </c>
      <c r="F53" s="9">
        <v>4270000.0</v>
      </c>
      <c r="G53" s="9">
        <v>5124000.0</v>
      </c>
      <c r="H53" s="9">
        <v>6149000.0</v>
      </c>
      <c r="I53" s="9">
        <v>7379000.0</v>
      </c>
      <c r="J53" s="9">
        <v>8854000.0</v>
      </c>
      <c r="K53" s="9">
        <v>1.0625E7</v>
      </c>
    </row>
    <row r="54" ht="19.5" customHeight="1">
      <c r="A54" s="6">
        <v>53.0</v>
      </c>
      <c r="B54" s="8" t="s">
        <v>136</v>
      </c>
      <c r="C54" s="10" t="s">
        <v>15</v>
      </c>
      <c r="D54" s="6">
        <v>500000.0</v>
      </c>
      <c r="E54" s="6">
        <v>1000000.0</v>
      </c>
      <c r="F54" s="6">
        <v>3940000.0</v>
      </c>
      <c r="G54" s="6">
        <v>4728000.0</v>
      </c>
      <c r="H54" s="6">
        <v>5674000.0</v>
      </c>
      <c r="I54" s="6">
        <v>6808000.0</v>
      </c>
      <c r="J54" s="6">
        <v>8170000.0</v>
      </c>
      <c r="K54" s="6">
        <v>9804000.0</v>
      </c>
    </row>
    <row r="55" ht="19.5" customHeight="1">
      <c r="A55" s="9">
        <v>54.0</v>
      </c>
      <c r="B55" s="11" t="s">
        <v>93</v>
      </c>
      <c r="C55" s="13" t="s">
        <v>15</v>
      </c>
      <c r="D55" s="9">
        <v>500000.0</v>
      </c>
      <c r="E55" s="9">
        <v>1000000.0</v>
      </c>
      <c r="F55" s="9">
        <v>4950000.0</v>
      </c>
      <c r="G55" s="9">
        <v>5940000.0</v>
      </c>
      <c r="H55" s="9">
        <v>7128000.0</v>
      </c>
      <c r="I55" s="9">
        <v>8554000.0</v>
      </c>
      <c r="J55" s="9">
        <v>1.0264E7</v>
      </c>
      <c r="K55" s="9">
        <v>1.2317E7</v>
      </c>
    </row>
    <row r="56" ht="19.5" customHeight="1">
      <c r="A56" s="6">
        <v>55.0</v>
      </c>
      <c r="B56" s="8" t="s">
        <v>134</v>
      </c>
      <c r="C56" s="10" t="s">
        <v>15</v>
      </c>
      <c r="D56" s="6">
        <v>500000.0</v>
      </c>
      <c r="E56" s="6">
        <v>1000000.0</v>
      </c>
      <c r="F56" s="6">
        <v>3940000.0</v>
      </c>
      <c r="G56" s="6">
        <v>4728000.0</v>
      </c>
      <c r="H56" s="6">
        <v>5674000.0</v>
      </c>
      <c r="I56" s="6">
        <v>6808000.0</v>
      </c>
      <c r="J56" s="6">
        <v>8170000.0</v>
      </c>
      <c r="K56" s="6">
        <v>9804000.0</v>
      </c>
    </row>
    <row r="57" ht="19.5" customHeight="1">
      <c r="A57" s="9">
        <v>56.0</v>
      </c>
      <c r="B57" s="11" t="s">
        <v>119</v>
      </c>
      <c r="C57" s="13" t="s">
        <v>15</v>
      </c>
      <c r="D57" s="9">
        <v>500000.0</v>
      </c>
      <c r="E57" s="9">
        <v>1000000.0</v>
      </c>
      <c r="F57" s="9">
        <v>3940000.0</v>
      </c>
      <c r="G57" s="9">
        <v>4728000.0</v>
      </c>
      <c r="H57" s="9">
        <v>5674000.0</v>
      </c>
      <c r="I57" s="9">
        <v>6808000.0</v>
      </c>
      <c r="J57" s="9">
        <v>8170000.0</v>
      </c>
      <c r="K57" s="9">
        <v>9804000.0</v>
      </c>
    </row>
    <row r="58" ht="19.5" customHeight="1">
      <c r="A58" s="6">
        <v>57.0</v>
      </c>
      <c r="B58" s="8" t="s">
        <v>125</v>
      </c>
      <c r="C58" s="10" t="s">
        <v>15</v>
      </c>
      <c r="D58" s="6">
        <v>500000.0</v>
      </c>
      <c r="E58" s="6">
        <v>1000000.0</v>
      </c>
      <c r="F58" s="6">
        <v>3940000.0</v>
      </c>
      <c r="G58" s="6">
        <v>4728000.0</v>
      </c>
      <c r="H58" s="6">
        <v>5674000.0</v>
      </c>
      <c r="I58" s="6">
        <v>6808000.0</v>
      </c>
      <c r="J58" s="6">
        <v>8170000.0</v>
      </c>
      <c r="K58" s="6">
        <v>9804000.0</v>
      </c>
    </row>
    <row r="59" ht="19.5" customHeight="1">
      <c r="A59" s="9">
        <v>58.0</v>
      </c>
      <c r="B59" s="11" t="s">
        <v>63</v>
      </c>
      <c r="C59" s="13" t="s">
        <v>15</v>
      </c>
      <c r="D59" s="9">
        <v>500000.0</v>
      </c>
      <c r="E59" s="9">
        <v>1000000.0</v>
      </c>
      <c r="F59" s="9">
        <v>4270000.0</v>
      </c>
      <c r="G59" s="9">
        <v>5124000.0</v>
      </c>
      <c r="H59" s="9">
        <v>6149000.0</v>
      </c>
      <c r="I59" s="9">
        <v>7379000.0</v>
      </c>
      <c r="J59" s="9">
        <v>8854000.0</v>
      </c>
      <c r="K59" s="9">
        <v>1.0625E7</v>
      </c>
    </row>
    <row r="60" ht="19.5" customHeight="1">
      <c r="A60" s="6">
        <v>59.0</v>
      </c>
      <c r="B60" s="8" t="s">
        <v>90</v>
      </c>
      <c r="C60" s="10" t="s">
        <v>15</v>
      </c>
      <c r="D60" s="6">
        <v>500000.0</v>
      </c>
      <c r="E60" s="6">
        <v>1000000.0</v>
      </c>
      <c r="F60" s="6">
        <v>4270000.0</v>
      </c>
      <c r="G60" s="6">
        <v>5124000.0</v>
      </c>
      <c r="H60" s="6">
        <v>6149000.0</v>
      </c>
      <c r="I60" s="6">
        <v>7379000.0</v>
      </c>
      <c r="J60" s="6">
        <v>8854000.0</v>
      </c>
      <c r="K60" s="6">
        <v>1.0625E7</v>
      </c>
    </row>
    <row r="61" ht="19.5" customHeight="1">
      <c r="A61" s="9">
        <v>60.0</v>
      </c>
      <c r="B61" s="11" t="s">
        <v>422</v>
      </c>
      <c r="C61" s="13" t="s">
        <v>15</v>
      </c>
      <c r="D61" s="9">
        <v>500000.0</v>
      </c>
      <c r="E61" s="9">
        <v>1000000.0</v>
      </c>
      <c r="F61" s="9">
        <v>2770000.0</v>
      </c>
      <c r="G61" s="9">
        <v>3324000.0</v>
      </c>
      <c r="H61" s="9">
        <v>3989000.0</v>
      </c>
      <c r="I61" s="11" t="s">
        <v>327</v>
      </c>
      <c r="J61" s="11" t="s">
        <v>327</v>
      </c>
      <c r="K61" s="11" t="s">
        <v>327</v>
      </c>
    </row>
    <row r="62" ht="19.5" customHeight="1">
      <c r="A62" s="6">
        <v>61.0</v>
      </c>
      <c r="B62" s="8" t="s">
        <v>394</v>
      </c>
      <c r="C62" s="10" t="s">
        <v>15</v>
      </c>
      <c r="D62" s="6">
        <v>500000.0</v>
      </c>
      <c r="E62" s="6">
        <v>1000000.0</v>
      </c>
      <c r="F62" s="6">
        <v>3940000.0</v>
      </c>
      <c r="G62" s="6">
        <v>4728000.0</v>
      </c>
      <c r="H62" s="6">
        <v>5674000.0</v>
      </c>
      <c r="I62" s="8" t="s">
        <v>327</v>
      </c>
      <c r="J62" s="8" t="s">
        <v>327</v>
      </c>
      <c r="K62" s="8" t="s">
        <v>327</v>
      </c>
    </row>
    <row r="63" ht="19.5" customHeight="1">
      <c r="A63" s="9">
        <v>62.0</v>
      </c>
      <c r="B63" s="11" t="s">
        <v>388</v>
      </c>
      <c r="C63" s="13" t="s">
        <v>15</v>
      </c>
      <c r="D63" s="9">
        <v>500000.0</v>
      </c>
      <c r="E63" s="9">
        <v>1000000.0</v>
      </c>
      <c r="F63" s="9">
        <v>4010000.0</v>
      </c>
      <c r="G63" s="9">
        <v>4812000.0</v>
      </c>
      <c r="H63" s="9">
        <v>5774000.0</v>
      </c>
      <c r="I63" s="11" t="s">
        <v>327</v>
      </c>
      <c r="J63" s="11" t="s">
        <v>327</v>
      </c>
      <c r="K63" s="11" t="s">
        <v>327</v>
      </c>
    </row>
    <row r="64" ht="19.5" customHeight="1">
      <c r="A64" s="6">
        <v>63.0</v>
      </c>
      <c r="B64" s="8" t="s">
        <v>381</v>
      </c>
      <c r="C64" s="10" t="s">
        <v>15</v>
      </c>
      <c r="D64" s="6">
        <v>500000.0</v>
      </c>
      <c r="E64" s="6">
        <v>1000000.0</v>
      </c>
      <c r="F64" s="6">
        <v>4160000.0</v>
      </c>
      <c r="G64" s="6">
        <v>4992000.0</v>
      </c>
      <c r="H64" s="6">
        <v>5990000.0</v>
      </c>
      <c r="I64" s="8" t="s">
        <v>327</v>
      </c>
      <c r="J64" s="8" t="s">
        <v>327</v>
      </c>
      <c r="K64" s="8" t="s">
        <v>327</v>
      </c>
    </row>
    <row r="65" ht="19.5" customHeight="1">
      <c r="A65" s="9">
        <v>64.0</v>
      </c>
      <c r="B65" s="11" t="s">
        <v>423</v>
      </c>
      <c r="C65" s="13" t="s">
        <v>15</v>
      </c>
      <c r="D65" s="9">
        <v>500000.0</v>
      </c>
      <c r="E65" s="9">
        <v>1000000.0</v>
      </c>
      <c r="F65" s="9">
        <v>5560000.0</v>
      </c>
      <c r="G65" s="9">
        <v>6672000.0</v>
      </c>
      <c r="H65" s="9">
        <v>8006000.0</v>
      </c>
      <c r="I65" s="9">
        <v>9608000.0</v>
      </c>
      <c r="J65" s="9">
        <v>1.1529E7</v>
      </c>
      <c r="K65" s="9">
        <v>1.3835E7</v>
      </c>
    </row>
    <row r="66" ht="19.5" customHeight="1">
      <c r="A66" s="6">
        <v>65.0</v>
      </c>
      <c r="B66" s="8" t="s">
        <v>424</v>
      </c>
      <c r="C66" s="10" t="s">
        <v>15</v>
      </c>
      <c r="D66" s="6">
        <v>500000.0</v>
      </c>
      <c r="E66" s="6">
        <v>1000000.0</v>
      </c>
      <c r="F66" s="6">
        <v>4950000.0</v>
      </c>
      <c r="G66" s="6">
        <v>5940000.0</v>
      </c>
      <c r="H66" s="6">
        <v>7125000.0</v>
      </c>
      <c r="I66" s="6">
        <v>8554000.0</v>
      </c>
      <c r="J66" s="6">
        <v>1.0264E7</v>
      </c>
      <c r="K66" s="6">
        <v>1.2317E7</v>
      </c>
    </row>
    <row r="67" ht="19.5" customHeight="1">
      <c r="A67" s="9">
        <v>66.0</v>
      </c>
      <c r="B67" s="11" t="s">
        <v>425</v>
      </c>
      <c r="C67" s="13" t="s">
        <v>15</v>
      </c>
      <c r="D67" s="9">
        <v>500000.0</v>
      </c>
      <c r="E67" s="9">
        <v>1000000.0</v>
      </c>
      <c r="F67" s="9">
        <v>4270000.0</v>
      </c>
      <c r="G67" s="9">
        <v>5124000.0</v>
      </c>
      <c r="H67" s="9">
        <v>6149000.0</v>
      </c>
      <c r="I67" s="9">
        <v>7379000.0</v>
      </c>
      <c r="J67" s="9">
        <v>8854000.0</v>
      </c>
      <c r="K67" s="9">
        <v>1.0625E7</v>
      </c>
    </row>
    <row r="68" ht="19.5" customHeight="1">
      <c r="A68" s="6">
        <v>67.0</v>
      </c>
      <c r="B68" s="8" t="s">
        <v>426</v>
      </c>
      <c r="C68" s="10" t="s">
        <v>15</v>
      </c>
      <c r="D68" s="6">
        <v>500000.0</v>
      </c>
      <c r="E68" s="6">
        <v>1000000.0</v>
      </c>
      <c r="F68" s="6">
        <v>2770000.0</v>
      </c>
      <c r="G68" s="6">
        <v>3324000.0</v>
      </c>
      <c r="H68" s="6">
        <v>3989400.0</v>
      </c>
      <c r="I68" s="6">
        <v>4787000.0</v>
      </c>
      <c r="J68" s="6">
        <v>5544000.0</v>
      </c>
      <c r="K68" s="6">
        <v>6893000.0</v>
      </c>
    </row>
    <row r="69" ht="19.5" customHeight="1">
      <c r="A69" s="9">
        <v>68.0</v>
      </c>
      <c r="B69" s="11" t="s">
        <v>427</v>
      </c>
      <c r="C69" s="13" t="s">
        <v>15</v>
      </c>
      <c r="D69" s="9">
        <v>500000.0</v>
      </c>
      <c r="E69" s="9">
        <v>1000000.0</v>
      </c>
      <c r="F69" s="9">
        <v>4160000.0</v>
      </c>
      <c r="G69" s="9">
        <v>4992000.0</v>
      </c>
      <c r="H69" s="9">
        <v>5990000.0</v>
      </c>
      <c r="I69" s="9">
        <v>7188000.0</v>
      </c>
      <c r="J69" s="9">
        <v>8626000.0</v>
      </c>
      <c r="K69" s="9">
        <v>1.0351E7</v>
      </c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21.88"/>
    <col customWidth="1" min="3" max="3" width="10.5"/>
    <col customWidth="1" min="4" max="11" width="19.25"/>
    <col customWidth="1" min="12" max="22" width="7.63"/>
  </cols>
  <sheetData>
    <row r="1" ht="27.75" customHeight="1">
      <c r="A1" s="96" t="s">
        <v>0</v>
      </c>
      <c r="B1" s="96" t="s">
        <v>2</v>
      </c>
      <c r="C1" s="96" t="s">
        <v>3</v>
      </c>
      <c r="D1" s="96" t="s">
        <v>397</v>
      </c>
      <c r="E1" s="96" t="s">
        <v>398</v>
      </c>
      <c r="F1" s="96" t="s">
        <v>401</v>
      </c>
      <c r="G1" s="96" t="s">
        <v>402</v>
      </c>
      <c r="H1" s="96" t="s">
        <v>403</v>
      </c>
      <c r="I1" s="96" t="s">
        <v>404</v>
      </c>
      <c r="J1" s="96" t="s">
        <v>405</v>
      </c>
      <c r="K1" s="96" t="s">
        <v>406</v>
      </c>
    </row>
    <row r="2" ht="19.5" customHeight="1">
      <c r="A2" s="6">
        <v>1.0</v>
      </c>
      <c r="B2" s="8" t="s">
        <v>277</v>
      </c>
      <c r="C2" s="10" t="s">
        <v>278</v>
      </c>
      <c r="D2" s="6">
        <v>500000.0</v>
      </c>
      <c r="E2" s="6">
        <v>1000000.0</v>
      </c>
      <c r="F2" s="6">
        <v>2980000.0</v>
      </c>
      <c r="G2" s="6">
        <v>3576000.0</v>
      </c>
      <c r="H2" s="6">
        <v>4291000.0</v>
      </c>
      <c r="I2" s="6">
        <v>5149000.0</v>
      </c>
      <c r="J2" s="6">
        <v>6179000.0</v>
      </c>
      <c r="K2" s="6">
        <v>7415000.0</v>
      </c>
    </row>
    <row r="3" ht="19.5" customHeight="1">
      <c r="A3" s="9">
        <v>2.0</v>
      </c>
      <c r="B3" s="11" t="s">
        <v>51</v>
      </c>
      <c r="C3" s="13" t="s">
        <v>22</v>
      </c>
      <c r="D3" s="9">
        <v>500000.0</v>
      </c>
      <c r="E3" s="9">
        <v>1000000.0</v>
      </c>
      <c r="F3" s="9">
        <v>2500000.0</v>
      </c>
      <c r="G3" s="11" t="s">
        <v>327</v>
      </c>
      <c r="H3" s="11" t="s">
        <v>327</v>
      </c>
      <c r="I3" s="11" t="s">
        <v>327</v>
      </c>
      <c r="J3" s="11" t="s">
        <v>327</v>
      </c>
      <c r="K3" s="11" t="s">
        <v>327</v>
      </c>
    </row>
    <row r="4" ht="19.5" customHeight="1">
      <c r="A4" s="6">
        <v>3.0</v>
      </c>
      <c r="B4" s="8" t="s">
        <v>64</v>
      </c>
      <c r="C4" s="10" t="s">
        <v>22</v>
      </c>
      <c r="D4" s="6">
        <v>500000.0</v>
      </c>
      <c r="E4" s="6">
        <v>1000000.0</v>
      </c>
      <c r="F4" s="6">
        <v>2500000.0</v>
      </c>
      <c r="G4" s="8" t="s">
        <v>327</v>
      </c>
      <c r="H4" s="8" t="s">
        <v>327</v>
      </c>
      <c r="I4" s="8" t="s">
        <v>327</v>
      </c>
      <c r="J4" s="8" t="s">
        <v>327</v>
      </c>
      <c r="K4" s="8" t="s">
        <v>327</v>
      </c>
    </row>
    <row r="5" ht="19.5" customHeight="1">
      <c r="A5" s="9">
        <v>4.0</v>
      </c>
      <c r="B5" s="11" t="s">
        <v>59</v>
      </c>
      <c r="C5" s="13" t="s">
        <v>22</v>
      </c>
      <c r="D5" s="9">
        <v>500000.0</v>
      </c>
      <c r="E5" s="9">
        <v>1000000.0</v>
      </c>
      <c r="F5" s="9">
        <v>2500000.0</v>
      </c>
      <c r="G5" s="11" t="s">
        <v>327</v>
      </c>
      <c r="H5" s="11" t="s">
        <v>327</v>
      </c>
      <c r="I5" s="11" t="s">
        <v>327</v>
      </c>
      <c r="J5" s="11" t="s">
        <v>327</v>
      </c>
      <c r="K5" s="11" t="s">
        <v>327</v>
      </c>
    </row>
    <row r="6" ht="19.5" customHeight="1">
      <c r="A6" s="6">
        <v>5.0</v>
      </c>
      <c r="B6" s="8" t="s">
        <v>14</v>
      </c>
      <c r="C6" s="10" t="s">
        <v>22</v>
      </c>
      <c r="D6" s="6">
        <v>500000.0</v>
      </c>
      <c r="E6" s="6">
        <v>1000000.0</v>
      </c>
      <c r="F6" s="6">
        <v>2500000.0</v>
      </c>
      <c r="G6" s="8" t="s">
        <v>327</v>
      </c>
      <c r="H6" s="8" t="s">
        <v>327</v>
      </c>
      <c r="I6" s="8" t="s">
        <v>327</v>
      </c>
      <c r="J6" s="8" t="s">
        <v>327</v>
      </c>
      <c r="K6" s="8" t="s">
        <v>327</v>
      </c>
    </row>
    <row r="7" ht="19.5" customHeight="1">
      <c r="A7" s="9">
        <v>6.0</v>
      </c>
      <c r="B7" s="11" t="s">
        <v>123</v>
      </c>
      <c r="C7" s="13" t="s">
        <v>22</v>
      </c>
      <c r="D7" s="9">
        <v>500000.0</v>
      </c>
      <c r="E7" s="9">
        <v>1000000.0</v>
      </c>
      <c r="F7" s="9">
        <v>3000000.0</v>
      </c>
      <c r="G7" s="11" t="s">
        <v>327</v>
      </c>
      <c r="H7" s="11" t="s">
        <v>327</v>
      </c>
      <c r="I7" s="11" t="s">
        <v>327</v>
      </c>
      <c r="J7" s="11" t="s">
        <v>327</v>
      </c>
      <c r="K7" s="11" t="s">
        <v>327</v>
      </c>
    </row>
    <row r="8" ht="19.5" customHeight="1">
      <c r="A8" s="6">
        <v>7.0</v>
      </c>
      <c r="B8" s="8" t="s">
        <v>93</v>
      </c>
      <c r="C8" s="10" t="s">
        <v>22</v>
      </c>
      <c r="D8" s="6">
        <v>500000.0</v>
      </c>
      <c r="E8" s="6">
        <v>1000000.0</v>
      </c>
      <c r="F8" s="6">
        <v>3500000.0</v>
      </c>
      <c r="G8" s="8" t="s">
        <v>327</v>
      </c>
      <c r="H8" s="8" t="s">
        <v>327</v>
      </c>
      <c r="I8" s="8" t="s">
        <v>327</v>
      </c>
      <c r="J8" s="8" t="s">
        <v>327</v>
      </c>
      <c r="K8" s="8" t="s">
        <v>327</v>
      </c>
    </row>
    <row r="9" ht="19.5" customHeight="1">
      <c r="A9" s="9">
        <v>8.0</v>
      </c>
      <c r="B9" s="11" t="s">
        <v>88</v>
      </c>
      <c r="C9" s="13" t="s">
        <v>22</v>
      </c>
      <c r="D9" s="9">
        <v>500000.0</v>
      </c>
      <c r="E9" s="9">
        <v>1000000.0</v>
      </c>
      <c r="F9" s="9">
        <v>3500000.0</v>
      </c>
      <c r="G9" s="11" t="s">
        <v>327</v>
      </c>
      <c r="H9" s="11" t="s">
        <v>327</v>
      </c>
      <c r="I9" s="11" t="s">
        <v>327</v>
      </c>
      <c r="J9" s="11" t="s">
        <v>327</v>
      </c>
      <c r="K9" s="11" t="s">
        <v>327</v>
      </c>
    </row>
    <row r="10" ht="19.5" customHeight="1">
      <c r="A10" s="6">
        <v>9.0</v>
      </c>
      <c r="B10" s="8" t="s">
        <v>101</v>
      </c>
      <c r="C10" s="10" t="s">
        <v>22</v>
      </c>
      <c r="D10" s="6">
        <v>500000.0</v>
      </c>
      <c r="E10" s="6">
        <v>1000000.0</v>
      </c>
      <c r="F10" s="6">
        <v>3500000.0</v>
      </c>
      <c r="G10" s="8" t="s">
        <v>327</v>
      </c>
      <c r="H10" s="8" t="s">
        <v>327</v>
      </c>
      <c r="I10" s="8" t="s">
        <v>327</v>
      </c>
      <c r="J10" s="8" t="s">
        <v>327</v>
      </c>
      <c r="K10" s="8" t="s">
        <v>327</v>
      </c>
    </row>
    <row r="11" ht="19.5" customHeight="1">
      <c r="A11" s="9">
        <v>10.0</v>
      </c>
      <c r="B11" s="11" t="s">
        <v>74</v>
      </c>
      <c r="C11" s="13" t="s">
        <v>22</v>
      </c>
      <c r="D11" s="9">
        <v>500000.0</v>
      </c>
      <c r="E11" s="9">
        <v>1000000.0</v>
      </c>
      <c r="F11" s="9">
        <v>3500000.0</v>
      </c>
      <c r="G11" s="11" t="s">
        <v>327</v>
      </c>
      <c r="H11" s="11" t="s">
        <v>327</v>
      </c>
      <c r="I11" s="11" t="s">
        <v>327</v>
      </c>
      <c r="J11" s="11" t="s">
        <v>327</v>
      </c>
      <c r="K11" s="11" t="s">
        <v>327</v>
      </c>
    </row>
    <row r="12" ht="19.5" customHeight="1">
      <c r="A12" s="6">
        <v>11.0</v>
      </c>
      <c r="B12" s="8" t="s">
        <v>108</v>
      </c>
      <c r="C12" s="10" t="s">
        <v>22</v>
      </c>
      <c r="D12" s="6">
        <v>500000.0</v>
      </c>
      <c r="E12" s="6">
        <v>1000000.0</v>
      </c>
      <c r="F12" s="6">
        <v>2000000.0</v>
      </c>
      <c r="G12" s="6">
        <v>2500000.0</v>
      </c>
      <c r="H12" s="6">
        <v>3000000.0</v>
      </c>
      <c r="I12" s="8" t="s">
        <v>327</v>
      </c>
      <c r="J12" s="8" t="s">
        <v>327</v>
      </c>
      <c r="K12" s="8" t="s">
        <v>327</v>
      </c>
    </row>
    <row r="13" ht="19.5" customHeight="1">
      <c r="A13" s="9">
        <v>12.0</v>
      </c>
      <c r="B13" s="11" t="s">
        <v>114</v>
      </c>
      <c r="C13" s="13" t="s">
        <v>22</v>
      </c>
      <c r="D13" s="9">
        <v>500000.0</v>
      </c>
      <c r="E13" s="9">
        <v>1000000.0</v>
      </c>
      <c r="F13" s="9">
        <v>2000000.0</v>
      </c>
      <c r="G13" s="9">
        <v>2500000.0</v>
      </c>
      <c r="H13" s="9">
        <v>3000000.0</v>
      </c>
      <c r="I13" s="11" t="s">
        <v>327</v>
      </c>
      <c r="J13" s="11" t="s">
        <v>327</v>
      </c>
      <c r="K13" s="11" t="s">
        <v>327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40.25"/>
    <col customWidth="1" min="3" max="3" width="10.5"/>
    <col customWidth="1" min="4" max="7" width="24.5"/>
    <col customWidth="1" min="8" max="26" width="7.63"/>
  </cols>
  <sheetData>
    <row r="1" ht="27.75" customHeight="1">
      <c r="A1" s="97" t="s">
        <v>0</v>
      </c>
      <c r="B1" s="97" t="s">
        <v>2</v>
      </c>
      <c r="C1" s="97" t="s">
        <v>3</v>
      </c>
      <c r="D1" s="97" t="s">
        <v>367</v>
      </c>
      <c r="E1" s="97" t="s">
        <v>368</v>
      </c>
      <c r="F1" s="97" t="s">
        <v>369</v>
      </c>
      <c r="G1" s="97" t="s">
        <v>370</v>
      </c>
    </row>
    <row r="2" ht="19.5" customHeight="1">
      <c r="A2" s="6">
        <v>1.0</v>
      </c>
      <c r="B2" s="8" t="s">
        <v>33</v>
      </c>
      <c r="C2" s="10" t="s">
        <v>15</v>
      </c>
      <c r="D2" s="6">
        <v>1.2E7</v>
      </c>
      <c r="E2" s="6">
        <v>1.275E7</v>
      </c>
      <c r="F2" s="6">
        <v>1.35E7</v>
      </c>
      <c r="G2" s="6">
        <v>1.5E7</v>
      </c>
    </row>
    <row r="3" ht="19.5" customHeight="1">
      <c r="A3" s="9">
        <v>2.0</v>
      </c>
      <c r="B3" s="11" t="s">
        <v>37</v>
      </c>
      <c r="C3" s="13" t="s">
        <v>15</v>
      </c>
      <c r="D3" s="9">
        <v>1.2E7</v>
      </c>
      <c r="E3" s="9">
        <v>1.275E7</v>
      </c>
      <c r="F3" s="9">
        <v>1.35E7</v>
      </c>
      <c r="G3" s="9">
        <v>1.5E7</v>
      </c>
    </row>
    <row r="4" ht="19.5" customHeight="1">
      <c r="A4" s="6">
        <v>3.0</v>
      </c>
      <c r="B4" s="8" t="s">
        <v>14</v>
      </c>
      <c r="C4" s="10" t="s">
        <v>15</v>
      </c>
      <c r="D4" s="6">
        <v>1.2E7</v>
      </c>
      <c r="E4" s="6">
        <v>1.275E7</v>
      </c>
      <c r="F4" s="6">
        <v>1.35E7</v>
      </c>
      <c r="G4" s="6">
        <v>1.5E7</v>
      </c>
    </row>
    <row r="5" ht="19.5" customHeight="1">
      <c r="A5" s="9">
        <v>4.0</v>
      </c>
      <c r="B5" s="11" t="s">
        <v>23</v>
      </c>
      <c r="C5" s="13" t="s">
        <v>15</v>
      </c>
      <c r="D5" s="9">
        <v>1.2E7</v>
      </c>
      <c r="E5" s="9">
        <v>1.275E7</v>
      </c>
      <c r="F5" s="9">
        <v>1.35E7</v>
      </c>
      <c r="G5" s="9">
        <v>1.5E7</v>
      </c>
    </row>
    <row r="6" ht="19.5" customHeight="1">
      <c r="A6" s="6">
        <v>5.0</v>
      </c>
      <c r="B6" s="8" t="s">
        <v>426</v>
      </c>
      <c r="C6" s="10" t="s">
        <v>15</v>
      </c>
      <c r="D6" s="6">
        <v>1.2E7</v>
      </c>
      <c r="E6" s="6">
        <v>1.275E7</v>
      </c>
      <c r="F6" s="6">
        <v>1.35E7</v>
      </c>
      <c r="G6" s="6">
        <v>1.5E7</v>
      </c>
    </row>
    <row r="7" ht="19.5" customHeight="1">
      <c r="A7" s="9">
        <v>6.0</v>
      </c>
      <c r="B7" s="11" t="s">
        <v>376</v>
      </c>
      <c r="C7" s="13" t="s">
        <v>15</v>
      </c>
      <c r="D7" s="9">
        <v>0.0</v>
      </c>
      <c r="E7" s="9">
        <v>0.0</v>
      </c>
      <c r="F7" s="9">
        <v>0.0</v>
      </c>
      <c r="G7" s="9">
        <v>0.0</v>
      </c>
    </row>
    <row r="8" ht="19.5" customHeight="1">
      <c r="A8" s="6">
        <v>7.0</v>
      </c>
      <c r="B8" s="8" t="s">
        <v>47</v>
      </c>
      <c r="C8" s="10" t="s">
        <v>15</v>
      </c>
      <c r="D8" s="6">
        <v>1.2E7</v>
      </c>
      <c r="E8" s="6">
        <v>1.275E7</v>
      </c>
      <c r="F8" s="6">
        <v>1.35E7</v>
      </c>
      <c r="G8" s="6">
        <v>1.5E7</v>
      </c>
    </row>
    <row r="9" ht="19.5" customHeight="1">
      <c r="A9" s="9">
        <v>8.0</v>
      </c>
      <c r="B9" s="11" t="s">
        <v>53</v>
      </c>
      <c r="C9" s="13" t="s">
        <v>15</v>
      </c>
      <c r="D9" s="9">
        <v>4000000.0</v>
      </c>
      <c r="E9" s="9">
        <v>4250000.0</v>
      </c>
      <c r="F9" s="9">
        <v>4500000.0</v>
      </c>
      <c r="G9" s="9">
        <v>5000000.0</v>
      </c>
    </row>
    <row r="10" ht="19.5" customHeight="1">
      <c r="A10" s="6">
        <v>9.0</v>
      </c>
      <c r="B10" s="8" t="s">
        <v>93</v>
      </c>
      <c r="C10" s="10" t="s">
        <v>15</v>
      </c>
      <c r="D10" s="6">
        <v>4.0E7</v>
      </c>
      <c r="E10" s="6">
        <v>4.25E7</v>
      </c>
      <c r="F10" s="6">
        <v>4.5E7</v>
      </c>
      <c r="G10" s="6">
        <v>5.0E7</v>
      </c>
    </row>
    <row r="11" ht="19.5" customHeight="1">
      <c r="A11" s="9">
        <v>10.0</v>
      </c>
      <c r="B11" s="11" t="s">
        <v>88</v>
      </c>
      <c r="C11" s="13" t="s">
        <v>15</v>
      </c>
      <c r="D11" s="9">
        <v>2.4E7</v>
      </c>
      <c r="E11" s="9">
        <v>2.55E7</v>
      </c>
      <c r="F11" s="9">
        <v>2.7E7</v>
      </c>
      <c r="G11" s="9">
        <v>3.0E7</v>
      </c>
    </row>
    <row r="12" ht="19.5" customHeight="1">
      <c r="A12" s="6">
        <v>11.0</v>
      </c>
      <c r="B12" s="8" t="s">
        <v>85</v>
      </c>
      <c r="C12" s="10" t="s">
        <v>15</v>
      </c>
      <c r="D12" s="6">
        <v>2.4E7</v>
      </c>
      <c r="E12" s="6">
        <v>2.55E7</v>
      </c>
      <c r="F12" s="6">
        <v>2.7E7</v>
      </c>
      <c r="G12" s="6">
        <v>3.0E7</v>
      </c>
    </row>
    <row r="13" ht="19.5" customHeight="1">
      <c r="A13" s="9">
        <v>12.0</v>
      </c>
      <c r="B13" s="11" t="s">
        <v>68</v>
      </c>
      <c r="C13" s="13" t="s">
        <v>15</v>
      </c>
      <c r="D13" s="9">
        <v>3.2E7</v>
      </c>
      <c r="E13" s="9">
        <v>3.4E7</v>
      </c>
      <c r="F13" s="9">
        <v>3.6E7</v>
      </c>
      <c r="G13" s="9">
        <v>4.0E7</v>
      </c>
    </row>
    <row r="14" ht="19.5" customHeight="1">
      <c r="A14" s="6">
        <v>13.0</v>
      </c>
      <c r="B14" s="8" t="s">
        <v>58</v>
      </c>
      <c r="C14" s="10" t="s">
        <v>15</v>
      </c>
      <c r="D14" s="6">
        <v>2.4E7</v>
      </c>
      <c r="E14" s="6">
        <v>2.55E7</v>
      </c>
      <c r="F14" s="6">
        <v>2.7E7</v>
      </c>
      <c r="G14" s="6">
        <v>3.0E7</v>
      </c>
    </row>
    <row r="15" ht="19.5" customHeight="1">
      <c r="A15" s="9">
        <v>14.0</v>
      </c>
      <c r="B15" s="11" t="s">
        <v>82</v>
      </c>
      <c r="C15" s="13" t="s">
        <v>15</v>
      </c>
      <c r="D15" s="9">
        <v>2.4E7</v>
      </c>
      <c r="E15" s="9">
        <v>2.55E7</v>
      </c>
      <c r="F15" s="9">
        <v>2.7E7</v>
      </c>
      <c r="G15" s="9">
        <v>3.0E7</v>
      </c>
    </row>
    <row r="16" ht="19.5" customHeight="1">
      <c r="A16" s="6">
        <v>15.0</v>
      </c>
      <c r="B16" s="8" t="s">
        <v>72</v>
      </c>
      <c r="C16" s="10" t="s">
        <v>15</v>
      </c>
      <c r="D16" s="6">
        <v>3.2E7</v>
      </c>
      <c r="E16" s="6">
        <v>3.4E7</v>
      </c>
      <c r="F16" s="6">
        <v>3.6E7</v>
      </c>
      <c r="G16" s="6">
        <v>4.0E7</v>
      </c>
    </row>
    <row r="17" ht="19.5" customHeight="1">
      <c r="A17" s="9">
        <v>16.0</v>
      </c>
      <c r="B17" s="11" t="s">
        <v>77</v>
      </c>
      <c r="C17" s="13" t="s">
        <v>15</v>
      </c>
      <c r="D17" s="9">
        <v>2.4E7</v>
      </c>
      <c r="E17" s="9">
        <v>2.55E7</v>
      </c>
      <c r="F17" s="9">
        <v>2.7E7</v>
      </c>
      <c r="G17" s="9">
        <v>3.0E7</v>
      </c>
    </row>
    <row r="18" ht="19.5" customHeight="1">
      <c r="A18" s="6">
        <v>17.0</v>
      </c>
      <c r="B18" s="8" t="s">
        <v>95</v>
      </c>
      <c r="C18" s="10" t="s">
        <v>15</v>
      </c>
      <c r="D18" s="6">
        <v>4.0E7</v>
      </c>
      <c r="E18" s="6">
        <v>4.25E7</v>
      </c>
      <c r="F18" s="6">
        <v>4.5E7</v>
      </c>
      <c r="G18" s="6">
        <v>5.0E7</v>
      </c>
    </row>
    <row r="19" ht="19.5" customHeight="1">
      <c r="A19" s="9">
        <v>18.0</v>
      </c>
      <c r="B19" s="11" t="s">
        <v>63</v>
      </c>
      <c r="C19" s="13" t="s">
        <v>15</v>
      </c>
      <c r="D19" s="9">
        <v>3.2E7</v>
      </c>
      <c r="E19" s="9">
        <v>3.4E7</v>
      </c>
      <c r="F19" s="9">
        <v>3.6E7</v>
      </c>
      <c r="G19" s="9">
        <v>4.0E7</v>
      </c>
    </row>
    <row r="20" ht="19.5" customHeight="1">
      <c r="A20" s="6">
        <v>19.0</v>
      </c>
      <c r="B20" s="8" t="s">
        <v>90</v>
      </c>
      <c r="C20" s="10" t="s">
        <v>15</v>
      </c>
      <c r="D20" s="6">
        <v>2.4E7</v>
      </c>
      <c r="E20" s="6">
        <v>2.55E7</v>
      </c>
      <c r="F20" s="6">
        <v>2.7E7</v>
      </c>
      <c r="G20" s="6">
        <v>3.0E7</v>
      </c>
    </row>
    <row r="21" ht="19.5" customHeight="1">
      <c r="A21" s="9">
        <v>20.0</v>
      </c>
      <c r="B21" s="11" t="s">
        <v>102</v>
      </c>
      <c r="C21" s="13" t="s">
        <v>15</v>
      </c>
      <c r="D21" s="9">
        <v>1.2E7</v>
      </c>
      <c r="E21" s="9">
        <v>1.275E7</v>
      </c>
      <c r="F21" s="9">
        <v>1.35E7</v>
      </c>
      <c r="G21" s="9">
        <v>1.5E7</v>
      </c>
    </row>
    <row r="22" ht="19.5" customHeight="1">
      <c r="A22" s="6">
        <v>21.0</v>
      </c>
      <c r="B22" s="8" t="s">
        <v>106</v>
      </c>
      <c r="C22" s="10" t="s">
        <v>15</v>
      </c>
      <c r="D22" s="6">
        <v>1.2E7</v>
      </c>
      <c r="E22" s="6">
        <v>1.275E7</v>
      </c>
      <c r="F22" s="6">
        <v>1.35E7</v>
      </c>
      <c r="G22" s="6">
        <v>1.5E7</v>
      </c>
    </row>
    <row r="23" ht="19.5" customHeight="1">
      <c r="A23" s="9">
        <v>22.0</v>
      </c>
      <c r="B23" s="11" t="s">
        <v>115</v>
      </c>
      <c r="C23" s="13" t="s">
        <v>15</v>
      </c>
      <c r="D23" s="9">
        <v>1.2E7</v>
      </c>
      <c r="E23" s="9">
        <v>1.275E7</v>
      </c>
      <c r="F23" s="9">
        <v>1.35E7</v>
      </c>
      <c r="G23" s="9">
        <v>1.5E7</v>
      </c>
    </row>
    <row r="24" ht="19.5" customHeight="1">
      <c r="A24" s="6">
        <v>23.0</v>
      </c>
      <c r="B24" s="8" t="s">
        <v>119</v>
      </c>
      <c r="C24" s="10" t="s">
        <v>15</v>
      </c>
      <c r="D24" s="6">
        <v>1.2E7</v>
      </c>
      <c r="E24" s="6">
        <v>1.275E7</v>
      </c>
      <c r="F24" s="6">
        <v>1.35E7</v>
      </c>
      <c r="G24" s="6">
        <v>1.5E7</v>
      </c>
    </row>
    <row r="25" ht="19.5" customHeight="1">
      <c r="A25" s="9">
        <v>24.0</v>
      </c>
      <c r="B25" s="11" t="s">
        <v>129</v>
      </c>
      <c r="C25" s="13" t="s">
        <v>15</v>
      </c>
      <c r="D25" s="9">
        <v>1.2E7</v>
      </c>
      <c r="E25" s="9">
        <v>1.275E7</v>
      </c>
      <c r="F25" s="9">
        <v>1.35E7</v>
      </c>
      <c r="G25" s="9">
        <v>1.5E7</v>
      </c>
    </row>
    <row r="26" ht="19.5" customHeight="1">
      <c r="A26" s="6">
        <v>25.0</v>
      </c>
      <c r="B26" s="8" t="s">
        <v>125</v>
      </c>
      <c r="C26" s="10" t="s">
        <v>15</v>
      </c>
      <c r="D26" s="6">
        <v>1.2E7</v>
      </c>
      <c r="E26" s="6">
        <v>1.275E7</v>
      </c>
      <c r="F26" s="6">
        <v>1.35E7</v>
      </c>
      <c r="G26" s="6">
        <v>1.5E7</v>
      </c>
    </row>
    <row r="27" ht="19.5" customHeight="1">
      <c r="A27" s="9">
        <v>26.0</v>
      </c>
      <c r="B27" s="11" t="s">
        <v>385</v>
      </c>
      <c r="C27" s="13" t="s">
        <v>15</v>
      </c>
      <c r="D27" s="9">
        <v>1.2E7</v>
      </c>
      <c r="E27" s="9">
        <v>1.275E7</v>
      </c>
      <c r="F27" s="9">
        <v>1.35E7</v>
      </c>
      <c r="G27" s="9">
        <v>1.5E7</v>
      </c>
    </row>
    <row r="28" ht="19.5" customHeight="1">
      <c r="A28" s="6">
        <v>27.0</v>
      </c>
      <c r="B28" s="8" t="s">
        <v>136</v>
      </c>
      <c r="C28" s="10" t="s">
        <v>15</v>
      </c>
      <c r="D28" s="6">
        <v>1.2E7</v>
      </c>
      <c r="E28" s="6">
        <v>1.275E7</v>
      </c>
      <c r="F28" s="6">
        <v>1.35E7</v>
      </c>
      <c r="G28" s="6">
        <v>1.5E7</v>
      </c>
    </row>
    <row r="29" ht="19.5" customHeight="1">
      <c r="A29" s="9">
        <v>28.0</v>
      </c>
      <c r="B29" s="11" t="s">
        <v>388</v>
      </c>
      <c r="C29" s="13" t="s">
        <v>15</v>
      </c>
      <c r="D29" s="9">
        <v>0.0</v>
      </c>
      <c r="E29" s="9">
        <v>0.0</v>
      </c>
      <c r="F29" s="9">
        <v>0.0</v>
      </c>
      <c r="G29" s="9">
        <v>0.0</v>
      </c>
    </row>
    <row r="30" ht="19.5" customHeight="1">
      <c r="A30" s="6">
        <v>29.0</v>
      </c>
      <c r="B30" s="8" t="s">
        <v>381</v>
      </c>
      <c r="C30" s="10" t="s">
        <v>15</v>
      </c>
      <c r="D30" s="6">
        <v>0.0</v>
      </c>
      <c r="E30" s="6">
        <v>0.0</v>
      </c>
      <c r="F30" s="6">
        <v>0.0</v>
      </c>
      <c r="G30" s="6">
        <v>0.0</v>
      </c>
    </row>
    <row r="31" ht="19.5" customHeight="1">
      <c r="A31" s="9">
        <v>30.0</v>
      </c>
      <c r="B31" s="11" t="s">
        <v>389</v>
      </c>
      <c r="C31" s="13" t="s">
        <v>15</v>
      </c>
      <c r="D31" s="9">
        <v>4000000.0</v>
      </c>
      <c r="E31" s="9">
        <v>4250000.0</v>
      </c>
      <c r="F31" s="9">
        <v>4500000.0</v>
      </c>
      <c r="G31" s="9">
        <v>5000000.0</v>
      </c>
    </row>
    <row r="32" ht="19.5" customHeight="1">
      <c r="A32" s="6">
        <v>31.0</v>
      </c>
      <c r="B32" s="8" t="s">
        <v>148</v>
      </c>
      <c r="C32" s="10" t="s">
        <v>15</v>
      </c>
      <c r="D32" s="6">
        <v>4000000.0</v>
      </c>
      <c r="E32" s="6">
        <v>4250000.0</v>
      </c>
      <c r="F32" s="6">
        <v>4500000.0</v>
      </c>
      <c r="G32" s="6">
        <v>5000000.0</v>
      </c>
    </row>
    <row r="33" ht="19.5" customHeight="1">
      <c r="A33" s="9">
        <v>32.0</v>
      </c>
      <c r="B33" s="11" t="s">
        <v>390</v>
      </c>
      <c r="C33" s="13" t="s">
        <v>15</v>
      </c>
      <c r="D33" s="9">
        <v>4000000.0</v>
      </c>
      <c r="E33" s="9">
        <v>4250000.0</v>
      </c>
      <c r="F33" s="9">
        <v>4500000.0</v>
      </c>
      <c r="G33" s="9">
        <v>5000000.0</v>
      </c>
    </row>
    <row r="34" ht="19.5" customHeight="1">
      <c r="A34" s="6">
        <v>33.0</v>
      </c>
      <c r="B34" s="8" t="s">
        <v>178</v>
      </c>
      <c r="C34" s="10" t="s">
        <v>15</v>
      </c>
      <c r="D34" s="6">
        <v>4000000.0</v>
      </c>
      <c r="E34" s="6">
        <v>4250000.0</v>
      </c>
      <c r="F34" s="6">
        <v>4500000.0</v>
      </c>
      <c r="G34" s="6">
        <v>5000000.0</v>
      </c>
    </row>
    <row r="35" ht="19.5" customHeight="1">
      <c r="A35" s="9">
        <v>34.0</v>
      </c>
      <c r="B35" s="11" t="s">
        <v>297</v>
      </c>
      <c r="C35" s="13" t="s">
        <v>15</v>
      </c>
      <c r="D35" s="9">
        <v>4000000.0</v>
      </c>
      <c r="E35" s="9">
        <v>4250000.0</v>
      </c>
      <c r="F35" s="9">
        <v>4500000.0</v>
      </c>
      <c r="G35" s="9">
        <v>5000000.0</v>
      </c>
    </row>
    <row r="36" ht="19.5" customHeight="1">
      <c r="A36" s="6">
        <v>35.0</v>
      </c>
      <c r="B36" s="8" t="s">
        <v>391</v>
      </c>
      <c r="C36" s="10" t="s">
        <v>15</v>
      </c>
      <c r="D36" s="6">
        <v>4000000.0</v>
      </c>
      <c r="E36" s="6">
        <v>4250000.0</v>
      </c>
      <c r="F36" s="6">
        <v>4500000.0</v>
      </c>
      <c r="G36" s="6">
        <v>5000000.0</v>
      </c>
    </row>
    <row r="37" ht="19.5" customHeight="1">
      <c r="A37" s="9">
        <v>36.0</v>
      </c>
      <c r="B37" s="11" t="s">
        <v>141</v>
      </c>
      <c r="C37" s="13" t="s">
        <v>15</v>
      </c>
      <c r="D37" s="9">
        <v>4000000.0</v>
      </c>
      <c r="E37" s="9">
        <v>4250000.0</v>
      </c>
      <c r="F37" s="9">
        <v>4500000.0</v>
      </c>
      <c r="G37" s="9">
        <v>5000000.0</v>
      </c>
    </row>
    <row r="38" ht="19.5" customHeight="1">
      <c r="A38" s="6">
        <v>37.0</v>
      </c>
      <c r="B38" s="8" t="s">
        <v>291</v>
      </c>
      <c r="C38" s="10" t="s">
        <v>15</v>
      </c>
      <c r="D38" s="6">
        <v>4000000.0</v>
      </c>
      <c r="E38" s="6">
        <v>4250000.0</v>
      </c>
      <c r="F38" s="6">
        <v>4500000.0</v>
      </c>
      <c r="G38" s="6">
        <v>5000000.0</v>
      </c>
    </row>
    <row r="39" ht="19.5" customHeight="1">
      <c r="A39" s="9">
        <v>38.0</v>
      </c>
      <c r="B39" s="11" t="s">
        <v>355</v>
      </c>
      <c r="C39" s="13" t="s">
        <v>15</v>
      </c>
      <c r="D39" s="9">
        <v>4000000.0</v>
      </c>
      <c r="E39" s="9">
        <v>4250000.0</v>
      </c>
      <c r="F39" s="9">
        <v>4500000.0</v>
      </c>
      <c r="G39" s="9">
        <v>5000000.0</v>
      </c>
    </row>
    <row r="40" ht="19.5" customHeight="1">
      <c r="A40" s="6">
        <v>39.0</v>
      </c>
      <c r="B40" s="8" t="s">
        <v>152</v>
      </c>
      <c r="C40" s="10" t="s">
        <v>15</v>
      </c>
      <c r="D40" s="6">
        <v>4000000.0</v>
      </c>
      <c r="E40" s="6">
        <v>4250000.0</v>
      </c>
      <c r="F40" s="6">
        <v>4500000.0</v>
      </c>
      <c r="G40" s="6">
        <v>5000000.0</v>
      </c>
    </row>
    <row r="41" ht="19.5" customHeight="1">
      <c r="A41" s="9">
        <v>40.0</v>
      </c>
      <c r="B41" s="11" t="s">
        <v>172</v>
      </c>
      <c r="C41" s="13" t="s">
        <v>15</v>
      </c>
      <c r="D41" s="9">
        <v>4000000.0</v>
      </c>
      <c r="E41" s="9">
        <v>4250000.0</v>
      </c>
      <c r="F41" s="9">
        <v>4500000.0</v>
      </c>
      <c r="G41" s="9">
        <v>5000000.0</v>
      </c>
    </row>
    <row r="42" ht="19.5" customHeight="1">
      <c r="A42" s="6">
        <v>41.0</v>
      </c>
      <c r="B42" s="8" t="s">
        <v>143</v>
      </c>
      <c r="C42" s="10" t="s">
        <v>15</v>
      </c>
      <c r="D42" s="6">
        <v>4000000.0</v>
      </c>
      <c r="E42" s="6">
        <v>4250000.0</v>
      </c>
      <c r="F42" s="6">
        <v>4500000.0</v>
      </c>
      <c r="G42" s="6">
        <v>5000000.0</v>
      </c>
    </row>
    <row r="43" ht="19.5" customHeight="1">
      <c r="A43" s="9">
        <v>42.0</v>
      </c>
      <c r="B43" s="11" t="s">
        <v>166</v>
      </c>
      <c r="C43" s="13" t="s">
        <v>15</v>
      </c>
      <c r="D43" s="9">
        <v>4000000.0</v>
      </c>
      <c r="E43" s="9">
        <v>4250000.0</v>
      </c>
      <c r="F43" s="9">
        <v>4500000.0</v>
      </c>
      <c r="G43" s="9">
        <v>5000000.0</v>
      </c>
    </row>
    <row r="44" ht="19.5" customHeight="1">
      <c r="A44" s="6">
        <v>43.0</v>
      </c>
      <c r="B44" s="8" t="s">
        <v>173</v>
      </c>
      <c r="C44" s="10" t="s">
        <v>15</v>
      </c>
      <c r="D44" s="6">
        <v>4000000.0</v>
      </c>
      <c r="E44" s="6">
        <v>4250000.0</v>
      </c>
      <c r="F44" s="6">
        <v>4500000.0</v>
      </c>
      <c r="G44" s="6">
        <v>5000000.0</v>
      </c>
    </row>
    <row r="45" ht="19.5" customHeight="1">
      <c r="A45" s="9">
        <v>44.0</v>
      </c>
      <c r="B45" s="11" t="s">
        <v>155</v>
      </c>
      <c r="C45" s="13" t="s">
        <v>15</v>
      </c>
      <c r="D45" s="9">
        <v>4000000.0</v>
      </c>
      <c r="E45" s="9">
        <v>4250000.0</v>
      </c>
      <c r="F45" s="9">
        <v>4500000.0</v>
      </c>
      <c r="G45" s="9">
        <v>5000000.0</v>
      </c>
    </row>
    <row r="46" ht="19.5" customHeight="1">
      <c r="A46" s="6">
        <v>45.0</v>
      </c>
      <c r="B46" s="8" t="s">
        <v>138</v>
      </c>
      <c r="C46" s="10" t="s">
        <v>15</v>
      </c>
      <c r="D46" s="6">
        <v>4000000.0</v>
      </c>
      <c r="E46" s="6">
        <v>4250000.0</v>
      </c>
      <c r="F46" s="6">
        <v>4500000.0</v>
      </c>
      <c r="G46" s="6">
        <v>5000000.0</v>
      </c>
    </row>
    <row r="47" ht="19.5" customHeight="1">
      <c r="A47" s="9">
        <v>46.0</v>
      </c>
      <c r="B47" s="11" t="s">
        <v>440</v>
      </c>
      <c r="C47" s="13" t="s">
        <v>15</v>
      </c>
      <c r="D47" s="9">
        <v>0.0</v>
      </c>
      <c r="E47" s="9">
        <v>0.0</v>
      </c>
      <c r="F47" s="9">
        <v>0.0</v>
      </c>
      <c r="G47" s="9">
        <v>0.0</v>
      </c>
    </row>
    <row r="48" ht="19.5" customHeight="1">
      <c r="A48" s="6">
        <v>47.0</v>
      </c>
      <c r="B48" s="8" t="s">
        <v>183</v>
      </c>
      <c r="C48" s="10" t="s">
        <v>15</v>
      </c>
      <c r="D48" s="6">
        <v>7.6617E7</v>
      </c>
      <c r="E48" s="6">
        <v>1.53234E8</v>
      </c>
      <c r="F48" s="6">
        <v>2.29851E8</v>
      </c>
      <c r="G48" s="6">
        <v>2.5E8</v>
      </c>
    </row>
    <row r="49" ht="19.5" customHeight="1">
      <c r="A49" s="9">
        <v>48.0</v>
      </c>
      <c r="B49" s="11" t="s">
        <v>184</v>
      </c>
      <c r="C49" s="13" t="s">
        <v>15</v>
      </c>
      <c r="D49" s="9">
        <v>1.4708E7</v>
      </c>
      <c r="E49" s="9">
        <v>2.9416E7</v>
      </c>
      <c r="F49" s="9">
        <v>3.0E7</v>
      </c>
      <c r="G49" s="9">
        <v>3.0E7</v>
      </c>
    </row>
    <row r="50" ht="19.5" customHeight="1">
      <c r="A50" s="6">
        <v>49.0</v>
      </c>
      <c r="B50" s="8" t="s">
        <v>195</v>
      </c>
      <c r="C50" s="10" t="s">
        <v>15</v>
      </c>
      <c r="D50" s="6">
        <v>4000000.0</v>
      </c>
      <c r="E50" s="6">
        <v>4250000.0</v>
      </c>
      <c r="F50" s="6">
        <v>4500000.0</v>
      </c>
      <c r="G50" s="6">
        <v>5000000.0</v>
      </c>
    </row>
    <row r="51" ht="19.5" customHeight="1">
      <c r="A51" s="9">
        <v>50.0</v>
      </c>
      <c r="B51" s="11" t="s">
        <v>193</v>
      </c>
      <c r="C51" s="13" t="s">
        <v>15</v>
      </c>
      <c r="D51" s="9">
        <v>4000000.0</v>
      </c>
      <c r="E51" s="9">
        <v>4250000.0</v>
      </c>
      <c r="F51" s="9">
        <v>4500000.0</v>
      </c>
      <c r="G51" s="9">
        <v>5000000.0</v>
      </c>
    </row>
    <row r="52" ht="19.5" customHeight="1">
      <c r="A52" s="6">
        <v>51.0</v>
      </c>
      <c r="B52" s="8" t="s">
        <v>194</v>
      </c>
      <c r="C52" s="10" t="s">
        <v>15</v>
      </c>
      <c r="D52" s="6">
        <v>4000000.0</v>
      </c>
      <c r="E52" s="6">
        <v>4250000.0</v>
      </c>
      <c r="F52" s="6">
        <v>4500000.0</v>
      </c>
      <c r="G52" s="6">
        <v>5000000.0</v>
      </c>
    </row>
    <row r="53" ht="19.5" customHeight="1">
      <c r="A53" s="9">
        <v>52.0</v>
      </c>
      <c r="B53" s="11" t="s">
        <v>187</v>
      </c>
      <c r="C53" s="13" t="s">
        <v>15</v>
      </c>
      <c r="D53" s="9">
        <v>4000000.0</v>
      </c>
      <c r="E53" s="9">
        <v>4250000.0</v>
      </c>
      <c r="F53" s="9">
        <v>4500000.0</v>
      </c>
      <c r="G53" s="9">
        <v>5000000.0</v>
      </c>
    </row>
    <row r="54" ht="19.5" customHeight="1">
      <c r="A54" s="6">
        <v>53.0</v>
      </c>
      <c r="B54" s="8" t="s">
        <v>198</v>
      </c>
      <c r="C54" s="10" t="s">
        <v>15</v>
      </c>
      <c r="D54" s="6">
        <v>2.0E7</v>
      </c>
      <c r="E54" s="6">
        <v>2.125E7</v>
      </c>
      <c r="F54" s="6">
        <v>2.25E7</v>
      </c>
      <c r="G54" s="6">
        <v>2.5E7</v>
      </c>
    </row>
    <row r="55" ht="19.5" customHeight="1">
      <c r="A55" s="9">
        <v>54.0</v>
      </c>
      <c r="B55" s="11" t="s">
        <v>197</v>
      </c>
      <c r="C55" s="13" t="s">
        <v>15</v>
      </c>
      <c r="D55" s="9">
        <v>8000000.0</v>
      </c>
      <c r="E55" s="9">
        <v>8500000.0</v>
      </c>
      <c r="F55" s="9">
        <v>9000000.0</v>
      </c>
      <c r="G55" s="9">
        <v>1.0E7</v>
      </c>
    </row>
    <row r="56" ht="19.5" customHeight="1">
      <c r="A56" s="6">
        <v>55.0</v>
      </c>
      <c r="B56" s="8" t="s">
        <v>192</v>
      </c>
      <c r="C56" s="10" t="s">
        <v>15</v>
      </c>
      <c r="D56" s="6">
        <v>2.4E7</v>
      </c>
      <c r="E56" s="6">
        <v>2.55E7</v>
      </c>
      <c r="F56" s="6">
        <v>2.7E7</v>
      </c>
      <c r="G56" s="6">
        <v>3.0E7</v>
      </c>
    </row>
    <row r="57" ht="19.5" customHeight="1">
      <c r="A57" s="9">
        <v>56.0</v>
      </c>
      <c r="B57" s="11" t="s">
        <v>208</v>
      </c>
      <c r="C57" s="13" t="s">
        <v>15</v>
      </c>
      <c r="D57" s="9">
        <v>4000000.0</v>
      </c>
      <c r="E57" s="9">
        <v>4250000.0</v>
      </c>
      <c r="F57" s="9">
        <v>4500000.0</v>
      </c>
      <c r="G57" s="9">
        <v>5000000.0</v>
      </c>
    </row>
    <row r="58" ht="19.5" customHeight="1">
      <c r="A58" s="6">
        <v>57.0</v>
      </c>
      <c r="B58" s="8" t="s">
        <v>200</v>
      </c>
      <c r="C58" s="10" t="s">
        <v>15</v>
      </c>
      <c r="D58" s="6">
        <v>4000000.0</v>
      </c>
      <c r="E58" s="6">
        <v>4250000.0</v>
      </c>
      <c r="F58" s="6">
        <v>4500000.0</v>
      </c>
      <c r="G58" s="6">
        <v>5000000.0</v>
      </c>
    </row>
    <row r="59" ht="19.5" customHeight="1">
      <c r="A59" s="9">
        <v>58.0</v>
      </c>
      <c r="B59" s="11" t="s">
        <v>204</v>
      </c>
      <c r="C59" s="13" t="s">
        <v>15</v>
      </c>
      <c r="D59" s="9">
        <v>4000000.0</v>
      </c>
      <c r="E59" s="9">
        <v>4250000.0</v>
      </c>
      <c r="F59" s="9">
        <v>4500000.0</v>
      </c>
      <c r="G59" s="9">
        <v>5000000.0</v>
      </c>
    </row>
    <row r="60" ht="19.5" customHeight="1">
      <c r="A60" s="6">
        <v>59.0</v>
      </c>
      <c r="B60" s="8" t="s">
        <v>203</v>
      </c>
      <c r="C60" s="10" t="s">
        <v>15</v>
      </c>
      <c r="D60" s="6">
        <v>4000000.0</v>
      </c>
      <c r="E60" s="6">
        <v>4250000.0</v>
      </c>
      <c r="F60" s="6">
        <v>4500000.0</v>
      </c>
      <c r="G60" s="6">
        <v>5000000.0</v>
      </c>
    </row>
    <row r="61" ht="19.5" customHeight="1">
      <c r="A61" s="9">
        <v>60.0</v>
      </c>
      <c r="B61" s="11" t="s">
        <v>220</v>
      </c>
      <c r="C61" s="13" t="s">
        <v>15</v>
      </c>
      <c r="D61" s="9">
        <v>1.5348E7</v>
      </c>
      <c r="E61" s="9">
        <v>3.0696E7</v>
      </c>
      <c r="F61" s="9">
        <v>4.0E7</v>
      </c>
      <c r="G61" s="9">
        <v>4.0E7</v>
      </c>
    </row>
    <row r="62" ht="19.5" customHeight="1">
      <c r="A62" s="6">
        <v>61.0</v>
      </c>
      <c r="B62" s="8" t="s">
        <v>223</v>
      </c>
      <c r="C62" s="10" t="s">
        <v>15</v>
      </c>
      <c r="D62" s="6">
        <v>7.6618E7</v>
      </c>
      <c r="E62" s="6">
        <v>1.53236E8</v>
      </c>
      <c r="F62" s="6">
        <v>2.29854E8</v>
      </c>
      <c r="G62" s="6">
        <v>2.5E8</v>
      </c>
    </row>
    <row r="63" ht="19.5" customHeight="1">
      <c r="A63" s="9">
        <v>62.0</v>
      </c>
      <c r="B63" s="11" t="s">
        <v>214</v>
      </c>
      <c r="C63" s="13" t="s">
        <v>15</v>
      </c>
      <c r="D63" s="9">
        <v>4800000.0</v>
      </c>
      <c r="E63" s="9">
        <v>5100000.0</v>
      </c>
      <c r="F63" s="9">
        <v>5400000.0</v>
      </c>
      <c r="G63" s="9">
        <v>6000000.0</v>
      </c>
    </row>
    <row r="64" ht="19.5" customHeight="1">
      <c r="A64" s="6">
        <v>63.0</v>
      </c>
      <c r="B64" s="8" t="s">
        <v>307</v>
      </c>
      <c r="C64" s="10" t="s">
        <v>15</v>
      </c>
      <c r="D64" s="6">
        <v>4800000.0</v>
      </c>
      <c r="E64" s="6">
        <v>5100000.0</v>
      </c>
      <c r="F64" s="6">
        <v>5400000.0</v>
      </c>
      <c r="G64" s="6">
        <v>6000000.0</v>
      </c>
    </row>
    <row r="65" ht="19.5" customHeight="1">
      <c r="A65" s="9">
        <v>64.0</v>
      </c>
      <c r="B65" s="11" t="s">
        <v>218</v>
      </c>
      <c r="C65" s="13" t="s">
        <v>15</v>
      </c>
      <c r="D65" s="9">
        <v>4800000.0</v>
      </c>
      <c r="E65" s="9">
        <v>5100000.0</v>
      </c>
      <c r="F65" s="9">
        <v>5400000.0</v>
      </c>
      <c r="G65" s="9">
        <v>6000000.0</v>
      </c>
    </row>
    <row r="66" ht="19.5" customHeight="1">
      <c r="A66" s="6">
        <v>65.0</v>
      </c>
      <c r="B66" s="8" t="s">
        <v>423</v>
      </c>
      <c r="C66" s="10" t="s">
        <v>15</v>
      </c>
      <c r="D66" s="6">
        <v>0.0</v>
      </c>
      <c r="E66" s="6">
        <v>0.0</v>
      </c>
      <c r="F66" s="6">
        <v>0.0</v>
      </c>
      <c r="G66" s="6">
        <v>0.0</v>
      </c>
    </row>
    <row r="67" ht="19.5" customHeight="1">
      <c r="A67" s="9">
        <v>66.0</v>
      </c>
      <c r="B67" s="11" t="s">
        <v>424</v>
      </c>
      <c r="C67" s="13" t="s">
        <v>15</v>
      </c>
      <c r="D67" s="9">
        <v>0.0</v>
      </c>
      <c r="E67" s="9">
        <v>0.0</v>
      </c>
      <c r="F67" s="9">
        <v>0.0</v>
      </c>
      <c r="G67" s="9">
        <v>0.0</v>
      </c>
    </row>
    <row r="68" ht="19.5" customHeight="1">
      <c r="A68" s="6">
        <v>67.0</v>
      </c>
      <c r="B68" s="8" t="s">
        <v>425</v>
      </c>
      <c r="C68" s="10" t="s">
        <v>15</v>
      </c>
      <c r="D68" s="6">
        <v>0.0</v>
      </c>
      <c r="E68" s="6">
        <v>0.0</v>
      </c>
      <c r="F68" s="6">
        <v>0.0</v>
      </c>
      <c r="G68" s="6">
        <v>0.0</v>
      </c>
    </row>
    <row r="69" ht="19.5" customHeight="1">
      <c r="A69" s="9">
        <v>68.0</v>
      </c>
      <c r="B69" s="11" t="s">
        <v>427</v>
      </c>
      <c r="C69" s="13" t="s">
        <v>15</v>
      </c>
      <c r="D69" s="9">
        <v>4800000.0</v>
      </c>
      <c r="E69" s="9">
        <v>5100000.0</v>
      </c>
      <c r="F69" s="9">
        <v>5400000.0</v>
      </c>
      <c r="G69" s="9">
        <v>6000000.0</v>
      </c>
    </row>
    <row r="70" ht="19.5" customHeight="1">
      <c r="A70" s="6">
        <v>69.0</v>
      </c>
      <c r="B70" s="8" t="s">
        <v>277</v>
      </c>
      <c r="C70" s="10" t="s">
        <v>278</v>
      </c>
      <c r="D70" s="6">
        <v>1.2E7</v>
      </c>
      <c r="E70" s="6">
        <v>1.275E7</v>
      </c>
      <c r="F70" s="6">
        <v>1.35E7</v>
      </c>
      <c r="G70" s="6">
        <v>1.5E7</v>
      </c>
    </row>
    <row r="71" ht="19.5" customHeight="1">
      <c r="A71" s="9">
        <v>70.0</v>
      </c>
      <c r="B71" s="11" t="s">
        <v>51</v>
      </c>
      <c r="C71" s="13" t="s">
        <v>22</v>
      </c>
      <c r="D71" s="9">
        <v>0.0</v>
      </c>
      <c r="E71" s="9">
        <v>0.0</v>
      </c>
      <c r="F71" s="9">
        <v>0.0</v>
      </c>
      <c r="G71" s="9">
        <v>0.0</v>
      </c>
    </row>
    <row r="72" ht="19.5" customHeight="1">
      <c r="A72" s="6">
        <v>71.0</v>
      </c>
      <c r="B72" s="8" t="s">
        <v>64</v>
      </c>
      <c r="C72" s="10" t="s">
        <v>22</v>
      </c>
      <c r="D72" s="6">
        <v>0.0</v>
      </c>
      <c r="E72" s="6">
        <v>0.0</v>
      </c>
      <c r="F72" s="6">
        <v>0.0</v>
      </c>
      <c r="G72" s="6">
        <v>0.0</v>
      </c>
    </row>
    <row r="73" ht="19.5" customHeight="1">
      <c r="A73" s="9">
        <v>72.0</v>
      </c>
      <c r="B73" s="11" t="s">
        <v>59</v>
      </c>
      <c r="C73" s="13" t="s">
        <v>22</v>
      </c>
      <c r="D73" s="9">
        <v>0.0</v>
      </c>
      <c r="E73" s="9">
        <v>0.0</v>
      </c>
      <c r="F73" s="9">
        <v>0.0</v>
      </c>
      <c r="G73" s="9">
        <v>0.0</v>
      </c>
    </row>
    <row r="74" ht="19.5" customHeight="1">
      <c r="A74" s="6">
        <v>73.0</v>
      </c>
      <c r="B74" s="8" t="s">
        <v>14</v>
      </c>
      <c r="C74" s="10" t="s">
        <v>22</v>
      </c>
      <c r="D74" s="6">
        <v>0.0</v>
      </c>
      <c r="E74" s="6">
        <v>0.0</v>
      </c>
      <c r="F74" s="6">
        <v>0.0</v>
      </c>
      <c r="G74" s="6">
        <v>0.0</v>
      </c>
    </row>
    <row r="75" ht="19.5" customHeight="1">
      <c r="A75" s="9">
        <v>74.0</v>
      </c>
      <c r="B75" s="11" t="s">
        <v>123</v>
      </c>
      <c r="C75" s="13" t="s">
        <v>22</v>
      </c>
      <c r="D75" s="9">
        <v>0.0</v>
      </c>
      <c r="E75" s="9">
        <v>0.0</v>
      </c>
      <c r="F75" s="9">
        <v>0.0</v>
      </c>
      <c r="G75" s="9">
        <v>0.0</v>
      </c>
    </row>
    <row r="76" ht="19.5" customHeight="1">
      <c r="A76" s="6">
        <v>75.0</v>
      </c>
      <c r="B76" s="8" t="s">
        <v>93</v>
      </c>
      <c r="C76" s="10" t="s">
        <v>22</v>
      </c>
      <c r="D76" s="6">
        <v>0.0</v>
      </c>
      <c r="E76" s="6">
        <v>0.0</v>
      </c>
      <c r="F76" s="6">
        <v>0.0</v>
      </c>
      <c r="G76" s="6">
        <v>0.0</v>
      </c>
    </row>
    <row r="77" ht="19.5" customHeight="1">
      <c r="A77" s="9">
        <v>76.0</v>
      </c>
      <c r="B77" s="11" t="s">
        <v>88</v>
      </c>
      <c r="C77" s="13" t="s">
        <v>22</v>
      </c>
      <c r="D77" s="9">
        <v>0.0</v>
      </c>
      <c r="E77" s="9">
        <v>0.0</v>
      </c>
      <c r="F77" s="9">
        <v>0.0</v>
      </c>
      <c r="G77" s="9">
        <v>0.0</v>
      </c>
    </row>
    <row r="78" ht="19.5" customHeight="1">
      <c r="A78" s="6">
        <v>77.0</v>
      </c>
      <c r="B78" s="8" t="s">
        <v>101</v>
      </c>
      <c r="C78" s="10" t="s">
        <v>22</v>
      </c>
      <c r="D78" s="6">
        <v>0.0</v>
      </c>
      <c r="E78" s="6">
        <v>0.0</v>
      </c>
      <c r="F78" s="6">
        <v>0.0</v>
      </c>
      <c r="G78" s="6">
        <v>0.0</v>
      </c>
    </row>
    <row r="79" ht="19.5" customHeight="1">
      <c r="A79" s="9">
        <v>78.0</v>
      </c>
      <c r="B79" s="11" t="s">
        <v>74</v>
      </c>
      <c r="C79" s="13" t="s">
        <v>22</v>
      </c>
      <c r="D79" s="9">
        <v>0.0</v>
      </c>
      <c r="E79" s="9">
        <v>0.0</v>
      </c>
      <c r="F79" s="9">
        <v>0.0</v>
      </c>
      <c r="G79" s="9">
        <v>0.0</v>
      </c>
    </row>
    <row r="80" ht="19.5" customHeight="1">
      <c r="A80" s="6">
        <v>79.0</v>
      </c>
      <c r="B80" s="8" t="s">
        <v>108</v>
      </c>
      <c r="C80" s="10" t="s">
        <v>22</v>
      </c>
      <c r="D80" s="6">
        <v>0.0</v>
      </c>
      <c r="E80" s="6">
        <v>0.0</v>
      </c>
      <c r="F80" s="6">
        <v>0.0</v>
      </c>
      <c r="G80" s="6">
        <v>0.0</v>
      </c>
    </row>
    <row r="81" ht="19.5" customHeight="1">
      <c r="A81" s="9">
        <v>80.0</v>
      </c>
      <c r="B81" s="11" t="s">
        <v>114</v>
      </c>
      <c r="C81" s="13" t="s">
        <v>22</v>
      </c>
      <c r="D81" s="9">
        <v>0.0</v>
      </c>
      <c r="E81" s="9">
        <v>0.0</v>
      </c>
      <c r="F81" s="9">
        <v>0.0</v>
      </c>
      <c r="G81" s="9">
        <v>0.0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