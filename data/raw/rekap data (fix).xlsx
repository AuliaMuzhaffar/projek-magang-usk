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auliamuzhaffar/Documents/maganghub/tugas-5/"/>
    </mc:Choice>
  </mc:AlternateContent>
  <xr:revisionPtr revIDLastSave="0" documentId="13_ncr:1_{9BA13FE7-6D40-4245-82B5-D2C421468B99}" xr6:coauthVersionLast="47" xr6:coauthVersionMax="47" xr10:uidLastSave="{00000000-0000-0000-0000-000000000000}"/>
  <bookViews>
    <workbookView xWindow="4440" yWindow="760" windowWidth="24960" windowHeight="17060" xr2:uid="{00000000-000D-0000-FFFF-FFFF00000000}"/>
  </bookViews>
  <sheets>
    <sheet name="Rekapitulasi Data" sheetId="1" r:id="rId1"/>
    <sheet name="Sheet4" sheetId="2" r:id="rId2"/>
    <sheet name="UKT_S1_2022 (Maba)" sheetId="3" r:id="rId3"/>
    <sheet name="UKT_S1_2022 (Mandiri)" sheetId="4" r:id="rId4"/>
    <sheet name="UKT_D3_2022 (Reguler)" sheetId="5" r:id="rId5"/>
    <sheet name="UKT_D3_2022 (Mandiri)" sheetId="6" r:id="rId6"/>
    <sheet name="UKT_S1_2022 (Maba) (1)" sheetId="7" r:id="rId7"/>
    <sheet name="UKT_S1_2022 (Mandiri) (1)" sheetId="8" r:id="rId8"/>
    <sheet name="UKT_D3_2022 (Reguler) (1)" sheetId="9" r:id="rId9"/>
    <sheet name="UKT_D3_2022 (Mandiri) (1)" sheetId="10" r:id="rId10"/>
    <sheet name="UKT_S1_2023 (SNBP_SNBT)" sheetId="11" r:id="rId11"/>
    <sheet name="UKT_S1_2023 (Mandiri)" sheetId="12" r:id="rId12"/>
    <sheet name="UKT_D3_2023 (Reguler)" sheetId="13" r:id="rId13"/>
    <sheet name="UKT_D3_2023 (Mandiri)" sheetId="14" r:id="rId14"/>
    <sheet name="UKT_S1_2024 (SNBP_SNBT_Mandiri)" sheetId="15" r:id="rId15"/>
    <sheet name="UKT_Diploma_2024" sheetId="16" r:id="rId16"/>
    <sheet name="Tarif_IPI_2024 (Lampiran IV)" sheetId="17" r:id="rId17"/>
    <sheet name="UKT_S1_2025_April" sheetId="18" r:id="rId18"/>
    <sheet name="UKT_Diploma_2025_April" sheetId="19" r:id="rId19"/>
    <sheet name="Tarif_IPI_2025_April" sheetId="20" r:id="rId20"/>
    <sheet name="UKT_S1_2026" sheetId="21" r:id="rId21"/>
    <sheet name="UKT_Diploma_2026" sheetId="22" r:id="rId22"/>
    <sheet name="Tarif_IPI_2026" sheetId="23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U88" i="1" l="1"/>
  <c r="CT88" i="1"/>
  <c r="BP88" i="1"/>
  <c r="BO88" i="1"/>
  <c r="AO88" i="1"/>
  <c r="AN88" i="1"/>
  <c r="AM88" i="1"/>
  <c r="AQ88" i="1" s="1"/>
  <c r="V88" i="1"/>
  <c r="U88" i="1"/>
  <c r="T88" i="1"/>
  <c r="DX87" i="1"/>
  <c r="DW87" i="1"/>
  <c r="DU87" i="1"/>
  <c r="DT87" i="1"/>
  <c r="CU87" i="1"/>
  <c r="CT87" i="1"/>
  <c r="CR87" i="1"/>
  <c r="CQ87" i="1"/>
  <c r="BP87" i="1"/>
  <c r="BO87" i="1"/>
  <c r="AO87" i="1"/>
  <c r="AN87" i="1"/>
  <c r="AM87" i="1"/>
  <c r="AQ87" i="1" s="1"/>
  <c r="X87" i="1"/>
  <c r="V87" i="1"/>
  <c r="U87" i="1"/>
  <c r="T87" i="1"/>
  <c r="DX86" i="1"/>
  <c r="DW86" i="1"/>
  <c r="DU86" i="1"/>
  <c r="DT86" i="1"/>
  <c r="CU86" i="1"/>
  <c r="CT86" i="1"/>
  <c r="CR86" i="1"/>
  <c r="CQ86" i="1"/>
  <c r="BP86" i="1"/>
  <c r="BO86" i="1"/>
  <c r="AO86" i="1"/>
  <c r="AN86" i="1"/>
  <c r="AM86" i="1"/>
  <c r="AQ86" i="1" s="1"/>
  <c r="X86" i="1"/>
  <c r="V86" i="1"/>
  <c r="U86" i="1"/>
  <c r="T86" i="1"/>
  <c r="DX85" i="1"/>
  <c r="DW85" i="1"/>
  <c r="DU85" i="1"/>
  <c r="DT85" i="1"/>
  <c r="CU85" i="1"/>
  <c r="CT85" i="1"/>
  <c r="CR85" i="1"/>
  <c r="CQ85" i="1"/>
  <c r="BP85" i="1"/>
  <c r="BO85" i="1"/>
  <c r="AQ85" i="1"/>
  <c r="AO85" i="1"/>
  <c r="AN85" i="1"/>
  <c r="AM85" i="1"/>
  <c r="V85" i="1"/>
  <c r="U85" i="1"/>
  <c r="T85" i="1"/>
  <c r="X85" i="1" s="1"/>
  <c r="DX84" i="1"/>
  <c r="DW84" i="1"/>
  <c r="DU84" i="1"/>
  <c r="DT84" i="1"/>
  <c r="CU84" i="1"/>
  <c r="CT84" i="1"/>
  <c r="CR84" i="1"/>
  <c r="CQ84" i="1"/>
  <c r="BP84" i="1"/>
  <c r="BO84" i="1"/>
  <c r="AQ84" i="1"/>
  <c r="AO84" i="1"/>
  <c r="AN84" i="1"/>
  <c r="AM84" i="1"/>
  <c r="V84" i="1"/>
  <c r="U84" i="1"/>
  <c r="T84" i="1"/>
  <c r="X84" i="1" s="1"/>
  <c r="DX83" i="1"/>
  <c r="DW83" i="1"/>
  <c r="DU83" i="1"/>
  <c r="DT83" i="1"/>
  <c r="CU83" i="1"/>
  <c r="CT83" i="1"/>
  <c r="CR83" i="1"/>
  <c r="CQ83" i="1"/>
  <c r="BR83" i="1"/>
  <c r="BP83" i="1"/>
  <c r="BO83" i="1"/>
  <c r="AQ83" i="1"/>
  <c r="AO83" i="1"/>
  <c r="AN83" i="1"/>
  <c r="AM83" i="1"/>
  <c r="V83" i="1"/>
  <c r="U83" i="1"/>
  <c r="T83" i="1"/>
  <c r="X83" i="1" s="1"/>
  <c r="DX82" i="1"/>
  <c r="DW82" i="1"/>
  <c r="DU82" i="1"/>
  <c r="DT82" i="1"/>
  <c r="CU82" i="1"/>
  <c r="CT82" i="1"/>
  <c r="CR82" i="1"/>
  <c r="CQ82" i="1"/>
  <c r="BP82" i="1"/>
  <c r="BO82" i="1"/>
  <c r="AQ82" i="1"/>
  <c r="AO82" i="1"/>
  <c r="AN82" i="1"/>
  <c r="AM82" i="1"/>
  <c r="BR82" i="1" s="1"/>
  <c r="X82" i="1"/>
  <c r="V82" i="1"/>
  <c r="U82" i="1"/>
  <c r="T82" i="1"/>
  <c r="DX81" i="1"/>
  <c r="DW81" i="1"/>
  <c r="DU81" i="1"/>
  <c r="DT81" i="1"/>
  <c r="CU81" i="1"/>
  <c r="CT81" i="1"/>
  <c r="CR81" i="1"/>
  <c r="CQ81" i="1"/>
  <c r="BR81" i="1"/>
  <c r="BQ81" i="1"/>
  <c r="BP81" i="1"/>
  <c r="BO81" i="1"/>
  <c r="AQ81" i="1"/>
  <c r="AO81" i="1"/>
  <c r="AN81" i="1"/>
  <c r="AM81" i="1"/>
  <c r="X81" i="1"/>
  <c r="V81" i="1"/>
  <c r="U81" i="1"/>
  <c r="T81" i="1"/>
  <c r="DX80" i="1"/>
  <c r="DW80" i="1"/>
  <c r="DU80" i="1"/>
  <c r="DT80" i="1"/>
  <c r="CU80" i="1"/>
  <c r="CT80" i="1"/>
  <c r="CR80" i="1"/>
  <c r="CQ80" i="1"/>
  <c r="BR80" i="1"/>
  <c r="BQ80" i="1"/>
  <c r="BP80" i="1"/>
  <c r="BO80" i="1"/>
  <c r="AQ80" i="1"/>
  <c r="AO80" i="1"/>
  <c r="AN80" i="1"/>
  <c r="AM80" i="1"/>
  <c r="X80" i="1"/>
  <c r="V80" i="1"/>
  <c r="U80" i="1"/>
  <c r="T80" i="1"/>
  <c r="DX79" i="1"/>
  <c r="DW79" i="1"/>
  <c r="DU79" i="1"/>
  <c r="DT79" i="1"/>
  <c r="CU79" i="1"/>
  <c r="CT79" i="1"/>
  <c r="CR79" i="1"/>
  <c r="CQ79" i="1"/>
  <c r="BR79" i="1"/>
  <c r="BQ79" i="1"/>
  <c r="BP79" i="1"/>
  <c r="BO79" i="1"/>
  <c r="AQ79" i="1"/>
  <c r="AO79" i="1"/>
  <c r="AN79" i="1"/>
  <c r="AM79" i="1"/>
  <c r="X79" i="1"/>
  <c r="V79" i="1"/>
  <c r="U79" i="1"/>
  <c r="T79" i="1"/>
  <c r="DX78" i="1"/>
  <c r="DW78" i="1"/>
  <c r="DU78" i="1"/>
  <c r="DT78" i="1"/>
  <c r="CU78" i="1"/>
  <c r="CT78" i="1"/>
  <c r="CR78" i="1"/>
  <c r="CQ78" i="1"/>
  <c r="BR78" i="1"/>
  <c r="BQ78" i="1"/>
  <c r="BP78" i="1"/>
  <c r="BO78" i="1"/>
  <c r="AQ78" i="1"/>
  <c r="AO78" i="1"/>
  <c r="AN78" i="1"/>
  <c r="AM78" i="1"/>
  <c r="X78" i="1"/>
  <c r="V78" i="1"/>
  <c r="U78" i="1"/>
  <c r="T78" i="1"/>
  <c r="DX77" i="1"/>
  <c r="DW77" i="1"/>
  <c r="DU77" i="1"/>
  <c r="DT77" i="1"/>
  <c r="CU77" i="1"/>
  <c r="CT77" i="1"/>
  <c r="CR77" i="1"/>
  <c r="CQ77" i="1"/>
  <c r="BR77" i="1"/>
  <c r="BQ77" i="1"/>
  <c r="BP77" i="1"/>
  <c r="BO77" i="1"/>
  <c r="AQ77" i="1"/>
  <c r="AO77" i="1"/>
  <c r="AN77" i="1"/>
  <c r="AM77" i="1"/>
  <c r="V77" i="1"/>
  <c r="U77" i="1"/>
  <c r="T77" i="1"/>
  <c r="X77" i="1" s="1"/>
  <c r="DX76" i="1"/>
  <c r="DW76" i="1"/>
  <c r="DU76" i="1"/>
  <c r="DT76" i="1"/>
  <c r="CU76" i="1"/>
  <c r="CT76" i="1"/>
  <c r="CR76" i="1"/>
  <c r="CQ76" i="1"/>
  <c r="BR76" i="1"/>
  <c r="BQ76" i="1"/>
  <c r="BP76" i="1"/>
  <c r="BO76" i="1"/>
  <c r="AQ76" i="1"/>
  <c r="AO76" i="1"/>
  <c r="AN76" i="1"/>
  <c r="AM76" i="1"/>
  <c r="X76" i="1"/>
  <c r="V76" i="1"/>
  <c r="U76" i="1"/>
  <c r="T76" i="1"/>
  <c r="DX75" i="1"/>
  <c r="DW75" i="1"/>
  <c r="DU75" i="1"/>
  <c r="DT75" i="1"/>
  <c r="CU75" i="1"/>
  <c r="CT75" i="1"/>
  <c r="CR75" i="1"/>
  <c r="CQ75" i="1"/>
  <c r="BR75" i="1"/>
  <c r="BQ75" i="1"/>
  <c r="BP75" i="1"/>
  <c r="BO75" i="1"/>
  <c r="AQ75" i="1"/>
  <c r="AO75" i="1"/>
  <c r="AN75" i="1"/>
  <c r="AM75" i="1"/>
  <c r="X75" i="1"/>
  <c r="V75" i="1"/>
  <c r="U75" i="1"/>
  <c r="T75" i="1"/>
  <c r="DX74" i="1"/>
  <c r="DW74" i="1"/>
  <c r="DU74" i="1"/>
  <c r="DT74" i="1"/>
  <c r="CU74" i="1"/>
  <c r="CT74" i="1"/>
  <c r="CR74" i="1"/>
  <c r="CQ74" i="1"/>
  <c r="BR74" i="1"/>
  <c r="BQ74" i="1"/>
  <c r="BP74" i="1"/>
  <c r="BO74" i="1"/>
  <c r="AQ74" i="1"/>
  <c r="AO74" i="1"/>
  <c r="AN74" i="1"/>
  <c r="AM74" i="1"/>
  <c r="X74" i="1"/>
  <c r="V74" i="1"/>
  <c r="U74" i="1"/>
  <c r="T74" i="1"/>
  <c r="DX73" i="1"/>
  <c r="DW73" i="1"/>
  <c r="DU73" i="1"/>
  <c r="DT73" i="1"/>
  <c r="CU73" i="1"/>
  <c r="CT73" i="1"/>
  <c r="CR73" i="1"/>
  <c r="CQ73" i="1"/>
  <c r="BR73" i="1"/>
  <c r="BQ73" i="1"/>
  <c r="BP73" i="1"/>
  <c r="BO73" i="1"/>
  <c r="AQ73" i="1"/>
  <c r="AO73" i="1"/>
  <c r="AN73" i="1"/>
  <c r="AM73" i="1"/>
  <c r="X73" i="1"/>
  <c r="V73" i="1"/>
  <c r="U73" i="1"/>
  <c r="T73" i="1"/>
  <c r="DX72" i="1"/>
  <c r="DW72" i="1"/>
  <c r="DU72" i="1"/>
  <c r="DT72" i="1"/>
  <c r="CU72" i="1"/>
  <c r="CT72" i="1"/>
  <c r="CR72" i="1"/>
  <c r="CQ72" i="1"/>
  <c r="BR72" i="1"/>
  <c r="BQ72" i="1"/>
  <c r="BP72" i="1"/>
  <c r="BO72" i="1"/>
  <c r="AQ72" i="1"/>
  <c r="AO72" i="1"/>
  <c r="AN72" i="1"/>
  <c r="AM72" i="1"/>
  <c r="X72" i="1"/>
  <c r="V72" i="1"/>
  <c r="U72" i="1"/>
  <c r="T72" i="1"/>
  <c r="DX71" i="1"/>
  <c r="DW71" i="1"/>
  <c r="DU71" i="1"/>
  <c r="DT71" i="1"/>
  <c r="CU71" i="1"/>
  <c r="CT71" i="1"/>
  <c r="CR71" i="1"/>
  <c r="CQ71" i="1"/>
  <c r="BR71" i="1"/>
  <c r="BQ71" i="1"/>
  <c r="BP71" i="1"/>
  <c r="BO71" i="1"/>
  <c r="AQ71" i="1"/>
  <c r="AO71" i="1"/>
  <c r="AN71" i="1"/>
  <c r="AM71" i="1"/>
  <c r="X71" i="1"/>
  <c r="V71" i="1"/>
  <c r="U71" i="1"/>
  <c r="T71" i="1"/>
  <c r="DX70" i="1"/>
  <c r="DW70" i="1"/>
  <c r="DU70" i="1"/>
  <c r="DT70" i="1"/>
  <c r="CU70" i="1"/>
  <c r="CT70" i="1"/>
  <c r="CR70" i="1"/>
  <c r="CQ70" i="1"/>
  <c r="BR70" i="1"/>
  <c r="BQ70" i="1"/>
  <c r="BP70" i="1"/>
  <c r="BO70" i="1"/>
  <c r="AR70" i="1"/>
  <c r="AQ70" i="1"/>
  <c r="AO70" i="1"/>
  <c r="AN70" i="1"/>
  <c r="AM70" i="1"/>
  <c r="V70" i="1"/>
  <c r="U70" i="1"/>
  <c r="T70" i="1"/>
  <c r="X70" i="1" s="1"/>
  <c r="DX69" i="1"/>
  <c r="DW69" i="1"/>
  <c r="DU69" i="1"/>
  <c r="DT69" i="1"/>
  <c r="CU69" i="1"/>
  <c r="CT69" i="1"/>
  <c r="CR69" i="1"/>
  <c r="CQ69" i="1"/>
  <c r="BQ69" i="1"/>
  <c r="BP69" i="1"/>
  <c r="BO69" i="1"/>
  <c r="AR69" i="1"/>
  <c r="AQ69" i="1"/>
  <c r="AO69" i="1"/>
  <c r="AN69" i="1"/>
  <c r="AM69" i="1"/>
  <c r="BR69" i="1" s="1"/>
  <c r="V69" i="1"/>
  <c r="U69" i="1"/>
  <c r="T69" i="1"/>
  <c r="X69" i="1" s="1"/>
  <c r="DX68" i="1"/>
  <c r="DW68" i="1"/>
  <c r="DU68" i="1"/>
  <c r="DT68" i="1"/>
  <c r="CU68" i="1"/>
  <c r="CT68" i="1"/>
  <c r="CR68" i="1"/>
  <c r="CQ68" i="1"/>
  <c r="BR68" i="1"/>
  <c r="BQ68" i="1"/>
  <c r="BP68" i="1"/>
  <c r="BO68" i="1"/>
  <c r="AO68" i="1"/>
  <c r="AN68" i="1"/>
  <c r="AM68" i="1"/>
  <c r="AQ68" i="1" s="1"/>
  <c r="V68" i="1"/>
  <c r="U68" i="1"/>
  <c r="T68" i="1"/>
  <c r="X68" i="1" s="1"/>
  <c r="DX67" i="1"/>
  <c r="DW67" i="1"/>
  <c r="DU67" i="1"/>
  <c r="DT67" i="1"/>
  <c r="CU67" i="1"/>
  <c r="CT67" i="1"/>
  <c r="CR67" i="1"/>
  <c r="CQ67" i="1"/>
  <c r="BR67" i="1"/>
  <c r="BQ67" i="1"/>
  <c r="BP67" i="1"/>
  <c r="BO67" i="1"/>
  <c r="AQ67" i="1"/>
  <c r="AO67" i="1"/>
  <c r="AN67" i="1"/>
  <c r="AM67" i="1"/>
  <c r="AR67" i="1" s="1"/>
  <c r="V67" i="1"/>
  <c r="U67" i="1"/>
  <c r="T67" i="1"/>
  <c r="X67" i="1" s="1"/>
  <c r="DX66" i="1"/>
  <c r="DW66" i="1"/>
  <c r="DU66" i="1"/>
  <c r="DT66" i="1"/>
  <c r="CU66" i="1"/>
  <c r="CT66" i="1"/>
  <c r="CR66" i="1"/>
  <c r="CQ66" i="1"/>
  <c r="BR66" i="1"/>
  <c r="BQ66" i="1"/>
  <c r="BP66" i="1"/>
  <c r="BO66" i="1"/>
  <c r="AO66" i="1"/>
  <c r="AN66" i="1"/>
  <c r="AM66" i="1"/>
  <c r="AR66" i="1" s="1"/>
  <c r="X66" i="1"/>
  <c r="V66" i="1"/>
  <c r="U66" i="1"/>
  <c r="T66" i="1"/>
  <c r="DX65" i="1"/>
  <c r="DW65" i="1"/>
  <c r="DU65" i="1"/>
  <c r="DT65" i="1"/>
  <c r="CU65" i="1"/>
  <c r="CT65" i="1"/>
  <c r="CR65" i="1"/>
  <c r="CQ65" i="1"/>
  <c r="BR65" i="1"/>
  <c r="BQ65" i="1"/>
  <c r="BP65" i="1"/>
  <c r="BO65" i="1"/>
  <c r="AO65" i="1"/>
  <c r="AN65" i="1"/>
  <c r="AM65" i="1"/>
  <c r="AR65" i="1" s="1"/>
  <c r="X65" i="1"/>
  <c r="V65" i="1"/>
  <c r="U65" i="1"/>
  <c r="T65" i="1"/>
  <c r="DX64" i="1"/>
  <c r="DW64" i="1"/>
  <c r="DU64" i="1"/>
  <c r="DT64" i="1"/>
  <c r="CU64" i="1"/>
  <c r="CT64" i="1"/>
  <c r="CR64" i="1"/>
  <c r="CQ64" i="1"/>
  <c r="BQ64" i="1"/>
  <c r="BP64" i="1"/>
  <c r="BO64" i="1"/>
  <c r="AO64" i="1"/>
  <c r="AN64" i="1"/>
  <c r="AM64" i="1"/>
  <c r="AQ64" i="1" s="1"/>
  <c r="X64" i="1"/>
  <c r="V64" i="1"/>
  <c r="U64" i="1"/>
  <c r="T64" i="1"/>
  <c r="DX63" i="1"/>
  <c r="DW63" i="1"/>
  <c r="DU63" i="1"/>
  <c r="DT63" i="1"/>
  <c r="CU63" i="1"/>
  <c r="CT63" i="1"/>
  <c r="CR63" i="1"/>
  <c r="CQ63" i="1"/>
  <c r="BQ63" i="1"/>
  <c r="BP63" i="1"/>
  <c r="BO63" i="1"/>
  <c r="AO63" i="1"/>
  <c r="AN63" i="1"/>
  <c r="AM63" i="1"/>
  <c r="AR63" i="1" s="1"/>
  <c r="X63" i="1"/>
  <c r="V63" i="1"/>
  <c r="U63" i="1"/>
  <c r="T63" i="1"/>
  <c r="DX62" i="1"/>
  <c r="DW62" i="1"/>
  <c r="DU62" i="1"/>
  <c r="DT62" i="1"/>
  <c r="CU62" i="1"/>
  <c r="CT62" i="1"/>
  <c r="CR62" i="1"/>
  <c r="CQ62" i="1"/>
  <c r="BQ62" i="1"/>
  <c r="BP62" i="1"/>
  <c r="BO62" i="1"/>
  <c r="AR62" i="1"/>
  <c r="AQ62" i="1"/>
  <c r="AO62" i="1"/>
  <c r="AN62" i="1"/>
  <c r="AM62" i="1"/>
  <c r="BR62" i="1" s="1"/>
  <c r="V62" i="1"/>
  <c r="U62" i="1"/>
  <c r="T62" i="1"/>
  <c r="X62" i="1" s="1"/>
  <c r="DX61" i="1"/>
  <c r="DW61" i="1"/>
  <c r="DU61" i="1"/>
  <c r="DT61" i="1"/>
  <c r="CU61" i="1"/>
  <c r="CT61" i="1"/>
  <c r="CR61" i="1"/>
  <c r="CQ61" i="1"/>
  <c r="BQ61" i="1"/>
  <c r="BP61" i="1"/>
  <c r="BO61" i="1"/>
  <c r="AR61" i="1"/>
  <c r="AQ61" i="1"/>
  <c r="AO61" i="1"/>
  <c r="AN61" i="1"/>
  <c r="AM61" i="1"/>
  <c r="BR61" i="1" s="1"/>
  <c r="V61" i="1"/>
  <c r="U61" i="1"/>
  <c r="T61" i="1"/>
  <c r="X61" i="1" s="1"/>
  <c r="DX60" i="1"/>
  <c r="DW60" i="1"/>
  <c r="DU60" i="1"/>
  <c r="DT60" i="1"/>
  <c r="CU60" i="1"/>
  <c r="CT60" i="1"/>
  <c r="CR60" i="1"/>
  <c r="CQ60" i="1"/>
  <c r="BR60" i="1"/>
  <c r="BQ60" i="1"/>
  <c r="BP60" i="1"/>
  <c r="BO60" i="1"/>
  <c r="AR60" i="1"/>
  <c r="AQ60" i="1"/>
  <c r="AO60" i="1"/>
  <c r="AN60" i="1"/>
  <c r="AM60" i="1"/>
  <c r="V60" i="1"/>
  <c r="U60" i="1"/>
  <c r="T60" i="1"/>
  <c r="X60" i="1" s="1"/>
  <c r="DX59" i="1"/>
  <c r="DW59" i="1"/>
  <c r="DU59" i="1"/>
  <c r="DT59" i="1"/>
  <c r="CU59" i="1"/>
  <c r="CT59" i="1"/>
  <c r="CR59" i="1"/>
  <c r="CQ59" i="1"/>
  <c r="BQ59" i="1"/>
  <c r="BP59" i="1"/>
  <c r="BO59" i="1"/>
  <c r="AR59" i="1"/>
  <c r="AQ59" i="1"/>
  <c r="AO59" i="1"/>
  <c r="AN59" i="1"/>
  <c r="AM59" i="1"/>
  <c r="BR59" i="1" s="1"/>
  <c r="V59" i="1"/>
  <c r="U59" i="1"/>
  <c r="T59" i="1"/>
  <c r="X59" i="1" s="1"/>
  <c r="DX58" i="1"/>
  <c r="DW58" i="1"/>
  <c r="DU58" i="1"/>
  <c r="DT58" i="1"/>
  <c r="CU58" i="1"/>
  <c r="CT58" i="1"/>
  <c r="CR58" i="1"/>
  <c r="CQ58" i="1"/>
  <c r="BR58" i="1"/>
  <c r="BQ58" i="1"/>
  <c r="BP58" i="1"/>
  <c r="BO58" i="1"/>
  <c r="AO58" i="1"/>
  <c r="AN58" i="1"/>
  <c r="AM58" i="1"/>
  <c r="AQ58" i="1" s="1"/>
  <c r="V58" i="1"/>
  <c r="U58" i="1"/>
  <c r="T58" i="1"/>
  <c r="X58" i="1" s="1"/>
  <c r="DX57" i="1"/>
  <c r="DW57" i="1"/>
  <c r="DU57" i="1"/>
  <c r="DT57" i="1"/>
  <c r="CU57" i="1"/>
  <c r="CT57" i="1"/>
  <c r="CR57" i="1"/>
  <c r="CQ57" i="1"/>
  <c r="BR57" i="1"/>
  <c r="BQ57" i="1"/>
  <c r="BP57" i="1"/>
  <c r="BO57" i="1"/>
  <c r="AQ57" i="1"/>
  <c r="AO57" i="1"/>
  <c r="AN57" i="1"/>
  <c r="AM57" i="1"/>
  <c r="V57" i="1"/>
  <c r="U57" i="1"/>
  <c r="T57" i="1"/>
  <c r="X57" i="1" s="1"/>
  <c r="DX56" i="1"/>
  <c r="DW56" i="1"/>
  <c r="DU56" i="1"/>
  <c r="DT56" i="1"/>
  <c r="CU56" i="1"/>
  <c r="CT56" i="1"/>
  <c r="CR56" i="1"/>
  <c r="CQ56" i="1"/>
  <c r="BR56" i="1"/>
  <c r="BQ56" i="1"/>
  <c r="BP56" i="1"/>
  <c r="BO56" i="1"/>
  <c r="AO56" i="1"/>
  <c r="AN56" i="1"/>
  <c r="AM56" i="1"/>
  <c r="AR56" i="1" s="1"/>
  <c r="X56" i="1"/>
  <c r="V56" i="1"/>
  <c r="U56" i="1"/>
  <c r="T56" i="1"/>
  <c r="DX55" i="1"/>
  <c r="DW55" i="1"/>
  <c r="DU55" i="1"/>
  <c r="DT55" i="1"/>
  <c r="CU55" i="1"/>
  <c r="CT55" i="1"/>
  <c r="CR55" i="1"/>
  <c r="CQ55" i="1"/>
  <c r="BR55" i="1"/>
  <c r="BQ55" i="1"/>
  <c r="BP55" i="1"/>
  <c r="BO55" i="1"/>
  <c r="AO55" i="1"/>
  <c r="AN55" i="1"/>
  <c r="AM55" i="1"/>
  <c r="AQ55" i="1" s="1"/>
  <c r="X55" i="1"/>
  <c r="V55" i="1"/>
  <c r="U55" i="1"/>
  <c r="T55" i="1"/>
  <c r="DX54" i="1"/>
  <c r="DW54" i="1"/>
  <c r="DU54" i="1"/>
  <c r="DT54" i="1"/>
  <c r="CU54" i="1"/>
  <c r="CT54" i="1"/>
  <c r="CR54" i="1"/>
  <c r="CQ54" i="1"/>
  <c r="BQ54" i="1"/>
  <c r="BP54" i="1"/>
  <c r="BO54" i="1"/>
  <c r="AO54" i="1"/>
  <c r="AN54" i="1"/>
  <c r="AM54" i="1"/>
  <c r="AQ54" i="1" s="1"/>
  <c r="X54" i="1"/>
  <c r="V54" i="1"/>
  <c r="U54" i="1"/>
  <c r="T54" i="1"/>
  <c r="DX53" i="1"/>
  <c r="DW53" i="1"/>
  <c r="DU53" i="1"/>
  <c r="DT53" i="1"/>
  <c r="CU53" i="1"/>
  <c r="CT53" i="1"/>
  <c r="CR53" i="1"/>
  <c r="CQ53" i="1"/>
  <c r="BQ53" i="1"/>
  <c r="BP53" i="1"/>
  <c r="BO53" i="1"/>
  <c r="AO53" i="1"/>
  <c r="AN53" i="1"/>
  <c r="AM53" i="1"/>
  <c r="AR53" i="1" s="1"/>
  <c r="X53" i="1"/>
  <c r="V53" i="1"/>
  <c r="U53" i="1"/>
  <c r="T53" i="1"/>
  <c r="DX52" i="1"/>
  <c r="DW52" i="1"/>
  <c r="DU52" i="1"/>
  <c r="DT52" i="1"/>
  <c r="CU52" i="1"/>
  <c r="CT52" i="1"/>
  <c r="CR52" i="1"/>
  <c r="CQ52" i="1"/>
  <c r="BQ52" i="1"/>
  <c r="BP52" i="1"/>
  <c r="BO52" i="1"/>
  <c r="AR52" i="1"/>
  <c r="AQ52" i="1"/>
  <c r="AO52" i="1"/>
  <c r="AN52" i="1"/>
  <c r="AM52" i="1"/>
  <c r="BR52" i="1" s="1"/>
  <c r="V52" i="1"/>
  <c r="U52" i="1"/>
  <c r="T52" i="1"/>
  <c r="X52" i="1" s="1"/>
  <c r="DX51" i="1"/>
  <c r="DW51" i="1"/>
  <c r="DU51" i="1"/>
  <c r="DT51" i="1"/>
  <c r="CU51" i="1"/>
  <c r="CT51" i="1"/>
  <c r="CR51" i="1"/>
  <c r="CQ51" i="1"/>
  <c r="BQ51" i="1"/>
  <c r="BP51" i="1"/>
  <c r="BO51" i="1"/>
  <c r="AR51" i="1"/>
  <c r="AQ51" i="1"/>
  <c r="AO51" i="1"/>
  <c r="AN51" i="1"/>
  <c r="AM51" i="1"/>
  <c r="BR51" i="1" s="1"/>
  <c r="V51" i="1"/>
  <c r="U51" i="1"/>
  <c r="T51" i="1"/>
  <c r="X51" i="1" s="1"/>
  <c r="DX50" i="1"/>
  <c r="DW50" i="1"/>
  <c r="DU50" i="1"/>
  <c r="DT50" i="1"/>
  <c r="CU50" i="1"/>
  <c r="CT50" i="1"/>
  <c r="CR50" i="1"/>
  <c r="CQ50" i="1"/>
  <c r="BR50" i="1"/>
  <c r="BQ50" i="1"/>
  <c r="BP50" i="1"/>
  <c r="BO50" i="1"/>
  <c r="AR50" i="1"/>
  <c r="AQ50" i="1"/>
  <c r="AO50" i="1"/>
  <c r="AN50" i="1"/>
  <c r="AM50" i="1"/>
  <c r="V50" i="1"/>
  <c r="U50" i="1"/>
  <c r="T50" i="1"/>
  <c r="X50" i="1" s="1"/>
  <c r="DX49" i="1"/>
  <c r="DW49" i="1"/>
  <c r="DU49" i="1"/>
  <c r="DT49" i="1"/>
  <c r="CU49" i="1"/>
  <c r="CT49" i="1"/>
  <c r="CR49" i="1"/>
  <c r="CQ49" i="1"/>
  <c r="BQ49" i="1"/>
  <c r="BP49" i="1"/>
  <c r="BO49" i="1"/>
  <c r="AR49" i="1"/>
  <c r="AQ49" i="1"/>
  <c r="AO49" i="1"/>
  <c r="AN49" i="1"/>
  <c r="AM49" i="1"/>
  <c r="BR49" i="1" s="1"/>
  <c r="V49" i="1"/>
  <c r="U49" i="1"/>
  <c r="T49" i="1"/>
  <c r="X49" i="1" s="1"/>
  <c r="DX48" i="1"/>
  <c r="DW48" i="1"/>
  <c r="DU48" i="1"/>
  <c r="DT48" i="1"/>
  <c r="CU48" i="1"/>
  <c r="CT48" i="1"/>
  <c r="CR48" i="1"/>
  <c r="CQ48" i="1"/>
  <c r="BR48" i="1"/>
  <c r="BQ48" i="1"/>
  <c r="BP48" i="1"/>
  <c r="BO48" i="1"/>
  <c r="AO48" i="1"/>
  <c r="AN48" i="1"/>
  <c r="AM48" i="1"/>
  <c r="AQ48" i="1" s="1"/>
  <c r="V48" i="1"/>
  <c r="U48" i="1"/>
  <c r="T48" i="1"/>
  <c r="X48" i="1" s="1"/>
  <c r="DX47" i="1"/>
  <c r="DW47" i="1"/>
  <c r="DU47" i="1"/>
  <c r="DT47" i="1"/>
  <c r="CU47" i="1"/>
  <c r="CT47" i="1"/>
  <c r="CR47" i="1"/>
  <c r="CQ47" i="1"/>
  <c r="BR47" i="1"/>
  <c r="BQ47" i="1"/>
  <c r="BP47" i="1"/>
  <c r="BO47" i="1"/>
  <c r="AQ47" i="1"/>
  <c r="AO47" i="1"/>
  <c r="AN47" i="1"/>
  <c r="AM47" i="1"/>
  <c r="V47" i="1"/>
  <c r="U47" i="1"/>
  <c r="T47" i="1"/>
  <c r="X47" i="1" s="1"/>
  <c r="DX46" i="1"/>
  <c r="DW46" i="1"/>
  <c r="DU46" i="1"/>
  <c r="DT46" i="1"/>
  <c r="CU46" i="1"/>
  <c r="CT46" i="1"/>
  <c r="CR46" i="1"/>
  <c r="CQ46" i="1"/>
  <c r="BR46" i="1"/>
  <c r="BQ46" i="1"/>
  <c r="BP46" i="1"/>
  <c r="BO46" i="1"/>
  <c r="AO46" i="1"/>
  <c r="AN46" i="1"/>
  <c r="AM46" i="1"/>
  <c r="AR46" i="1" s="1"/>
  <c r="X46" i="1"/>
  <c r="V46" i="1"/>
  <c r="U46" i="1"/>
  <c r="T46" i="1"/>
  <c r="DX45" i="1"/>
  <c r="DW45" i="1"/>
  <c r="DU45" i="1"/>
  <c r="DT45" i="1"/>
  <c r="CU45" i="1"/>
  <c r="CT45" i="1"/>
  <c r="CR45" i="1"/>
  <c r="CQ45" i="1"/>
  <c r="BR45" i="1"/>
  <c r="BQ45" i="1"/>
  <c r="BP45" i="1"/>
  <c r="BO45" i="1"/>
  <c r="AO45" i="1"/>
  <c r="AN45" i="1"/>
  <c r="AM45" i="1"/>
  <c r="AQ45" i="1" s="1"/>
  <c r="X45" i="1"/>
  <c r="V45" i="1"/>
  <c r="U45" i="1"/>
  <c r="T45" i="1"/>
  <c r="DX44" i="1"/>
  <c r="DW44" i="1"/>
  <c r="DU44" i="1"/>
  <c r="DT44" i="1"/>
  <c r="CU44" i="1"/>
  <c r="CT44" i="1"/>
  <c r="CR44" i="1"/>
  <c r="CQ44" i="1"/>
  <c r="BQ44" i="1"/>
  <c r="BP44" i="1"/>
  <c r="BO44" i="1"/>
  <c r="AO44" i="1"/>
  <c r="AN44" i="1"/>
  <c r="AM44" i="1"/>
  <c r="AQ44" i="1" s="1"/>
  <c r="X44" i="1"/>
  <c r="V44" i="1"/>
  <c r="U44" i="1"/>
  <c r="T44" i="1"/>
  <c r="DX43" i="1"/>
  <c r="DW43" i="1"/>
  <c r="DU43" i="1"/>
  <c r="DT43" i="1"/>
  <c r="CU43" i="1"/>
  <c r="CT43" i="1"/>
  <c r="CR43" i="1"/>
  <c r="CQ43" i="1"/>
  <c r="BQ43" i="1"/>
  <c r="BP43" i="1"/>
  <c r="BO43" i="1"/>
  <c r="AO43" i="1"/>
  <c r="AN43" i="1"/>
  <c r="AM43" i="1"/>
  <c r="AR43" i="1" s="1"/>
  <c r="X43" i="1"/>
  <c r="V43" i="1"/>
  <c r="U43" i="1"/>
  <c r="T43" i="1"/>
  <c r="DX42" i="1"/>
  <c r="DW42" i="1"/>
  <c r="DU42" i="1"/>
  <c r="DT42" i="1"/>
  <c r="CU42" i="1"/>
  <c r="CT42" i="1"/>
  <c r="CR42" i="1"/>
  <c r="CQ42" i="1"/>
  <c r="BQ42" i="1"/>
  <c r="BP42" i="1"/>
  <c r="BO42" i="1"/>
  <c r="AQ42" i="1"/>
  <c r="AO42" i="1"/>
  <c r="AN42" i="1"/>
  <c r="AM42" i="1"/>
  <c r="AR42" i="1" s="1"/>
  <c r="V42" i="1"/>
  <c r="U42" i="1"/>
  <c r="T42" i="1"/>
  <c r="X42" i="1" s="1"/>
  <c r="DX41" i="1"/>
  <c r="DW41" i="1"/>
  <c r="DU41" i="1"/>
  <c r="DT41" i="1"/>
  <c r="CU41" i="1"/>
  <c r="CT41" i="1"/>
  <c r="CR41" i="1"/>
  <c r="CQ41" i="1"/>
  <c r="BQ41" i="1"/>
  <c r="BP41" i="1"/>
  <c r="BO41" i="1"/>
  <c r="AR41" i="1"/>
  <c r="AQ41" i="1"/>
  <c r="AO41" i="1"/>
  <c r="AN41" i="1"/>
  <c r="AM41" i="1"/>
  <c r="BR41" i="1" s="1"/>
  <c r="V41" i="1"/>
  <c r="U41" i="1"/>
  <c r="T41" i="1"/>
  <c r="X41" i="1" s="1"/>
  <c r="DX40" i="1"/>
  <c r="DW40" i="1"/>
  <c r="DU40" i="1"/>
  <c r="DT40" i="1"/>
  <c r="CU40" i="1"/>
  <c r="CT40" i="1"/>
  <c r="CR40" i="1"/>
  <c r="CQ40" i="1"/>
  <c r="BR40" i="1"/>
  <c r="BQ40" i="1"/>
  <c r="BP40" i="1"/>
  <c r="BO40" i="1"/>
  <c r="AR40" i="1"/>
  <c r="AQ40" i="1"/>
  <c r="AO40" i="1"/>
  <c r="AN40" i="1"/>
  <c r="AM40" i="1"/>
  <c r="V40" i="1"/>
  <c r="U40" i="1"/>
  <c r="T40" i="1"/>
  <c r="X40" i="1" s="1"/>
  <c r="DX39" i="1"/>
  <c r="DW39" i="1"/>
  <c r="DU39" i="1"/>
  <c r="DT39" i="1"/>
  <c r="CU39" i="1"/>
  <c r="CT39" i="1"/>
  <c r="CR39" i="1"/>
  <c r="CQ39" i="1"/>
  <c r="BQ39" i="1"/>
  <c r="BP39" i="1"/>
  <c r="BO39" i="1"/>
  <c r="AR39" i="1"/>
  <c r="AQ39" i="1"/>
  <c r="AO39" i="1"/>
  <c r="AN39" i="1"/>
  <c r="AM39" i="1"/>
  <c r="BR39" i="1" s="1"/>
  <c r="V39" i="1"/>
  <c r="U39" i="1"/>
  <c r="T39" i="1"/>
  <c r="X39" i="1" s="1"/>
  <c r="DX38" i="1"/>
  <c r="DW38" i="1"/>
  <c r="DU38" i="1"/>
  <c r="DT38" i="1"/>
  <c r="CU38" i="1"/>
  <c r="CT38" i="1"/>
  <c r="CR38" i="1"/>
  <c r="CQ38" i="1"/>
  <c r="BR38" i="1"/>
  <c r="BQ38" i="1"/>
  <c r="BP38" i="1"/>
  <c r="BO38" i="1"/>
  <c r="AO38" i="1"/>
  <c r="AN38" i="1"/>
  <c r="AM38" i="1"/>
  <c r="AQ38" i="1" s="1"/>
  <c r="V38" i="1"/>
  <c r="U38" i="1"/>
  <c r="T38" i="1"/>
  <c r="X38" i="1" s="1"/>
  <c r="DX37" i="1"/>
  <c r="DW37" i="1"/>
  <c r="DU37" i="1"/>
  <c r="DT37" i="1"/>
  <c r="CU37" i="1"/>
  <c r="CT37" i="1"/>
  <c r="CR37" i="1"/>
  <c r="CQ37" i="1"/>
  <c r="BR37" i="1"/>
  <c r="BQ37" i="1"/>
  <c r="BP37" i="1"/>
  <c r="BO37" i="1"/>
  <c r="AO37" i="1"/>
  <c r="AN37" i="1"/>
  <c r="AM37" i="1"/>
  <c r="AQ37" i="1" s="1"/>
  <c r="V37" i="1"/>
  <c r="U37" i="1"/>
  <c r="T37" i="1"/>
  <c r="X37" i="1" s="1"/>
  <c r="DX36" i="1"/>
  <c r="DW36" i="1"/>
  <c r="DU36" i="1"/>
  <c r="DT36" i="1"/>
  <c r="CU36" i="1"/>
  <c r="CT36" i="1"/>
  <c r="CR36" i="1"/>
  <c r="CQ36" i="1"/>
  <c r="BR36" i="1"/>
  <c r="BQ36" i="1"/>
  <c r="BP36" i="1"/>
  <c r="BO36" i="1"/>
  <c r="AO36" i="1"/>
  <c r="AN36" i="1"/>
  <c r="AM36" i="1"/>
  <c r="AR36" i="1" s="1"/>
  <c r="X36" i="1"/>
  <c r="V36" i="1"/>
  <c r="U36" i="1"/>
  <c r="T36" i="1"/>
  <c r="DX35" i="1"/>
  <c r="DW35" i="1"/>
  <c r="DU35" i="1"/>
  <c r="DT35" i="1"/>
  <c r="CU35" i="1"/>
  <c r="CT35" i="1"/>
  <c r="CR35" i="1"/>
  <c r="CQ35" i="1"/>
  <c r="BR35" i="1"/>
  <c r="BQ35" i="1"/>
  <c r="BP35" i="1"/>
  <c r="BO35" i="1"/>
  <c r="AO35" i="1"/>
  <c r="AN35" i="1"/>
  <c r="AM35" i="1"/>
  <c r="AR35" i="1" s="1"/>
  <c r="X35" i="1"/>
  <c r="V35" i="1"/>
  <c r="U35" i="1"/>
  <c r="T35" i="1"/>
  <c r="DX34" i="1"/>
  <c r="DW34" i="1"/>
  <c r="DU34" i="1"/>
  <c r="DT34" i="1"/>
  <c r="CU34" i="1"/>
  <c r="CT34" i="1"/>
  <c r="CR34" i="1"/>
  <c r="CQ34" i="1"/>
  <c r="BQ34" i="1"/>
  <c r="BP34" i="1"/>
  <c r="BO34" i="1"/>
  <c r="AO34" i="1"/>
  <c r="AN34" i="1"/>
  <c r="AM34" i="1"/>
  <c r="AQ34" i="1" s="1"/>
  <c r="X34" i="1"/>
  <c r="V34" i="1"/>
  <c r="U34" i="1"/>
  <c r="T34" i="1"/>
  <c r="DX33" i="1"/>
  <c r="DW33" i="1"/>
  <c r="DU33" i="1"/>
  <c r="DT33" i="1"/>
  <c r="CU33" i="1"/>
  <c r="CT33" i="1"/>
  <c r="CR33" i="1"/>
  <c r="CQ33" i="1"/>
  <c r="BQ33" i="1"/>
  <c r="BP33" i="1"/>
  <c r="BO33" i="1"/>
  <c r="AO33" i="1"/>
  <c r="AN33" i="1"/>
  <c r="AM33" i="1"/>
  <c r="AR33" i="1" s="1"/>
  <c r="X33" i="1"/>
  <c r="V33" i="1"/>
  <c r="U33" i="1"/>
  <c r="T33" i="1"/>
  <c r="DX32" i="1"/>
  <c r="DW32" i="1"/>
  <c r="DU32" i="1"/>
  <c r="DT32" i="1"/>
  <c r="CU32" i="1"/>
  <c r="CT32" i="1"/>
  <c r="CR32" i="1"/>
  <c r="CQ32" i="1"/>
  <c r="BQ32" i="1"/>
  <c r="BP32" i="1"/>
  <c r="BO32" i="1"/>
  <c r="AQ32" i="1"/>
  <c r="AO32" i="1"/>
  <c r="AN32" i="1"/>
  <c r="AM32" i="1"/>
  <c r="AR32" i="1" s="1"/>
  <c r="V32" i="1"/>
  <c r="U32" i="1"/>
  <c r="T32" i="1"/>
  <c r="X32" i="1" s="1"/>
  <c r="DX31" i="1"/>
  <c r="DW31" i="1"/>
  <c r="DU31" i="1"/>
  <c r="DT31" i="1"/>
  <c r="CU31" i="1"/>
  <c r="CT31" i="1"/>
  <c r="CR31" i="1"/>
  <c r="CQ31" i="1"/>
  <c r="BQ31" i="1"/>
  <c r="BP31" i="1"/>
  <c r="BO31" i="1"/>
  <c r="AR31" i="1"/>
  <c r="AQ31" i="1"/>
  <c r="AO31" i="1"/>
  <c r="AN31" i="1"/>
  <c r="AM31" i="1"/>
  <c r="BR31" i="1" s="1"/>
  <c r="X31" i="1"/>
  <c r="V31" i="1"/>
  <c r="U31" i="1"/>
  <c r="T31" i="1"/>
  <c r="DX30" i="1"/>
  <c r="DW30" i="1"/>
  <c r="DU30" i="1"/>
  <c r="DT30" i="1"/>
  <c r="CU30" i="1"/>
  <c r="CT30" i="1"/>
  <c r="CR30" i="1"/>
  <c r="CQ30" i="1"/>
  <c r="BR30" i="1"/>
  <c r="BQ30" i="1"/>
  <c r="BP30" i="1"/>
  <c r="BO30" i="1"/>
  <c r="AR30" i="1"/>
  <c r="AQ30" i="1"/>
  <c r="AO30" i="1"/>
  <c r="AN30" i="1"/>
  <c r="AM30" i="1"/>
  <c r="V30" i="1"/>
  <c r="U30" i="1"/>
  <c r="T30" i="1"/>
  <c r="X30" i="1" s="1"/>
  <c r="DX29" i="1"/>
  <c r="DW29" i="1"/>
  <c r="DU29" i="1"/>
  <c r="DT29" i="1"/>
  <c r="CU29" i="1"/>
  <c r="CT29" i="1"/>
  <c r="CR29" i="1"/>
  <c r="CQ29" i="1"/>
  <c r="BQ29" i="1"/>
  <c r="BP29" i="1"/>
  <c r="BO29" i="1"/>
  <c r="AR29" i="1"/>
  <c r="AQ29" i="1"/>
  <c r="AO29" i="1"/>
  <c r="AN29" i="1"/>
  <c r="AM29" i="1"/>
  <c r="BR29" i="1" s="1"/>
  <c r="V29" i="1"/>
  <c r="U29" i="1"/>
  <c r="T29" i="1"/>
  <c r="X29" i="1" s="1"/>
  <c r="DX28" i="1"/>
  <c r="DW28" i="1"/>
  <c r="DU28" i="1"/>
  <c r="DT28" i="1"/>
  <c r="CU28" i="1"/>
  <c r="CT28" i="1"/>
  <c r="CR28" i="1"/>
  <c r="CQ28" i="1"/>
  <c r="BR28" i="1"/>
  <c r="BQ28" i="1"/>
  <c r="BP28" i="1"/>
  <c r="BO28" i="1"/>
  <c r="AO28" i="1"/>
  <c r="AN28" i="1"/>
  <c r="AM28" i="1"/>
  <c r="AQ28" i="1" s="1"/>
  <c r="V28" i="1"/>
  <c r="U28" i="1"/>
  <c r="T28" i="1"/>
  <c r="X28" i="1" s="1"/>
  <c r="DX27" i="1"/>
  <c r="DW27" i="1"/>
  <c r="DU27" i="1"/>
  <c r="DT27" i="1"/>
  <c r="CU27" i="1"/>
  <c r="CT27" i="1"/>
  <c r="CR27" i="1"/>
  <c r="CQ27" i="1"/>
  <c r="BR27" i="1"/>
  <c r="BQ27" i="1"/>
  <c r="BP27" i="1"/>
  <c r="BO27" i="1"/>
  <c r="AO27" i="1"/>
  <c r="AN27" i="1"/>
  <c r="AM27" i="1"/>
  <c r="AR27" i="1" s="1"/>
  <c r="V27" i="1"/>
  <c r="U27" i="1"/>
  <c r="T27" i="1"/>
  <c r="X27" i="1" s="1"/>
  <c r="DX26" i="1"/>
  <c r="DW26" i="1"/>
  <c r="DU26" i="1"/>
  <c r="DT26" i="1"/>
  <c r="CU26" i="1"/>
  <c r="CT26" i="1"/>
  <c r="CR26" i="1"/>
  <c r="CQ26" i="1"/>
  <c r="BR26" i="1"/>
  <c r="BQ26" i="1"/>
  <c r="BP26" i="1"/>
  <c r="BO26" i="1"/>
  <c r="AO26" i="1"/>
  <c r="AN26" i="1"/>
  <c r="AM26" i="1"/>
  <c r="AR26" i="1" s="1"/>
  <c r="X26" i="1"/>
  <c r="V26" i="1"/>
  <c r="U26" i="1"/>
  <c r="T26" i="1"/>
  <c r="DX25" i="1"/>
  <c r="DW25" i="1"/>
  <c r="DU25" i="1"/>
  <c r="DT25" i="1"/>
  <c r="CU25" i="1"/>
  <c r="CT25" i="1"/>
  <c r="CR25" i="1"/>
  <c r="CQ25" i="1"/>
  <c r="BR25" i="1"/>
  <c r="BQ25" i="1"/>
  <c r="BP25" i="1"/>
  <c r="BO25" i="1"/>
  <c r="AO25" i="1"/>
  <c r="AN25" i="1"/>
  <c r="AM25" i="1"/>
  <c r="AQ25" i="1" s="1"/>
  <c r="X25" i="1"/>
  <c r="V25" i="1"/>
  <c r="U25" i="1"/>
  <c r="T25" i="1"/>
  <c r="DX24" i="1"/>
  <c r="DW24" i="1"/>
  <c r="DU24" i="1"/>
  <c r="DT24" i="1"/>
  <c r="CU24" i="1"/>
  <c r="CT24" i="1"/>
  <c r="CR24" i="1"/>
  <c r="CQ24" i="1"/>
  <c r="BQ24" i="1"/>
  <c r="BP24" i="1"/>
  <c r="BO24" i="1"/>
  <c r="AO24" i="1"/>
  <c r="AN24" i="1"/>
  <c r="AM24" i="1"/>
  <c r="AQ24" i="1" s="1"/>
  <c r="X24" i="1"/>
  <c r="V24" i="1"/>
  <c r="U24" i="1"/>
  <c r="T24" i="1"/>
  <c r="DX23" i="1"/>
  <c r="DW23" i="1"/>
  <c r="DU23" i="1"/>
  <c r="DT23" i="1"/>
  <c r="CU23" i="1"/>
  <c r="CT23" i="1"/>
  <c r="CR23" i="1"/>
  <c r="CQ23" i="1"/>
  <c r="BQ23" i="1"/>
  <c r="BP23" i="1"/>
  <c r="BO23" i="1"/>
  <c r="AO23" i="1"/>
  <c r="AN23" i="1"/>
  <c r="AM23" i="1"/>
  <c r="AR23" i="1" s="1"/>
  <c r="X23" i="1"/>
  <c r="V23" i="1"/>
  <c r="U23" i="1"/>
  <c r="T23" i="1"/>
  <c r="DX22" i="1"/>
  <c r="DW22" i="1"/>
  <c r="DU22" i="1"/>
  <c r="DT22" i="1"/>
  <c r="CU22" i="1"/>
  <c r="CT22" i="1"/>
  <c r="CR22" i="1"/>
  <c r="CQ22" i="1"/>
  <c r="BQ22" i="1"/>
  <c r="BP22" i="1"/>
  <c r="BO22" i="1"/>
  <c r="AQ22" i="1"/>
  <c r="AO22" i="1"/>
  <c r="AN22" i="1"/>
  <c r="AM22" i="1"/>
  <c r="BR22" i="1" s="1"/>
  <c r="V22" i="1"/>
  <c r="U22" i="1"/>
  <c r="T22" i="1"/>
  <c r="X22" i="1" s="1"/>
  <c r="DX21" i="1"/>
  <c r="DW21" i="1"/>
  <c r="DU21" i="1"/>
  <c r="DT21" i="1"/>
  <c r="CU21" i="1"/>
  <c r="CT21" i="1"/>
  <c r="CR21" i="1"/>
  <c r="CQ21" i="1"/>
  <c r="BQ21" i="1"/>
  <c r="BP21" i="1"/>
  <c r="BO21" i="1"/>
  <c r="AR21" i="1"/>
  <c r="AQ21" i="1"/>
  <c r="AO21" i="1"/>
  <c r="AN21" i="1"/>
  <c r="AM21" i="1"/>
  <c r="BR21" i="1" s="1"/>
  <c r="V21" i="1"/>
  <c r="U21" i="1"/>
  <c r="T21" i="1"/>
  <c r="X21" i="1" s="1"/>
  <c r="DX20" i="1"/>
  <c r="DW20" i="1"/>
  <c r="DU20" i="1"/>
  <c r="DT20" i="1"/>
  <c r="CU20" i="1"/>
  <c r="CT20" i="1"/>
  <c r="CR20" i="1"/>
  <c r="CQ20" i="1"/>
  <c r="BR20" i="1"/>
  <c r="BQ20" i="1"/>
  <c r="BP20" i="1"/>
  <c r="BO20" i="1"/>
  <c r="AR20" i="1"/>
  <c r="AQ20" i="1"/>
  <c r="AO20" i="1"/>
  <c r="AN20" i="1"/>
  <c r="AM20" i="1"/>
  <c r="V20" i="1"/>
  <c r="U20" i="1"/>
  <c r="T20" i="1"/>
  <c r="X20" i="1" s="1"/>
  <c r="DX19" i="1"/>
  <c r="DW19" i="1"/>
  <c r="DU19" i="1"/>
  <c r="DT19" i="1"/>
  <c r="CU19" i="1"/>
  <c r="CT19" i="1"/>
  <c r="CR19" i="1"/>
  <c r="CQ19" i="1"/>
  <c r="BQ19" i="1"/>
  <c r="BP19" i="1"/>
  <c r="BO19" i="1"/>
  <c r="AR19" i="1"/>
  <c r="AQ19" i="1"/>
  <c r="AO19" i="1"/>
  <c r="AN19" i="1"/>
  <c r="AM19" i="1"/>
  <c r="BR19" i="1" s="1"/>
  <c r="V19" i="1"/>
  <c r="U19" i="1"/>
  <c r="T19" i="1"/>
  <c r="X19" i="1" s="1"/>
  <c r="DX18" i="1"/>
  <c r="DW18" i="1"/>
  <c r="DU18" i="1"/>
  <c r="DT18" i="1"/>
  <c r="CU18" i="1"/>
  <c r="CT18" i="1"/>
  <c r="CR18" i="1"/>
  <c r="CQ18" i="1"/>
  <c r="BR18" i="1"/>
  <c r="BQ18" i="1"/>
  <c r="BP18" i="1"/>
  <c r="BO18" i="1"/>
  <c r="AO18" i="1"/>
  <c r="AN18" i="1"/>
  <c r="AM18" i="1"/>
  <c r="AQ18" i="1" s="1"/>
  <c r="V18" i="1"/>
  <c r="U18" i="1"/>
  <c r="T18" i="1"/>
  <c r="X18" i="1" s="1"/>
  <c r="DX17" i="1"/>
  <c r="DW17" i="1"/>
  <c r="DU17" i="1"/>
  <c r="DT17" i="1"/>
  <c r="CU17" i="1"/>
  <c r="CT17" i="1"/>
  <c r="CR17" i="1"/>
  <c r="CQ17" i="1"/>
  <c r="BR17" i="1"/>
  <c r="BQ17" i="1"/>
  <c r="BP17" i="1"/>
  <c r="BO17" i="1"/>
  <c r="AO17" i="1"/>
  <c r="AN17" i="1"/>
  <c r="AM17" i="1"/>
  <c r="AR17" i="1" s="1"/>
  <c r="V17" i="1"/>
  <c r="U17" i="1"/>
  <c r="T17" i="1"/>
  <c r="X17" i="1" s="1"/>
  <c r="DX16" i="1"/>
  <c r="DW16" i="1"/>
  <c r="DU16" i="1"/>
  <c r="DT16" i="1"/>
  <c r="CU16" i="1"/>
  <c r="CT16" i="1"/>
  <c r="CR16" i="1"/>
  <c r="CQ16" i="1"/>
  <c r="BR16" i="1"/>
  <c r="BQ16" i="1"/>
  <c r="BP16" i="1"/>
  <c r="BO16" i="1"/>
  <c r="AO16" i="1"/>
  <c r="AN16" i="1"/>
  <c r="AM16" i="1"/>
  <c r="AR16" i="1" s="1"/>
  <c r="X16" i="1"/>
  <c r="V16" i="1"/>
  <c r="U16" i="1"/>
  <c r="T16" i="1"/>
  <c r="DX15" i="1"/>
  <c r="DW15" i="1"/>
  <c r="DU15" i="1"/>
  <c r="DT15" i="1"/>
  <c r="CU15" i="1"/>
  <c r="CT15" i="1"/>
  <c r="CR15" i="1"/>
  <c r="CQ15" i="1"/>
  <c r="BR15" i="1"/>
  <c r="BQ15" i="1"/>
  <c r="BP15" i="1"/>
  <c r="BO15" i="1"/>
  <c r="AO15" i="1"/>
  <c r="AN15" i="1"/>
  <c r="AM15" i="1"/>
  <c r="AQ15" i="1" s="1"/>
  <c r="X15" i="1"/>
  <c r="V15" i="1"/>
  <c r="U15" i="1"/>
  <c r="T15" i="1"/>
  <c r="DX14" i="1"/>
  <c r="DW14" i="1"/>
  <c r="DU14" i="1"/>
  <c r="DT14" i="1"/>
  <c r="CU14" i="1"/>
  <c r="CT14" i="1"/>
  <c r="CR14" i="1"/>
  <c r="CQ14" i="1"/>
  <c r="BQ14" i="1"/>
  <c r="BP14" i="1"/>
  <c r="BO14" i="1"/>
  <c r="AO14" i="1"/>
  <c r="AN14" i="1"/>
  <c r="AM14" i="1"/>
  <c r="AQ14" i="1" s="1"/>
  <c r="X14" i="1"/>
  <c r="V14" i="1"/>
  <c r="U14" i="1"/>
  <c r="T14" i="1"/>
  <c r="DX13" i="1"/>
  <c r="DW13" i="1"/>
  <c r="DU13" i="1"/>
  <c r="DT13" i="1"/>
  <c r="CU13" i="1"/>
  <c r="CT13" i="1"/>
  <c r="CR13" i="1"/>
  <c r="CQ13" i="1"/>
  <c r="BQ13" i="1"/>
  <c r="BP13" i="1"/>
  <c r="BO13" i="1"/>
  <c r="AO13" i="1"/>
  <c r="AN13" i="1"/>
  <c r="AM13" i="1"/>
  <c r="AR13" i="1" s="1"/>
  <c r="X13" i="1"/>
  <c r="V13" i="1"/>
  <c r="U13" i="1"/>
  <c r="T13" i="1"/>
  <c r="DX12" i="1"/>
  <c r="DW12" i="1"/>
  <c r="DU12" i="1"/>
  <c r="DT12" i="1"/>
  <c r="CU12" i="1"/>
  <c r="CT12" i="1"/>
  <c r="CR12" i="1"/>
  <c r="CQ12" i="1"/>
  <c r="BQ12" i="1"/>
  <c r="BP12" i="1"/>
  <c r="BO12" i="1"/>
  <c r="AQ12" i="1"/>
  <c r="AO12" i="1"/>
  <c r="AN12" i="1"/>
  <c r="AM12" i="1"/>
  <c r="AR12" i="1" s="1"/>
  <c r="V12" i="1"/>
  <c r="U12" i="1"/>
  <c r="T12" i="1"/>
  <c r="X12" i="1" s="1"/>
  <c r="DX11" i="1"/>
  <c r="DW11" i="1"/>
  <c r="DU11" i="1"/>
  <c r="DT11" i="1"/>
  <c r="CU11" i="1"/>
  <c r="CT11" i="1"/>
  <c r="CR11" i="1"/>
  <c r="CQ11" i="1"/>
  <c r="BQ11" i="1"/>
  <c r="BP11" i="1"/>
  <c r="BO11" i="1"/>
  <c r="AR11" i="1"/>
  <c r="AQ11" i="1"/>
  <c r="AO11" i="1"/>
  <c r="AN11" i="1"/>
  <c r="AM11" i="1"/>
  <c r="BR11" i="1" s="1"/>
  <c r="V11" i="1"/>
  <c r="U11" i="1"/>
  <c r="T11" i="1"/>
  <c r="X11" i="1" s="1"/>
  <c r="DX10" i="1"/>
  <c r="DW10" i="1"/>
  <c r="DU10" i="1"/>
  <c r="DT10" i="1"/>
  <c r="CU10" i="1"/>
  <c r="CT10" i="1"/>
  <c r="CR10" i="1"/>
  <c r="CQ10" i="1"/>
  <c r="BR10" i="1"/>
  <c r="BQ10" i="1"/>
  <c r="BP10" i="1"/>
  <c r="BO10" i="1"/>
  <c r="AR10" i="1"/>
  <c r="AQ10" i="1"/>
  <c r="AO10" i="1"/>
  <c r="AN10" i="1"/>
  <c r="AM10" i="1"/>
  <c r="V10" i="1"/>
  <c r="U10" i="1"/>
  <c r="T10" i="1"/>
  <c r="X10" i="1" s="1"/>
  <c r="DX9" i="1"/>
  <c r="DW9" i="1"/>
  <c r="DU9" i="1"/>
  <c r="DT9" i="1"/>
  <c r="CU9" i="1"/>
  <c r="CT9" i="1"/>
  <c r="CR9" i="1"/>
  <c r="CQ9" i="1"/>
  <c r="BQ9" i="1"/>
  <c r="BP9" i="1"/>
  <c r="BO9" i="1"/>
  <c r="AR9" i="1"/>
  <c r="AQ9" i="1"/>
  <c r="AO9" i="1"/>
  <c r="AN9" i="1"/>
  <c r="AM9" i="1"/>
  <c r="BR9" i="1" s="1"/>
  <c r="V9" i="1"/>
  <c r="U9" i="1"/>
  <c r="T9" i="1"/>
  <c r="X9" i="1" s="1"/>
  <c r="DX8" i="1"/>
  <c r="DW8" i="1"/>
  <c r="DU8" i="1"/>
  <c r="DT8" i="1"/>
  <c r="CU8" i="1"/>
  <c r="CT8" i="1"/>
  <c r="CR8" i="1"/>
  <c r="CQ8" i="1"/>
  <c r="BR8" i="1"/>
  <c r="BQ8" i="1"/>
  <c r="BP8" i="1"/>
  <c r="BO8" i="1"/>
  <c r="AO8" i="1"/>
  <c r="AN8" i="1"/>
  <c r="AM8" i="1"/>
  <c r="AQ8" i="1" s="1"/>
  <c r="V8" i="1"/>
  <c r="U8" i="1"/>
  <c r="T8" i="1"/>
  <c r="X8" i="1" s="1"/>
  <c r="DX7" i="1"/>
  <c r="DW7" i="1"/>
  <c r="DU7" i="1"/>
  <c r="DT7" i="1"/>
  <c r="CU7" i="1"/>
  <c r="CT7" i="1"/>
  <c r="CR7" i="1"/>
  <c r="CQ7" i="1"/>
  <c r="BR7" i="1"/>
  <c r="BQ7" i="1"/>
  <c r="BP7" i="1"/>
  <c r="BO7" i="1"/>
  <c r="AO7" i="1"/>
  <c r="AN7" i="1"/>
  <c r="AM7" i="1"/>
  <c r="AR7" i="1" s="1"/>
  <c r="V7" i="1"/>
  <c r="U7" i="1"/>
  <c r="T7" i="1"/>
  <c r="X7" i="1" s="1"/>
  <c r="AR22" i="1" l="1"/>
  <c r="AQ65" i="1"/>
  <c r="AQ35" i="1"/>
  <c r="AR54" i="1"/>
  <c r="AR15" i="1"/>
  <c r="AQ16" i="1"/>
  <c r="AR25" i="1"/>
  <c r="AQ26" i="1"/>
  <c r="AQ36" i="1"/>
  <c r="AR45" i="1"/>
  <c r="AQ46" i="1"/>
  <c r="AR55" i="1"/>
  <c r="AQ56" i="1"/>
  <c r="AQ66" i="1"/>
  <c r="AR14" i="1"/>
  <c r="AR24" i="1"/>
  <c r="AR34" i="1"/>
  <c r="AR44" i="1"/>
  <c r="AR64" i="1"/>
  <c r="AQ7" i="1"/>
  <c r="BR12" i="1"/>
  <c r="AQ17" i="1"/>
  <c r="AQ27" i="1"/>
  <c r="BR32" i="1"/>
  <c r="BR42" i="1"/>
  <c r="BR13" i="1"/>
  <c r="BR23" i="1"/>
  <c r="BR33" i="1"/>
  <c r="AR37" i="1"/>
  <c r="BR43" i="1"/>
  <c r="AR47" i="1"/>
  <c r="BR53" i="1"/>
  <c r="AR57" i="1"/>
  <c r="BR63" i="1"/>
  <c r="AR8" i="1"/>
  <c r="BR14" i="1"/>
  <c r="AR18" i="1"/>
  <c r="BR24" i="1"/>
  <c r="AR28" i="1"/>
  <c r="BR34" i="1"/>
  <c r="AR38" i="1"/>
  <c r="BR44" i="1"/>
  <c r="AR48" i="1"/>
  <c r="BR54" i="1"/>
  <c r="AR58" i="1"/>
  <c r="BR64" i="1"/>
  <c r="AR68" i="1"/>
  <c r="AQ13" i="1"/>
  <c r="AQ23" i="1"/>
  <c r="AQ33" i="1"/>
  <c r="AQ43" i="1"/>
  <c r="AQ53" i="1"/>
  <c r="AQ63" i="1"/>
</calcChain>
</file>

<file path=xl/sharedStrings.xml><?xml version="1.0" encoding="utf-8"?>
<sst xmlns="http://schemas.openxmlformats.org/spreadsheetml/2006/main" count="4178" uniqueCount="523">
  <si>
    <t>No</t>
  </si>
  <si>
    <t>Metode</t>
  </si>
  <si>
    <t>Fakultas</t>
  </si>
  <si>
    <t>Program Studi</t>
  </si>
  <si>
    <t>Jenjang</t>
  </si>
  <si>
    <t>BKT per Semester (Rp)</t>
  </si>
  <si>
    <t>Prodi</t>
  </si>
  <si>
    <t>UKT Kelompok IV (Rp)</t>
  </si>
  <si>
    <t>Jalur</t>
  </si>
  <si>
    <t>UKT Kelompok V (Rp)</t>
  </si>
  <si>
    <t>UKT Kelompok VI (Rp)</t>
  </si>
  <si>
    <t>Sumbangan Pengembangan Institusi / SPI (Rp)</t>
  </si>
  <si>
    <t>Yield</t>
  </si>
  <si>
    <t>Teknik Industri</t>
  </si>
  <si>
    <t>SM</t>
  </si>
  <si>
    <t>BP</t>
  </si>
  <si>
    <t>UKT Kelompok I (Rp)</t>
  </si>
  <si>
    <t>BT</t>
  </si>
  <si>
    <t>UKT Kelompok II (Rp)</t>
  </si>
  <si>
    <t>Fakultas Ekonomi dan Bisnis</t>
  </si>
  <si>
    <t>UKT Kelompok III (Rp)</t>
  </si>
  <si>
    <t>Pemanfaatan Sumber daya Perikanan</t>
  </si>
  <si>
    <t>Akuntansi</t>
  </si>
  <si>
    <t>S1</t>
  </si>
  <si>
    <t>2.990.000 s/d 5.040.000</t>
  </si>
  <si>
    <t>5.050.000 s/d 7.000.000</t>
  </si>
  <si>
    <t>7.010.000 s/d 8.230.000</t>
  </si>
  <si>
    <t>Ilmu Keperawatan</t>
  </si>
  <si>
    <t>Biologi</t>
  </si>
  <si>
    <t>Ekonomi Islam</t>
  </si>
  <si>
    <t>500.000 s/d 1.000.000</t>
  </si>
  <si>
    <t>1.010.000 s/d 1.370.000</t>
  </si>
  <si>
    <t>1.380.000 s/d 2.980.000</t>
  </si>
  <si>
    <t>2.670.000 s/d 4.500.000</t>
  </si>
  <si>
    <t>4.510.000 s/d 6.250.000</t>
  </si>
  <si>
    <t>6.260.000 s/d 7.340.000</t>
  </si>
  <si>
    <t>1.010.000 s/d 1.300.000</t>
  </si>
  <si>
    <t>1.310.000 s/d 2.660.000</t>
  </si>
  <si>
    <t>Ekonomi Pembangunan</t>
  </si>
  <si>
    <t>2.780.000 s/d 4.680.000</t>
  </si>
  <si>
    <t>4.590.000 s/d 6.500.000</t>
  </si>
  <si>
    <t>Psikolog</t>
  </si>
  <si>
    <t>6.510.000 s/d 7.640.000</t>
  </si>
  <si>
    <t>Manajemen</t>
  </si>
  <si>
    <t>1.010.000 s/d 1.320.000</t>
  </si>
  <si>
    <t>1.330.000 s/d 2.770.000</t>
  </si>
  <si>
    <t>4.690.000 s/d 6.500.000</t>
  </si>
  <si>
    <t>Manajemen (Kampus Gayo Lues)</t>
  </si>
  <si>
    <t>ADIK</t>
  </si>
  <si>
    <t>3.010.000 s/d 5.100.000</t>
  </si>
  <si>
    <t>5.110.000 s/d 7.050.000</t>
  </si>
  <si>
    <t>7.060.000 s/d 8.940.000</t>
  </si>
  <si>
    <t>SMC</t>
  </si>
  <si>
    <t>Fakultas Kedokteran Hewan</t>
  </si>
  <si>
    <t>Pendidikan Dokter Hewan</t>
  </si>
  <si>
    <t>1.010.000 s/d 2.730.000</t>
  </si>
  <si>
    <t>TALENTA</t>
  </si>
  <si>
    <t>2.740.000 s/d 9.550.000</t>
  </si>
  <si>
    <t>9.560.000 s/d 16.140.000</t>
  </si>
  <si>
    <t>16.150.000 s/d 22.400.000</t>
  </si>
  <si>
    <t>22.410.000 s/d 26.350.000</t>
  </si>
  <si>
    <t>SLOPE</t>
  </si>
  <si>
    <t>Kode Prodi</t>
  </si>
  <si>
    <t>Fakultas Hukum</t>
  </si>
  <si>
    <t>Ilmu Hukum</t>
  </si>
  <si>
    <t>2.780.000 s/d 4.630.000</t>
  </si>
  <si>
    <t>Nama Prodi</t>
  </si>
  <si>
    <t>Fakultas Teknik</t>
  </si>
  <si>
    <t>Arsitektur</t>
  </si>
  <si>
    <t>4.450.000 s/d 7.500.000</t>
  </si>
  <si>
    <t>7.510.000 s/d 10.400.000</t>
  </si>
  <si>
    <t>10.410.000 s/d 12.230.000</t>
  </si>
  <si>
    <t>1.010.000 s/d 1.670.000</t>
  </si>
  <si>
    <t>1.680.000 s/d 4.440.000</t>
  </si>
  <si>
    <t>Perencanaan Wilayah dan Kota</t>
  </si>
  <si>
    <t>280.000 s/d 7.210.000</t>
  </si>
  <si>
    <t>7.220.000 s/d 10.000.000</t>
  </si>
  <si>
    <t>10.010.000 s/d 11.760.000</t>
  </si>
  <si>
    <t>Sosilogi</t>
  </si>
  <si>
    <t>Teknik Elektro</t>
  </si>
  <si>
    <t>1.010.000 s/d 1.630.000</t>
  </si>
  <si>
    <t>4.960.000 s/d 8.360.000</t>
  </si>
  <si>
    <t>1.640.000 s/d 4.270.000</t>
  </si>
  <si>
    <t>8.370.000 s/d 11.600.000</t>
  </si>
  <si>
    <t>4.280.000 s/d 1.210.000</t>
  </si>
  <si>
    <t>Pemanfaatan Sumber Daya Perikanan</t>
  </si>
  <si>
    <t>11.610.000 s/d 13.650.000</t>
  </si>
  <si>
    <t>Teknik Geofisika</t>
  </si>
  <si>
    <t>1.010.000 s/d 1.770.000</t>
  </si>
  <si>
    <t>1.780.000 s/d 4.950.000</t>
  </si>
  <si>
    <t>Teknik Geologi</t>
  </si>
  <si>
    <t>4.620.000 s/d 780.000</t>
  </si>
  <si>
    <t>7.790.000 s/d 10.800.000</t>
  </si>
  <si>
    <t>10.810.000 s/d 12.700.000</t>
  </si>
  <si>
    <t>4.280.000 s/d 7.210.000</t>
  </si>
  <si>
    <t>Teknik Kimia</t>
  </si>
  <si>
    <t>1.010.000 s/d 1.700.000</t>
  </si>
  <si>
    <t>1.710.000 s/d 4.610.000</t>
  </si>
  <si>
    <t>Total Peminat</t>
  </si>
  <si>
    <t>4.620.000 s/d 7.780.000</t>
  </si>
  <si>
    <t>5.570.000 s/d 9.400.000</t>
  </si>
  <si>
    <t>9.410.000 s/d 13.040.000</t>
  </si>
  <si>
    <t>13.050.000 s/d 15.340.000</t>
  </si>
  <si>
    <t>Teknik Komputer</t>
  </si>
  <si>
    <t>Mendaftar Ulang</t>
  </si>
  <si>
    <t>Teknik Mesin</t>
  </si>
  <si>
    <t>1.010.000 s/d 1.900.000</t>
  </si>
  <si>
    <t>1.910.000 s/d 5.560.000</t>
  </si>
  <si>
    <t>11.510.000 s/d 13.650.000</t>
  </si>
  <si>
    <t>Lulus Awal</t>
  </si>
  <si>
    <t>Teknik Pertambangan</t>
  </si>
  <si>
    <t>Total Daya Tampung</t>
  </si>
  <si>
    <t>Teknik Sipil</t>
  </si>
  <si>
    <t>88.370.000 s/d 11.600.000</t>
  </si>
  <si>
    <t>Rasio Peminat</t>
  </si>
  <si>
    <t>Fakultas Pertanian</t>
  </si>
  <si>
    <t>Agribisnis</t>
  </si>
  <si>
    <t>3.950.000 s/d 6.650.000</t>
  </si>
  <si>
    <t>6.660.000 s/d 9.230.000</t>
  </si>
  <si>
    <t>9.240.000 s/d 10.850.000</t>
  </si>
  <si>
    <t>Agroteknologi</t>
  </si>
  <si>
    <t>4.170.000 s/d 7.020.000</t>
  </si>
  <si>
    <t>7.030.000 s/d 9.740.000</t>
  </si>
  <si>
    <t>750.000 s/d 11.460.000</t>
  </si>
  <si>
    <t>Agroteknologi (Kampus Gayo Lues)</t>
  </si>
  <si>
    <t>1.010.000 s/d 1.560.000</t>
  </si>
  <si>
    <t>1.570.000 s/d 3.940.000</t>
  </si>
  <si>
    <t>Ilmu Tanah</t>
  </si>
  <si>
    <t>4.020.000 s/d 6.770.000</t>
  </si>
  <si>
    <t>6.780.000 s/d 9.400.000</t>
  </si>
  <si>
    <t>9.420.000 s/d 11.050.000</t>
  </si>
  <si>
    <t>Kehutanan</t>
  </si>
  <si>
    <t>1.010.000 s/d 1.610.000</t>
  </si>
  <si>
    <t>4.170.000 s/d 020.000</t>
  </si>
  <si>
    <t>1.620.000 s/d 4.160.000</t>
  </si>
  <si>
    <t>9.750.000 s/d 11.460.000</t>
  </si>
  <si>
    <t>Kehutanan (Kampus Gayo Lues)</t>
  </si>
  <si>
    <t>Proteksi Tanaman</t>
  </si>
  <si>
    <t>5.380.000 s/d 9.070.000</t>
  </si>
  <si>
    <t>9.080.000 s/d 12.590.000</t>
  </si>
  <si>
    <t>12.600.000 s/d 14.810.000</t>
  </si>
  <si>
    <t>1.010.000 s/d 1.580.000</t>
  </si>
  <si>
    <t>1.590.000 s/d 4.010.000</t>
  </si>
  <si>
    <t>9.410.000 s/d 11.050.000</t>
  </si>
  <si>
    <t>Peternakan</t>
  </si>
  <si>
    <t>Lulus awal</t>
  </si>
  <si>
    <t>Teknologi Hasil Pertanian</t>
  </si>
  <si>
    <t>Teknik Pertanian</t>
  </si>
  <si>
    <t>1.010.000 s/d 1.860.000</t>
  </si>
  <si>
    <t>Fakultas Keguruan dan Ilmu Pendidikan</t>
  </si>
  <si>
    <t>1.870.000 s/d 5.370.000</t>
  </si>
  <si>
    <t>Bimbingan dan Konseling</t>
  </si>
  <si>
    <t>Pendidikan Bahasa dan Sastra Indonesia</t>
  </si>
  <si>
    <t>Pendidikan Bahasa Inggris</t>
  </si>
  <si>
    <t>Persentase Perubahan Peminat (2022-2023)</t>
  </si>
  <si>
    <t>Pendidikan Biologi</t>
  </si>
  <si>
    <t>Pendidikan Biologi (Kampus Gayo Lues)</t>
  </si>
  <si>
    <t>3.070.000 s/d 5.180.000</t>
  </si>
  <si>
    <t>5.190.000 s/d 7.180.000</t>
  </si>
  <si>
    <t>7.190.000 s/d 8.450.000</t>
  </si>
  <si>
    <t>Pendidikan Ekonomi</t>
  </si>
  <si>
    <t>3.470.000 s/d 5.850.000</t>
  </si>
  <si>
    <t>5.860.000 s/d 8.320.000</t>
  </si>
  <si>
    <t>8.130.000 s/d 9.550.000</t>
  </si>
  <si>
    <t>Pendidikan Fisika</t>
  </si>
  <si>
    <t>5.860.000 s/d 8.120.000</t>
  </si>
  <si>
    <t>Pendidikan Geografi</t>
  </si>
  <si>
    <t>4.440.000 s/d 7.490.000</t>
  </si>
  <si>
    <t>7.500.000 s/d 10.390.000</t>
  </si>
  <si>
    <t>10.400.000 s/d 12.220.000</t>
  </si>
  <si>
    <t>Pendidikan Guru PAUD (PG-PAUD)</t>
  </si>
  <si>
    <t>Pendidikan Guru Sekolah Dasar (PGSD)</t>
  </si>
  <si>
    <t>4.170.000 ₴/d</t>
  </si>
  <si>
    <t>7.030.000 s/d 9.750.000</t>
  </si>
  <si>
    <t>Pendidikan Jasmani Kesehatan &amp; Rekreasi</t>
  </si>
  <si>
    <t>9.740.000 s/d 11.460.000</t>
  </si>
  <si>
    <t>1.010.000 s/d 1.380.000</t>
  </si>
  <si>
    <t>1.390.000 s/d 3.060.000</t>
  </si>
  <si>
    <t>Pendidikan Kesejahteraan Keluarga</t>
  </si>
  <si>
    <t>3.790.000 s/d 6.390.000</t>
  </si>
  <si>
    <t>6.400.000 s/d 8.870.000</t>
  </si>
  <si>
    <t>8.880.000 s/d 10.430.000</t>
  </si>
  <si>
    <t>Pendidikan Kimia</t>
  </si>
  <si>
    <t>1.010.000 s/d 1.470.000</t>
  </si>
  <si>
    <t>1.480.000 s/d 3.460.000</t>
  </si>
  <si>
    <t>Pendidikan Matematika</t>
  </si>
  <si>
    <t>Persentase Perubahan Peminat (2023-2024)</t>
  </si>
  <si>
    <t>3.570.000 s/d 4.500.000</t>
  </si>
  <si>
    <t>Pendidikan Pancasila dan Kewarganegaraan</t>
  </si>
  <si>
    <t>1.680.000 s/d 4.430.000</t>
  </si>
  <si>
    <t>Pendidikan Sejarah</t>
  </si>
  <si>
    <t>3.070.000 B/d</t>
  </si>
  <si>
    <t>Pendidikan Seni Drama, Tari dan Musik</t>
  </si>
  <si>
    <t>Fakultas Kedokteran</t>
  </si>
  <si>
    <t>Pendidikan Dokter</t>
  </si>
  <si>
    <t>Psikologi</t>
  </si>
  <si>
    <t>1.010.000 s/d 1.530.000</t>
  </si>
  <si>
    <t>Fakultas MIPA</t>
  </si>
  <si>
    <t>1.540.000 s/d 3.780.000</t>
  </si>
  <si>
    <t>9.200.000 s/d 15.520.000</t>
  </si>
  <si>
    <t>15.530.000 s/d 21.540.000</t>
  </si>
  <si>
    <t>21.550.000 s/d 25.340.000</t>
  </si>
  <si>
    <t>Farmasi</t>
  </si>
  <si>
    <t>Fisika</t>
  </si>
  <si>
    <t>Kimia</t>
  </si>
  <si>
    <t>Total Daftar Ulang</t>
  </si>
  <si>
    <t>Matematika</t>
  </si>
  <si>
    <t>Daftar Lulus Awal</t>
  </si>
  <si>
    <t>Statistika</t>
  </si>
  <si>
    <t>Informatika</t>
  </si>
  <si>
    <t>Fakultas Ilmu Sosial dan Ilmu Politik</t>
  </si>
  <si>
    <t>Ilmu Komunikasi</t>
  </si>
  <si>
    <t>Ilmu Pemerintahan</t>
  </si>
  <si>
    <t>Persentase Perubahan Peminat (2024-2025)</t>
  </si>
  <si>
    <t>Ilmu Politik</t>
  </si>
  <si>
    <t>4.010.000 s/d 6.750.000</t>
  </si>
  <si>
    <t>6.760.000 s/d 9.370.000</t>
  </si>
  <si>
    <t>9.380.000 s/d 11.020.000</t>
  </si>
  <si>
    <t>Sosiologi</t>
  </si>
  <si>
    <t>1.010.000 s/d 2.650.000</t>
  </si>
  <si>
    <t>2.660.000 s/d 9.190.000</t>
  </si>
  <si>
    <t>4.380.000 s/d 7.380.000</t>
  </si>
  <si>
    <t>7.390.000 s/d 10.240.000</t>
  </si>
  <si>
    <t>10.250.000 s/d 12.040.000</t>
  </si>
  <si>
    <t>Fakultas Kelautan dan Perikanan</t>
  </si>
  <si>
    <t>Budi Daya Perairan</t>
  </si>
  <si>
    <t>Ilmu Kelautan</t>
  </si>
  <si>
    <t>4.800.000 s/d 8.100.000</t>
  </si>
  <si>
    <t>8.110 s/d 11.240.000</t>
  </si>
  <si>
    <t>11.250.000 s/d 13.220.000</t>
  </si>
  <si>
    <t>Pemanfaatan Sumberdaya Perikanan</t>
  </si>
  <si>
    <t>Fakultas Keperawatan</t>
  </si>
  <si>
    <t>Fakultas Kedokteran Gigi</t>
  </si>
  <si>
    <t>Pendidikan Dokter Gigi</t>
  </si>
  <si>
    <t>Total Lulus Awal</t>
  </si>
  <si>
    <t>Perubahan Persentase Peminat (2025-2026)</t>
  </si>
  <si>
    <t>Angkatan</t>
  </si>
  <si>
    <t>Biaya Pendidikan per Semester (Rp)</t>
  </si>
  <si>
    <t>Biaya Pendidikan per Tahun (Rp)</t>
  </si>
  <si>
    <t>SNMPTN</t>
  </si>
  <si>
    <t>D3</t>
  </si>
  <si>
    <t>1.590.000 s/d 4.000.000</t>
  </si>
  <si>
    <t>Reguler</t>
  </si>
  <si>
    <t>2022</t>
  </si>
  <si>
    <t>1.010.000 s/d 1.650.000</t>
  </si>
  <si>
    <t>1.660.000 s/d 4.370.000</t>
  </si>
  <si>
    <t>Manajemen Pemasaran</t>
  </si>
  <si>
    <t>SBMPTN</t>
  </si>
  <si>
    <t>Perpajakan</t>
  </si>
  <si>
    <t>SMMPTN</t>
  </si>
  <si>
    <t>Manajemen Perusahaan</t>
  </si>
  <si>
    <t>1.010.000 s/d 1.740.000</t>
  </si>
  <si>
    <t>1.750.000 s/d 4.790.000</t>
  </si>
  <si>
    <t>8.110.000 s/d 11.240.000</t>
  </si>
  <si>
    <t>Keuangan dan Perbankan</t>
  </si>
  <si>
    <t>Sekretari</t>
  </si>
  <si>
    <t>SNBP</t>
  </si>
  <si>
    <t>Manajemen Informatika</t>
  </si>
  <si>
    <t>Teknik Elektronika</t>
  </si>
  <si>
    <t>SNBT</t>
  </si>
  <si>
    <t>Teknik Listrik</t>
  </si>
  <si>
    <t>Manajemen Agribisnis</t>
  </si>
  <si>
    <t>Budidaya Peternakan</t>
  </si>
  <si>
    <t>CADANGAN</t>
  </si>
  <si>
    <t>Kesehatan Hewan</t>
  </si>
  <si>
    <t>SELEKSI MANDIRI CADANGAN</t>
  </si>
  <si>
    <t>Peminat</t>
  </si>
  <si>
    <t>Daya Tampung</t>
  </si>
  <si>
    <t>Sisa Kuota</t>
  </si>
  <si>
    <t>Mandiri</t>
  </si>
  <si>
    <t>0210101</t>
  </si>
  <si>
    <t>PENDIDIKAN DOKTER HEWAN</t>
  </si>
  <si>
    <t>0410101</t>
  </si>
  <si>
    <t>TEKNIK SIPIL</t>
  </si>
  <si>
    <t>0410201</t>
  </si>
  <si>
    <t>TEKNIK MESIN</t>
  </si>
  <si>
    <t>0410301</t>
  </si>
  <si>
    <t>TEKNIK KIMIA</t>
  </si>
  <si>
    <t>UKT Kelompok VII (Rp)</t>
  </si>
  <si>
    <t>UKT Kelompok VIII (Rp)</t>
  </si>
  <si>
    <t>Ekonomi dan Bisnis</t>
  </si>
  <si>
    <t>Akuntansi Perpajakan</t>
  </si>
  <si>
    <t>D4</t>
  </si>
  <si>
    <t>Kedokteran Hewan</t>
  </si>
  <si>
    <t>Pendidikan Kedokteran Hewan</t>
  </si>
  <si>
    <t>Hukum</t>
  </si>
  <si>
    <t>Teknik</t>
  </si>
  <si>
    <t>0410401</t>
  </si>
  <si>
    <t>ARSITEKTUR</t>
  </si>
  <si>
    <t>Pertanian</t>
  </si>
  <si>
    <t>0410501</t>
  </si>
  <si>
    <t>TEKNIK ELEKTRO</t>
  </si>
  <si>
    <t>Keguruan dan Ilmu Pendidikan</t>
  </si>
  <si>
    <t>Pendidikan Bahasa Indonesia</t>
  </si>
  <si>
    <t>0510105</t>
  </si>
  <si>
    <t>AGROTEKNOLOGI</t>
  </si>
  <si>
    <t>Pendidikan Jasmani, Kesehatan dan Rekreasi</t>
  </si>
  <si>
    <t>Pendidikan Guru Sekolah Dasar</t>
  </si>
  <si>
    <t>PG PAUD</t>
  </si>
  <si>
    <t>Kedokteran</t>
  </si>
  <si>
    <t>Matematika dan Ilmu Pengetahuan Alam</t>
  </si>
  <si>
    <t>0510201</t>
  </si>
  <si>
    <t>AGRIBISNIS</t>
  </si>
  <si>
    <t>Ilmu Sosial dan Ilmu Politik</t>
  </si>
  <si>
    <t>Ekonomi Dan Bisnis</t>
  </si>
  <si>
    <t>2023</t>
  </si>
  <si>
    <t>Kelautan dan Perikanan</t>
  </si>
  <si>
    <t>Keuangandan Perbankan</t>
  </si>
  <si>
    <t>Budidaya Perairan</t>
  </si>
  <si>
    <t>Sekretaris</t>
  </si>
  <si>
    <t>Matematika Dan Ilmu Pengetahuan Alam</t>
  </si>
  <si>
    <t>Keperawatan</t>
  </si>
  <si>
    <t>Kedokteran Gigi</t>
  </si>
  <si>
    <t>0510401</t>
  </si>
  <si>
    <t>PETERNAKAN</t>
  </si>
  <si>
    <t>0510501</t>
  </si>
  <si>
    <t>TEKNOLOGI HASIL PERTANIAN</t>
  </si>
  <si>
    <t>0510601</t>
  </si>
  <si>
    <t>TEKNIK PERTANIAN</t>
  </si>
  <si>
    <t>-</t>
  </si>
  <si>
    <t>Keuangan Dan Perbankan</t>
  </si>
  <si>
    <t>0610301</t>
  </si>
  <si>
    <t>PENDIDIKAN BIOLOGI</t>
  </si>
  <si>
    <t>Arsitektut</t>
  </si>
  <si>
    <t>0.000</t>
  </si>
  <si>
    <t>Ekonomi Ialam</t>
  </si>
  <si>
    <t>Narmas!</t>
  </si>
  <si>
    <t>Fieika</t>
  </si>
  <si>
    <t>Ilmu Kelautan Xmu nukt m</t>
  </si>
  <si>
    <t>nimo Kooer?warah</t>
  </si>
  <si>
    <t>Ximt Komuntkasi</t>
  </si>
  <si>
    <t>Ilmu Politik: int remenuianan</t>
  </si>
  <si>
    <t>Kimia vendtdlkanDokter dlewan</t>
  </si>
  <si>
    <t>0610302</t>
  </si>
  <si>
    <t>PENDIDIKAN MATEMATIKA</t>
  </si>
  <si>
    <t>Perikanan Pemanfaatan Sumberdaya</t>
  </si>
  <si>
    <t>Pendidikan Dokter rendiaikan blolog1</t>
  </si>
  <si>
    <t>Manejemen Perusahaan</t>
  </si>
  <si>
    <t>rendlanken vconorn</t>
  </si>
  <si>
    <t>renaialkan Misike</t>
  </si>
  <si>
    <t>Pendidikan Cleografi</t>
  </si>
  <si>
    <t>Anak Usia Dini Pendidikan Guru pendiclikan</t>
  </si>
  <si>
    <t>Perasaran</t>
  </si>
  <si>
    <t>dan Rekreasi Pendidikan Jasmani Kesehatan</t>
  </si>
  <si>
    <t>Keluarga Pendidikan Kesejahterean</t>
  </si>
  <si>
    <t>Pendidikan Kewarganegaraan</t>
  </si>
  <si>
    <t>Manejemen Informatika</t>
  </si>
  <si>
    <t>0610303</t>
  </si>
  <si>
    <t>PENDIDIKAN FISIKA</t>
  </si>
  <si>
    <t>Musik Pendidikan Seni Drama, Tari dan</t>
  </si>
  <si>
    <t>Pslkologi</t>
  </si>
  <si>
    <t>sosiolog</t>
  </si>
  <si>
    <t>nusakA</t>
  </si>
  <si>
    <t>leknik blektro</t>
  </si>
  <si>
    <t>"eknk meusir</t>
  </si>
  <si>
    <t>ekaolos tesi rercanian</t>
  </si>
  <si>
    <t>Kenorenan</t>
  </si>
  <si>
    <t>Trorcksi enanner</t>
  </si>
  <si>
    <t>0610304</t>
  </si>
  <si>
    <t>PENDIDIKAN KIMIA</t>
  </si>
  <si>
    <t>Manajemen Kab.Oayo Lues</t>
  </si>
  <si>
    <t>BKT per Tahun (Rp)</t>
  </si>
  <si>
    <t>Tarif IPI Kelompok 1 (Rp)</t>
  </si>
  <si>
    <t>Lues Pendidikan Biologi Kab. Gayo</t>
  </si>
  <si>
    <t>Tarif IPI Kelompok 2 (Rp)</t>
  </si>
  <si>
    <t>Tarif IPI Kelompok 3 (Rp)</t>
  </si>
  <si>
    <t>Tarif IPI Kelompok 4 (Rp)</t>
  </si>
  <si>
    <t>Kehutanan Kab. Gayo Lucs</t>
  </si>
  <si>
    <t>Agroteknologi Kab. Gayo Lues</t>
  </si>
  <si>
    <t>Manajemen Kab. Gayo Lues</t>
  </si>
  <si>
    <t>$1</t>
  </si>
  <si>
    <t>0710101</t>
  </si>
  <si>
    <t>PENDIDIKAN DOKTER</t>
  </si>
  <si>
    <t>Tehnologi Hasil Pertanian</t>
  </si>
  <si>
    <t>Kehutanan Kab. Gayo Lues</t>
  </si>
  <si>
    <t>Pendidikan Jasmani, Kesehatan, dan Rekreasi</t>
  </si>
  <si>
    <t>Pendidikan Guru Pendidikan Anak Usia Dini</t>
  </si>
  <si>
    <t>Pendidikan Seni, Drama, Tari, dan Musik</t>
  </si>
  <si>
    <t>UKT Kelompok 1 (Rp)</t>
  </si>
  <si>
    <t>UKT Kelompok 2 (Rp)</t>
  </si>
  <si>
    <t>UKT Kelompok 3 (Rp)</t>
  </si>
  <si>
    <t>UKT Kelompok 4 (Rp)</t>
  </si>
  <si>
    <t>UKT Kelompok 5 (Rp)</t>
  </si>
  <si>
    <t>UKT Kelompok 6 (Rp)</t>
  </si>
  <si>
    <t>UKT Kelompok 7 (Rp)</t>
  </si>
  <si>
    <t>UKT Kelompok 8 (Rp)</t>
  </si>
  <si>
    <t>Pendidikan Biologi Kab. Gayo Lues</t>
  </si>
  <si>
    <t>1210101</t>
  </si>
  <si>
    <t>ILMU KEPERAWATAN</t>
  </si>
  <si>
    <t>1310101</t>
  </si>
  <si>
    <t>PENDIDIKAN DOKTER GIGI</t>
  </si>
  <si>
    <t>Manajemen Agribianis</t>
  </si>
  <si>
    <t>Pendidikan Guru pendidikan Anak Usia Dini</t>
  </si>
  <si>
    <t>Pendidikan Jasmani Kesehatan dan Rekreasi</t>
  </si>
  <si>
    <t>0810101</t>
  </si>
  <si>
    <t>MATEMATIKA</t>
  </si>
  <si>
    <t>Manajemen Kab.Gayo Lues</t>
  </si>
  <si>
    <t>0810201</t>
  </si>
  <si>
    <t>FISIKA</t>
  </si>
  <si>
    <t>Teknik Lingkungan</t>
  </si>
  <si>
    <t>Teknik Sumber Daya Air</t>
  </si>
  <si>
    <t>Teknik Perminyakan</t>
  </si>
  <si>
    <t>Bisnis Digital</t>
  </si>
  <si>
    <t>Teknologi Industri Hasil Perikanan</t>
  </si>
  <si>
    <t>0810301</t>
  </si>
  <si>
    <t>KIMIA</t>
  </si>
  <si>
    <t>0810401</t>
  </si>
  <si>
    <t>BIOLOGI</t>
  </si>
  <si>
    <t>Pendidikan Biologi Kab.Gayo Lues</t>
  </si>
  <si>
    <t>1110101</t>
  </si>
  <si>
    <t>ILMU KELAUTAN</t>
  </si>
  <si>
    <t>1110201</t>
  </si>
  <si>
    <t>BUDIDAYA PERAIRAN</t>
  </si>
  <si>
    <t>0410601</t>
  </si>
  <si>
    <t>TEKNIK INDUSTRI</t>
  </si>
  <si>
    <t>0810701</t>
  </si>
  <si>
    <t>INFORMATIKA</t>
  </si>
  <si>
    <t>0810901</t>
  </si>
  <si>
    <t>FARMASI</t>
  </si>
  <si>
    <t>0410701</t>
  </si>
  <si>
    <t>TEKNIK GEOFISIKA</t>
  </si>
  <si>
    <t>0410801</t>
  </si>
  <si>
    <t>TEKNIK PERTAMBANGAN</t>
  </si>
  <si>
    <t>0810801</t>
  </si>
  <si>
    <t>STATISTIKA</t>
  </si>
  <si>
    <t>1110301</t>
  </si>
  <si>
    <t>PEMANFAATAN SUMBERDAYA PERIKANAN</t>
  </si>
  <si>
    <t>0510801</t>
  </si>
  <si>
    <t>ILMU TANAH</t>
  </si>
  <si>
    <t>0410901</t>
  </si>
  <si>
    <t>TEKNIK GEOLOGI</t>
  </si>
  <si>
    <t>0515001</t>
  </si>
  <si>
    <t>AGROTEKNOLOGI (PDD GAYO LUES)</t>
  </si>
  <si>
    <t>0615001</t>
  </si>
  <si>
    <t>PENDIDIKAN BIOLOGI  (PDD GAYO LUES)</t>
  </si>
  <si>
    <t>0515002</t>
  </si>
  <si>
    <t>KEHUTANAN (PDD GAYO LUES)</t>
  </si>
  <si>
    <t>0510901</t>
  </si>
  <si>
    <t>PROTEKSI TANAMAN</t>
  </si>
  <si>
    <t>0411001</t>
  </si>
  <si>
    <t>PERENCANAAN WILAYAH DAN KOTA</t>
  </si>
  <si>
    <t>0511001</t>
  </si>
  <si>
    <t>KEHUTANAN</t>
  </si>
  <si>
    <t>0411101</t>
  </si>
  <si>
    <t>TEKNIK KOMPUTER</t>
  </si>
  <si>
    <t>0110101</t>
  </si>
  <si>
    <t>EKONOMI PEMBANGUNAN</t>
  </si>
  <si>
    <t>0110201</t>
  </si>
  <si>
    <t>MANAJEMEN</t>
  </si>
  <si>
    <t>0110301</t>
  </si>
  <si>
    <t>AKUNTANSI</t>
  </si>
  <si>
    <t>0310101</t>
  </si>
  <si>
    <t>ILMU HUKUM</t>
  </si>
  <si>
    <t>0610101</t>
  </si>
  <si>
    <t>PENDIDIKAN PANCASILA DAN KEWARGANEGARAAN</t>
  </si>
  <si>
    <t>0610102</t>
  </si>
  <si>
    <t>PENDIDIKAN SEJARAH</t>
  </si>
  <si>
    <t>0610103</t>
  </si>
  <si>
    <t>PENDIDIKAN EKONOMI</t>
  </si>
  <si>
    <t>0610104</t>
  </si>
  <si>
    <t>PENDIDIKAN GEOGRAFI</t>
  </si>
  <si>
    <t>0610201</t>
  </si>
  <si>
    <t>PENDIDIKAN BAHASA INDONESIA</t>
  </si>
  <si>
    <t>0610202</t>
  </si>
  <si>
    <t>PENDIDIKAN BAHASA INGGRIS</t>
  </si>
  <si>
    <t>0610203</t>
  </si>
  <si>
    <t>PENDIDIKAN SENI DRAMA TARI DAN MUSIK</t>
  </si>
  <si>
    <t>0610401</t>
  </si>
  <si>
    <t>PENDIDIKAN KESEJAHTERAAN KELUARGA</t>
  </si>
  <si>
    <t>0610402</t>
  </si>
  <si>
    <t>PENDIDIKAN JASMANI KESEHATAN DAN REKREASI</t>
  </si>
  <si>
    <t>0610403</t>
  </si>
  <si>
    <t>BIMBINGAN KONSELING</t>
  </si>
  <si>
    <t>0610404</t>
  </si>
  <si>
    <t>PENDIDIKAN GURU SEKOLAH DASAR</t>
  </si>
  <si>
    <t>0710113</t>
  </si>
  <si>
    <t>PSIKOLOGI</t>
  </si>
  <si>
    <t>1010301</t>
  </si>
  <si>
    <t>ILMU POLITIK</t>
  </si>
  <si>
    <t>1010101</t>
  </si>
  <si>
    <t>SOSIOLOGI</t>
  </si>
  <si>
    <t>1010201</t>
  </si>
  <si>
    <t>ILMU KOMUNIKASI</t>
  </si>
  <si>
    <t>0610421</t>
  </si>
  <si>
    <t>PENDIDIKAN GURU PAUD</t>
  </si>
  <si>
    <t>1010401</t>
  </si>
  <si>
    <t>ILMU PEMERINTAHAN</t>
  </si>
  <si>
    <t>0110401</t>
  </si>
  <si>
    <t>EKONOMI ISLAM</t>
  </si>
  <si>
    <t>0115001</t>
  </si>
  <si>
    <t>MANAJEMEN (PDD GAYO LUES)</t>
  </si>
  <si>
    <t>0170301</t>
  </si>
  <si>
    <t>AKUNTANSI PERPAJAKAN</t>
  </si>
  <si>
    <t>0200101</t>
  </si>
  <si>
    <t>KESEHATAN HEWAN</t>
  </si>
  <si>
    <t>0500201</t>
  </si>
  <si>
    <t>MANAJEMEN AGRIBISNIS</t>
  </si>
  <si>
    <t>0400501</t>
  </si>
  <si>
    <t>TEKNIK LISTRIK</t>
  </si>
  <si>
    <t>0500401</t>
  </si>
  <si>
    <t>BUDIDAYA PETERNAKAN</t>
  </si>
  <si>
    <t>0400201</t>
  </si>
  <si>
    <t>0400101</t>
  </si>
  <si>
    <t>0100202</t>
  </si>
  <si>
    <t>SEKRETARI</t>
  </si>
  <si>
    <t>0100101</t>
  </si>
  <si>
    <t>MANAJEMEN PERUSAHAAN</t>
  </si>
  <si>
    <t>0100301</t>
  </si>
  <si>
    <t>0100203</t>
  </si>
  <si>
    <t>KEUANGAN DAN PERBANKAN</t>
  </si>
  <si>
    <t>0800701</t>
  </si>
  <si>
    <t>MANAJEMEN INFORMATIKA</t>
  </si>
  <si>
    <t>1110401</t>
  </si>
  <si>
    <t>TEKNOLOGI INDUSTRI HASIL PERIKANAN</t>
  </si>
  <si>
    <t>0411401</t>
  </si>
  <si>
    <t>TEKNIK LINGKUNGAN</t>
  </si>
  <si>
    <t>0411501</t>
  </si>
  <si>
    <t>TEKNIK SUMBER DAYA AIR</t>
  </si>
  <si>
    <t>0110501</t>
  </si>
  <si>
    <t>BISNIS DIGITAL</t>
  </si>
  <si>
    <t>TEKNIK PERMINYAKAN</t>
  </si>
  <si>
    <t>HUBUNGAN INTERNASIONAL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</si>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</sst>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rial"/>
      <scheme val="minor"/>
    </font>
    <font>
      <b/>
      <sz val="11"/>
      <color rgb="FFFFFFFF"/>
      <name val="Calibri"/>
      <family val="2"/>
    </font>
    <font>
      <sz val="11"/>
      <color theme="1"/>
      <name val="Arial"/>
      <family val="2"/>
      <scheme val="minor"/>
    </font>
    <font>
      <sz val="10"/>
      <color theme="1"/>
      <name val="Calibri"/>
      <family val="2"/>
    </font>
    <font>
      <sz val="11"/>
      <color rgb="FF0F172A"/>
      <name val="&quot;Segoe UI&quot;"/>
    </font>
    <font>
      <b/>
      <sz val="10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&quot;Arial Narrow&quot;"/>
    </font>
    <font>
      <sz val="11"/>
      <color theme="1"/>
      <name val="&quot;Arial Narrow&quot;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104E8B"/>
        <bgColor rgb="FF104E8B"/>
      </patternFill>
    </fill>
    <fill>
      <patternFill patternType="solid">
        <fgColor rgb="FF1B365D"/>
        <bgColor rgb="FF1B365D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F8FAFC"/>
        <bgColor rgb="FFF8FAFC"/>
      </patternFill>
    </fill>
    <fill>
      <patternFill patternType="solid">
        <fgColor rgb="FFF4F8FA"/>
        <bgColor rgb="FFF4F8FA"/>
      </patternFill>
    </fill>
    <fill>
      <patternFill patternType="solid">
        <fgColor rgb="FFDAEEF3"/>
        <bgColor rgb="FFDAEEF3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D9E2F3"/>
        <bgColor rgb="FFD9E2F3"/>
      </patternFill>
    </fill>
    <fill>
      <patternFill patternType="solid">
        <fgColor rgb="FFFFF2CC"/>
        <bgColor rgb="FFFFF2CC"/>
      </patternFill>
    </fill>
    <fill>
      <patternFill patternType="solid">
        <fgColor rgb="FF1874CD"/>
        <bgColor rgb="FF1874CD"/>
      </patternFill>
    </fill>
    <fill>
      <patternFill patternType="solid">
        <fgColor rgb="FF1C86EE"/>
        <bgColor rgb="FF1C86EE"/>
      </patternFill>
    </fill>
    <fill>
      <patternFill patternType="solid">
        <fgColor rgb="FFC4C7E9"/>
        <bgColor rgb="FFC4C7E9"/>
      </patternFill>
    </fill>
    <fill>
      <patternFill patternType="solid">
        <fgColor rgb="FFFEF2CB"/>
        <bgColor rgb="FFFEF2CB"/>
      </patternFill>
    </fill>
    <fill>
      <patternFill patternType="solid">
        <fgColor rgb="FF00688B"/>
        <bgColor rgb="FF00688B"/>
      </patternFill>
    </fill>
    <fill>
      <patternFill patternType="solid">
        <fgColor rgb="FF00868B"/>
        <bgColor rgb="FF00868B"/>
      </patternFill>
    </fill>
    <fill>
      <patternFill patternType="solid">
        <fgColor rgb="FFC3C7E9"/>
        <bgColor rgb="FFC3C7E9"/>
      </patternFill>
    </fill>
    <fill>
      <patternFill patternType="solid">
        <fgColor rgb="FFFEF3CB"/>
        <bgColor rgb="FFFEF3CB"/>
      </patternFill>
    </fill>
    <fill>
      <patternFill patternType="solid">
        <fgColor rgb="FF008B8B"/>
        <bgColor rgb="FF008B8B"/>
      </patternFill>
    </fill>
    <fill>
      <patternFill patternType="solid">
        <fgColor rgb="FF2E8B57"/>
        <bgColor rgb="FF2E8B57"/>
      </patternFill>
    </fill>
    <fill>
      <patternFill patternType="solid">
        <fgColor theme="5"/>
        <bgColor theme="5"/>
      </patternFill>
    </fill>
    <fill>
      <patternFill patternType="solid">
        <fgColor rgb="FF1E3F66"/>
        <bgColor rgb="FF1E3F66"/>
      </patternFill>
    </fill>
    <fill>
      <patternFill patternType="solid">
        <fgColor rgb="FF2E5984"/>
        <bgColor rgb="FF2E5984"/>
      </patternFill>
    </fill>
    <fill>
      <patternFill patternType="solid">
        <fgColor rgb="FF52796F"/>
        <bgColor rgb="FF52796F"/>
      </patternFill>
    </fill>
    <fill>
      <patternFill patternType="solid">
        <fgColor rgb="FF004E7C"/>
        <bgColor rgb="FF004E7C"/>
      </patternFill>
    </fill>
    <fill>
      <patternFill patternType="solid">
        <fgColor rgb="FF007791"/>
        <bgColor rgb="FF007791"/>
      </patternFill>
    </fill>
    <fill>
      <patternFill patternType="solid">
        <fgColor rgb="FF3D7E9A"/>
        <bgColor rgb="FF3D7E9A"/>
      </patternFill>
    </fill>
    <fill>
      <patternFill patternType="solid">
        <fgColor rgb="FFCFE2F3"/>
        <bgColor rgb="FFCFE2F3"/>
      </patternFill>
    </fill>
    <fill>
      <patternFill patternType="solid">
        <fgColor rgb="FFFFCCFF"/>
        <bgColor rgb="FFFFCCFF"/>
      </patternFill>
    </fill>
    <fill>
      <patternFill patternType="solid">
        <fgColor rgb="FF92D050"/>
        <bgColor rgb="FF92D050"/>
      </patternFill>
    </fill>
  </fills>
  <borders count="5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1" fillId="3" borderId="2" xfId="0" applyFont="1" applyFill="1" applyBorder="1" applyAlignment="1">
      <alignment horizontal="center" vertical="center" wrapText="1"/>
    </xf>
    <xf numFmtId="3" fontId="3" fillId="4" borderId="3" xfId="0" applyNumberFormat="1" applyFont="1" applyFill="1" applyBorder="1" applyAlignment="1">
      <alignment horizontal="right" vertical="center"/>
    </xf>
    <xf numFmtId="0" fontId="3" fillId="4" borderId="3" xfId="0" applyFont="1" applyFill="1" applyBorder="1" applyAlignment="1">
      <alignment horizontal="left" vertical="center"/>
    </xf>
    <xf numFmtId="0" fontId="4" fillId="5" borderId="4" xfId="0" applyFont="1" applyFill="1" applyBorder="1" applyAlignment="1">
      <alignment horizontal="right"/>
    </xf>
    <xf numFmtId="0" fontId="3" fillId="4" borderId="3" xfId="0" applyFont="1" applyFill="1" applyBorder="1" applyAlignment="1">
      <alignment horizontal="center" vertical="center"/>
    </xf>
    <xf numFmtId="2" fontId="2" fillId="0" borderId="0" xfId="0" applyNumberFormat="1" applyFont="1"/>
    <xf numFmtId="0" fontId="4" fillId="6" borderId="4" xfId="0" applyFont="1" applyFill="1" applyBorder="1" applyAlignment="1">
      <alignment horizontal="right"/>
    </xf>
    <xf numFmtId="3" fontId="3" fillId="0" borderId="3" xfId="0" applyNumberFormat="1" applyFont="1" applyBorder="1" applyAlignment="1">
      <alignment horizontal="right" vertical="center"/>
    </xf>
    <xf numFmtId="3" fontId="3" fillId="7" borderId="3" xfId="0" applyNumberFormat="1" applyFont="1" applyFill="1" applyBorder="1" applyAlignment="1">
      <alignment horizontal="right" vertical="center"/>
    </xf>
    <xf numFmtId="0" fontId="3" fillId="0" borderId="3" xfId="0" applyFont="1" applyBorder="1" applyAlignment="1">
      <alignment horizontal="left" vertical="center"/>
    </xf>
    <xf numFmtId="0" fontId="3" fillId="7" borderId="3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4" fillId="5" borderId="0" xfId="0" applyFont="1" applyFill="1" applyAlignment="1">
      <alignment horizontal="right"/>
    </xf>
    <xf numFmtId="0" fontId="1" fillId="13" borderId="1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/>
    </xf>
    <xf numFmtId="0" fontId="5" fillId="8" borderId="18" xfId="0" applyFont="1" applyFill="1" applyBorder="1" applyAlignment="1">
      <alignment horizontal="center" vertical="center" wrapText="1"/>
    </xf>
    <xf numFmtId="0" fontId="5" fillId="12" borderId="18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center" vertical="center" wrapText="1"/>
    </xf>
    <xf numFmtId="0" fontId="5" fillId="12" borderId="2" xfId="0" applyFont="1" applyFill="1" applyBorder="1" applyAlignment="1">
      <alignment horizontal="center" vertical="center" wrapText="1"/>
    </xf>
    <xf numFmtId="0" fontId="8" fillId="0" borderId="2" xfId="0" applyFont="1" applyBorder="1"/>
    <xf numFmtId="0" fontId="8" fillId="0" borderId="18" xfId="0" applyFont="1" applyBorder="1"/>
    <xf numFmtId="0" fontId="9" fillId="0" borderId="29" xfId="0" applyFont="1" applyBorder="1" applyAlignment="1">
      <alignment horizontal="right"/>
    </xf>
    <xf numFmtId="2" fontId="8" fillId="0" borderId="30" xfId="0" applyNumberFormat="1" applyFont="1" applyBorder="1"/>
    <xf numFmtId="0" fontId="10" fillId="0" borderId="24" xfId="0" applyFont="1" applyBorder="1" applyAlignment="1">
      <alignment horizontal="center"/>
    </xf>
    <xf numFmtId="0" fontId="11" fillId="0" borderId="24" xfId="0" applyFont="1" applyBorder="1" applyAlignment="1">
      <alignment horizontal="center"/>
    </xf>
    <xf numFmtId="0" fontId="8" fillId="0" borderId="20" xfId="0" applyFont="1" applyBorder="1"/>
    <xf numFmtId="2" fontId="8" fillId="0" borderId="19" xfId="0" applyNumberFormat="1" applyFont="1" applyBorder="1"/>
    <xf numFmtId="0" fontId="9" fillId="0" borderId="2" xfId="0" applyFont="1" applyBorder="1" applyAlignment="1">
      <alignment horizontal="right"/>
    </xf>
    <xf numFmtId="0" fontId="8" fillId="0" borderId="19" xfId="0" applyFont="1" applyBorder="1"/>
    <xf numFmtId="2" fontId="9" fillId="0" borderId="19" xfId="0" applyNumberFormat="1" applyFont="1" applyBorder="1" applyAlignment="1">
      <alignment horizontal="right"/>
    </xf>
    <xf numFmtId="2" fontId="9" fillId="0" borderId="30" xfId="0" applyNumberFormat="1" applyFont="1" applyBorder="1" applyAlignment="1">
      <alignment horizontal="right"/>
    </xf>
    <xf numFmtId="2" fontId="9" fillId="0" borderId="18" xfId="0" applyNumberFormat="1" applyFont="1" applyBorder="1" applyAlignment="1">
      <alignment horizontal="right"/>
    </xf>
    <xf numFmtId="1" fontId="12" fillId="15" borderId="27" xfId="0" applyNumberFormat="1" applyFont="1" applyFill="1" applyBorder="1" applyAlignment="1">
      <alignment horizontal="center"/>
    </xf>
    <xf numFmtId="1" fontId="12" fillId="0" borderId="27" xfId="0" applyNumberFormat="1" applyFont="1" applyBorder="1" applyAlignment="1">
      <alignment horizontal="center"/>
    </xf>
    <xf numFmtId="1" fontId="12" fillId="16" borderId="31" xfId="0" applyNumberFormat="1" applyFont="1" applyFill="1" applyBorder="1" applyAlignment="1">
      <alignment horizontal="center"/>
    </xf>
    <xf numFmtId="1" fontId="12" fillId="0" borderId="2" xfId="0" applyNumberFormat="1" applyFont="1" applyBorder="1" applyAlignment="1">
      <alignment horizontal="center"/>
    </xf>
    <xf numFmtId="1" fontId="8" fillId="0" borderId="2" xfId="0" applyNumberFormat="1" applyFont="1" applyBorder="1"/>
    <xf numFmtId="2" fontId="12" fillId="0" borderId="30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1" fontId="12" fillId="0" borderId="20" xfId="0" applyNumberFormat="1" applyFont="1" applyBorder="1" applyAlignment="1">
      <alignment horizontal="center"/>
    </xf>
    <xf numFmtId="0" fontId="1" fillId="17" borderId="1" xfId="0" applyFont="1" applyFill="1" applyBorder="1" applyAlignment="1">
      <alignment horizontal="center" vertical="center" wrapText="1"/>
    </xf>
    <xf numFmtId="0" fontId="1" fillId="18" borderId="1" xfId="0" applyFont="1" applyFill="1" applyBorder="1" applyAlignment="1">
      <alignment horizontal="center" vertical="center" wrapText="1"/>
    </xf>
    <xf numFmtId="1" fontId="12" fillId="19" borderId="27" xfId="0" applyNumberFormat="1" applyFont="1" applyFill="1" applyBorder="1" applyAlignment="1">
      <alignment horizontal="center"/>
    </xf>
    <xf numFmtId="1" fontId="12" fillId="5" borderId="27" xfId="0" applyNumberFormat="1" applyFont="1" applyFill="1" applyBorder="1" applyAlignment="1">
      <alignment horizontal="center"/>
    </xf>
    <xf numFmtId="1" fontId="12" fillId="20" borderId="31" xfId="0" applyNumberFormat="1" applyFont="1" applyFill="1" applyBorder="1" applyAlignment="1">
      <alignment horizontal="center"/>
    </xf>
    <xf numFmtId="1" fontId="12" fillId="5" borderId="2" xfId="0" applyNumberFormat="1" applyFont="1" applyFill="1" applyBorder="1" applyAlignment="1">
      <alignment horizontal="center"/>
    </xf>
    <xf numFmtId="0" fontId="1" fillId="21" borderId="1" xfId="0" applyFont="1" applyFill="1" applyBorder="1" applyAlignment="1">
      <alignment horizontal="center" vertical="center" wrapText="1"/>
    </xf>
    <xf numFmtId="1" fontId="12" fillId="0" borderId="31" xfId="0" applyNumberFormat="1" applyFont="1" applyBorder="1" applyAlignment="1">
      <alignment horizontal="center"/>
    </xf>
    <xf numFmtId="0" fontId="1" fillId="22" borderId="1" xfId="0" applyFont="1" applyFill="1" applyBorder="1" applyAlignment="1">
      <alignment horizontal="center" vertical="center" wrapText="1"/>
    </xf>
    <xf numFmtId="0" fontId="8" fillId="23" borderId="2" xfId="0" applyFont="1" applyFill="1" applyBorder="1"/>
    <xf numFmtId="0" fontId="8" fillId="23" borderId="18" xfId="0" applyFont="1" applyFill="1" applyBorder="1"/>
    <xf numFmtId="0" fontId="9" fillId="23" borderId="29" xfId="0" applyFont="1" applyFill="1" applyBorder="1" applyAlignment="1">
      <alignment horizontal="right"/>
    </xf>
    <xf numFmtId="2" fontId="8" fillId="23" borderId="30" xfId="0" applyNumberFormat="1" applyFont="1" applyFill="1" applyBorder="1"/>
    <xf numFmtId="0" fontId="10" fillId="23" borderId="24" xfId="0" applyFont="1" applyFill="1" applyBorder="1" applyAlignment="1">
      <alignment horizontal="center"/>
    </xf>
    <xf numFmtId="0" fontId="11" fillId="23" borderId="2" xfId="0" applyFont="1" applyFill="1" applyBorder="1" applyAlignment="1">
      <alignment horizontal="center"/>
    </xf>
    <xf numFmtId="0" fontId="8" fillId="23" borderId="20" xfId="0" applyFont="1" applyFill="1" applyBorder="1"/>
    <xf numFmtId="2" fontId="8" fillId="23" borderId="19" xfId="0" applyNumberFormat="1" applyFont="1" applyFill="1" applyBorder="1"/>
    <xf numFmtId="0" fontId="9" fillId="23" borderId="2" xfId="0" applyFont="1" applyFill="1" applyBorder="1" applyAlignment="1">
      <alignment horizontal="right"/>
    </xf>
    <xf numFmtId="2" fontId="9" fillId="23" borderId="19" xfId="0" applyNumberFormat="1" applyFont="1" applyFill="1" applyBorder="1" applyAlignment="1">
      <alignment horizontal="right"/>
    </xf>
    <xf numFmtId="2" fontId="9" fillId="23" borderId="30" xfId="0" applyNumberFormat="1" applyFont="1" applyFill="1" applyBorder="1" applyAlignment="1">
      <alignment horizontal="right"/>
    </xf>
    <xf numFmtId="0" fontId="1" fillId="24" borderId="1" xfId="0" applyFont="1" applyFill="1" applyBorder="1" applyAlignment="1">
      <alignment horizontal="center" vertical="center" wrapText="1"/>
    </xf>
    <xf numFmtId="2" fontId="9" fillId="23" borderId="18" xfId="0" applyNumberFormat="1" applyFont="1" applyFill="1" applyBorder="1" applyAlignment="1">
      <alignment horizontal="right"/>
    </xf>
    <xf numFmtId="1" fontId="12" fillId="23" borderId="2" xfId="0" applyNumberFormat="1" applyFont="1" applyFill="1" applyBorder="1" applyAlignment="1">
      <alignment horizontal="center"/>
    </xf>
    <xf numFmtId="2" fontId="12" fillId="23" borderId="30" xfId="0" applyNumberFormat="1" applyFont="1" applyFill="1" applyBorder="1" applyAlignment="1">
      <alignment horizontal="center"/>
    </xf>
    <xf numFmtId="0" fontId="1" fillId="25" borderId="1" xfId="0" applyFont="1" applyFill="1" applyBorder="1" applyAlignment="1">
      <alignment horizontal="center" vertical="center" wrapText="1"/>
    </xf>
    <xf numFmtId="0" fontId="1" fillId="26" borderId="1" xfId="0" applyFont="1" applyFill="1" applyBorder="1" applyAlignment="1">
      <alignment horizontal="center" vertical="center" wrapText="1"/>
    </xf>
    <xf numFmtId="0" fontId="1" fillId="27" borderId="1" xfId="0" applyFont="1" applyFill="1" applyBorder="1" applyAlignment="1">
      <alignment horizontal="center" vertical="center" wrapText="1"/>
    </xf>
    <xf numFmtId="0" fontId="1" fillId="28" borderId="1" xfId="0" applyFont="1" applyFill="1" applyBorder="1" applyAlignment="1">
      <alignment horizontal="center" vertical="center" wrapText="1"/>
    </xf>
    <xf numFmtId="0" fontId="1" fillId="29" borderId="1" xfId="0" applyFont="1" applyFill="1" applyBorder="1" applyAlignment="1">
      <alignment horizontal="center" vertical="center" wrapText="1"/>
    </xf>
    <xf numFmtId="1" fontId="12" fillId="5" borderId="20" xfId="0" applyNumberFormat="1" applyFont="1" applyFill="1" applyBorder="1" applyAlignment="1">
      <alignment horizontal="center"/>
    </xf>
    <xf numFmtId="1" fontId="13" fillId="0" borderId="2" xfId="0" applyNumberFormat="1" applyFont="1" applyBorder="1" applyAlignment="1">
      <alignment horizontal="center"/>
    </xf>
    <xf numFmtId="1" fontId="12" fillId="30" borderId="27" xfId="0" applyNumberFormat="1" applyFont="1" applyFill="1" applyBorder="1" applyAlignment="1">
      <alignment horizontal="center"/>
    </xf>
    <xf numFmtId="1" fontId="12" fillId="30" borderId="32" xfId="0" applyNumberFormat="1" applyFont="1" applyFill="1" applyBorder="1" applyAlignment="1">
      <alignment horizontal="center"/>
    </xf>
    <xf numFmtId="1" fontId="12" fillId="30" borderId="31" xfId="0" applyNumberFormat="1" applyFont="1" applyFill="1" applyBorder="1" applyAlignment="1">
      <alignment horizontal="center"/>
    </xf>
    <xf numFmtId="1" fontId="13" fillId="30" borderId="2" xfId="0" applyNumberFormat="1" applyFont="1" applyFill="1" applyBorder="1" applyAlignment="1">
      <alignment horizontal="center"/>
    </xf>
    <xf numFmtId="1" fontId="12" fillId="30" borderId="20" xfId="0" applyNumberFormat="1" applyFont="1" applyFill="1" applyBorder="1" applyAlignment="1">
      <alignment horizontal="center"/>
    </xf>
    <xf numFmtId="1" fontId="12" fillId="31" borderId="0" xfId="0" applyNumberFormat="1" applyFont="1" applyFill="1" applyAlignment="1">
      <alignment horizontal="center"/>
    </xf>
    <xf numFmtId="1" fontId="12" fillId="31" borderId="20" xfId="0" applyNumberFormat="1" applyFont="1" applyFill="1" applyBorder="1" applyAlignment="1">
      <alignment horizontal="center"/>
    </xf>
    <xf numFmtId="1" fontId="12" fillId="31" borderId="2" xfId="0" applyNumberFormat="1" applyFont="1" applyFill="1" applyBorder="1" applyAlignment="1">
      <alignment horizontal="center"/>
    </xf>
    <xf numFmtId="1" fontId="12" fillId="15" borderId="0" xfId="0" applyNumberFormat="1" applyFont="1" applyFill="1" applyAlignment="1">
      <alignment horizontal="center"/>
    </xf>
    <xf numFmtId="1" fontId="12" fillId="0" borderId="24" xfId="0" applyNumberFormat="1" applyFont="1" applyBorder="1" applyAlignment="1">
      <alignment horizontal="center"/>
    </xf>
    <xf numFmtId="1" fontId="12" fillId="32" borderId="27" xfId="0" applyNumberFormat="1" applyFont="1" applyFill="1" applyBorder="1" applyAlignment="1">
      <alignment horizontal="center"/>
    </xf>
    <xf numFmtId="1" fontId="12" fillId="15" borderId="2" xfId="0" applyNumberFormat="1" applyFont="1" applyFill="1" applyBorder="1" applyAlignment="1">
      <alignment horizontal="center"/>
    </xf>
    <xf numFmtId="0" fontId="8" fillId="0" borderId="30" xfId="0" applyFont="1" applyBorder="1"/>
    <xf numFmtId="0" fontId="10" fillId="0" borderId="2" xfId="0" applyFont="1" applyBorder="1" applyAlignment="1">
      <alignment horizontal="center"/>
    </xf>
    <xf numFmtId="0" fontId="10" fillId="0" borderId="16" xfId="0" applyFont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8" fillId="0" borderId="5" xfId="0" applyFont="1" applyBorder="1"/>
    <xf numFmtId="0" fontId="8" fillId="0" borderId="6" xfId="0" applyFont="1" applyBorder="1"/>
    <xf numFmtId="0" fontId="8" fillId="0" borderId="33" xfId="0" applyFont="1" applyBorder="1"/>
    <xf numFmtId="0" fontId="9" fillId="0" borderId="34" xfId="0" applyFont="1" applyBorder="1" applyAlignment="1">
      <alignment horizontal="right"/>
    </xf>
    <xf numFmtId="0" fontId="8" fillId="0" borderId="35" xfId="0" applyFont="1" applyBorder="1"/>
    <xf numFmtId="2" fontId="8" fillId="0" borderId="36" xfId="0" applyNumberFormat="1" applyFont="1" applyBorder="1"/>
    <xf numFmtId="0" fontId="8" fillId="0" borderId="37" xfId="0" applyFont="1" applyBorder="1"/>
    <xf numFmtId="0" fontId="8" fillId="0" borderId="38" xfId="0" applyFont="1" applyBorder="1"/>
    <xf numFmtId="0" fontId="8" fillId="0" borderId="39" xfId="0" applyFont="1" applyBorder="1"/>
    <xf numFmtId="2" fontId="9" fillId="0" borderId="34" xfId="0" applyNumberFormat="1" applyFont="1" applyBorder="1" applyAlignment="1">
      <alignment horizontal="right"/>
    </xf>
    <xf numFmtId="2" fontId="9" fillId="0" borderId="40" xfId="0" applyNumberFormat="1" applyFont="1" applyBorder="1" applyAlignment="1">
      <alignment horizontal="right"/>
    </xf>
    <xf numFmtId="2" fontId="9" fillId="0" borderId="35" xfId="0" applyNumberFormat="1" applyFont="1" applyBorder="1" applyAlignment="1">
      <alignment horizontal="right"/>
    </xf>
    <xf numFmtId="1" fontId="12" fillId="15" borderId="5" xfId="0" applyNumberFormat="1" applyFont="1" applyFill="1" applyBorder="1" applyAlignment="1">
      <alignment horizontal="center"/>
    </xf>
    <xf numFmtId="1" fontId="12" fillId="0" borderId="33" xfId="0" applyNumberFormat="1" applyFont="1" applyBorder="1" applyAlignment="1">
      <alignment horizontal="center"/>
    </xf>
    <xf numFmtId="2" fontId="12" fillId="0" borderId="36" xfId="0" applyNumberFormat="1" applyFont="1" applyBorder="1" applyAlignment="1">
      <alignment horizontal="center"/>
    </xf>
    <xf numFmtId="0" fontId="5" fillId="0" borderId="41" xfId="0" applyFont="1" applyBorder="1"/>
    <xf numFmtId="0" fontId="8" fillId="0" borderId="42" xfId="0" applyFont="1" applyBorder="1"/>
    <xf numFmtId="0" fontId="8" fillId="0" borderId="43" xfId="0" applyFont="1" applyBorder="1"/>
    <xf numFmtId="0" fontId="8" fillId="0" borderId="44" xfId="0" applyFont="1" applyBorder="1"/>
    <xf numFmtId="0" fontId="8" fillId="0" borderId="41" xfId="0" applyFont="1" applyBorder="1"/>
    <xf numFmtId="0" fontId="8" fillId="0" borderId="45" xfId="0" applyFont="1" applyBorder="1"/>
    <xf numFmtId="0" fontId="8" fillId="0" borderId="46" xfId="0" applyFont="1" applyBorder="1"/>
    <xf numFmtId="2" fontId="9" fillId="0" borderId="47" xfId="0" applyNumberFormat="1" applyFont="1" applyBorder="1" applyAlignment="1">
      <alignment horizontal="right"/>
    </xf>
    <xf numFmtId="2" fontId="9" fillId="0" borderId="48" xfId="0" applyNumberFormat="1" applyFont="1" applyBorder="1" applyAlignment="1">
      <alignment horizontal="right"/>
    </xf>
    <xf numFmtId="0" fontId="8" fillId="0" borderId="49" xfId="0" applyFont="1" applyBorder="1"/>
    <xf numFmtId="2" fontId="9" fillId="0" borderId="45" xfId="0" applyNumberFormat="1" applyFont="1" applyBorder="1" applyAlignment="1">
      <alignment horizontal="right"/>
    </xf>
    <xf numFmtId="0" fontId="8" fillId="0" borderId="34" xfId="0" applyFont="1" applyBorder="1"/>
    <xf numFmtId="0" fontId="5" fillId="10" borderId="18" xfId="0" applyFont="1" applyFill="1" applyBorder="1" applyAlignment="1">
      <alignment horizontal="center" vertical="center" wrapText="1"/>
    </xf>
    <xf numFmtId="0" fontId="7" fillId="0" borderId="19" xfId="0" applyFont="1" applyBorder="1"/>
    <xf numFmtId="0" fontId="7" fillId="0" borderId="20" xfId="0" applyFont="1" applyBorder="1"/>
    <xf numFmtId="0" fontId="5" fillId="9" borderId="11" xfId="0" applyFont="1" applyFill="1" applyBorder="1" applyAlignment="1">
      <alignment horizontal="center" vertical="center" wrapText="1"/>
    </xf>
    <xf numFmtId="0" fontId="7" fillId="0" borderId="22" xfId="0" applyFont="1" applyBorder="1"/>
    <xf numFmtId="0" fontId="7" fillId="0" borderId="27" xfId="0" applyFont="1" applyBorder="1"/>
    <xf numFmtId="0" fontId="5" fillId="9" borderId="14" xfId="0" applyFont="1" applyFill="1" applyBorder="1" applyAlignment="1">
      <alignment horizontal="center" vertical="center" wrapText="1"/>
    </xf>
    <xf numFmtId="0" fontId="0" fillId="0" borderId="0" xfId="0"/>
    <xf numFmtId="0" fontId="7" fillId="0" borderId="29" xfId="0" applyFont="1" applyBorder="1"/>
    <xf numFmtId="0" fontId="5" fillId="9" borderId="13" xfId="0" applyFont="1" applyFill="1" applyBorder="1" applyAlignment="1">
      <alignment horizontal="center" vertical="center" wrapText="1"/>
    </xf>
    <xf numFmtId="0" fontId="7" fillId="0" borderId="23" xfId="0" applyFont="1" applyBorder="1"/>
    <xf numFmtId="0" fontId="7" fillId="0" borderId="28" xfId="0" applyFont="1" applyBorder="1"/>
    <xf numFmtId="0" fontId="6" fillId="10" borderId="8" xfId="0" applyFont="1" applyFill="1" applyBorder="1" applyAlignment="1">
      <alignment horizontal="center" vertical="center" wrapText="1"/>
    </xf>
    <xf numFmtId="0" fontId="7" fillId="0" borderId="8" xfId="0" applyFont="1" applyBorder="1"/>
    <xf numFmtId="0" fontId="7" fillId="0" borderId="9" xfId="0" applyFont="1" applyBorder="1"/>
    <xf numFmtId="0" fontId="6" fillId="10" borderId="12" xfId="0" applyFont="1" applyFill="1" applyBorder="1" applyAlignment="1">
      <alignment horizontal="center" vertical="center" wrapText="1"/>
    </xf>
    <xf numFmtId="0" fontId="7" fillId="0" borderId="16" xfId="0" applyFont="1" applyBorder="1"/>
    <xf numFmtId="0" fontId="7" fillId="0" borderId="24" xfId="0" applyFont="1" applyBorder="1"/>
    <xf numFmtId="0" fontId="5" fillId="10" borderId="12" xfId="0" applyFont="1" applyFill="1" applyBorder="1" applyAlignment="1">
      <alignment horizontal="center" vertical="center" wrapText="1"/>
    </xf>
    <xf numFmtId="0" fontId="5" fillId="10" borderId="14" xfId="0" applyFont="1" applyFill="1" applyBorder="1" applyAlignment="1">
      <alignment horizontal="center" vertical="center" wrapText="1"/>
    </xf>
    <xf numFmtId="0" fontId="5" fillId="11" borderId="18" xfId="0" applyFont="1" applyFill="1" applyBorder="1" applyAlignment="1">
      <alignment horizontal="center" vertical="center" wrapText="1"/>
    </xf>
    <xf numFmtId="2" fontId="5" fillId="10" borderId="14" xfId="0" applyNumberFormat="1" applyFont="1" applyFill="1" applyBorder="1" applyAlignment="1">
      <alignment horizontal="center" vertical="center" wrapText="1"/>
    </xf>
    <xf numFmtId="2" fontId="5" fillId="10" borderId="13" xfId="0" applyNumberFormat="1" applyFont="1" applyFill="1" applyBorder="1" applyAlignment="1">
      <alignment horizontal="center" vertical="center" wrapText="1"/>
    </xf>
    <xf numFmtId="0" fontId="6" fillId="11" borderId="8" xfId="0" applyFont="1" applyFill="1" applyBorder="1" applyAlignment="1">
      <alignment horizontal="center" vertical="center" wrapText="1"/>
    </xf>
    <xf numFmtId="0" fontId="6" fillId="11" borderId="12" xfId="0" applyFont="1" applyFill="1" applyBorder="1" applyAlignment="1">
      <alignment horizontal="center" vertical="center" wrapText="1"/>
    </xf>
    <xf numFmtId="0" fontId="5" fillId="11" borderId="12" xfId="0" applyFont="1" applyFill="1" applyBorder="1" applyAlignment="1">
      <alignment horizontal="center" vertical="center" wrapText="1"/>
    </xf>
    <xf numFmtId="0" fontId="5" fillId="12" borderId="18" xfId="0" applyFont="1" applyFill="1" applyBorder="1" applyAlignment="1">
      <alignment horizontal="center" vertical="center" wrapText="1"/>
    </xf>
    <xf numFmtId="2" fontId="5" fillId="11" borderId="14" xfId="0" applyNumberFormat="1" applyFont="1" applyFill="1" applyBorder="1" applyAlignment="1">
      <alignment horizontal="center" vertical="center" wrapText="1"/>
    </xf>
    <xf numFmtId="2" fontId="5" fillId="11" borderId="15" xfId="0" applyNumberFormat="1" applyFont="1" applyFill="1" applyBorder="1" applyAlignment="1">
      <alignment horizontal="center" vertical="center" wrapText="1"/>
    </xf>
    <xf numFmtId="0" fontId="7" fillId="0" borderId="17" xfId="0" applyFont="1" applyBorder="1"/>
    <xf numFmtId="0" fontId="7" fillId="0" borderId="25" xfId="0" applyFont="1" applyBorder="1"/>
    <xf numFmtId="0" fontId="6" fillId="12" borderId="8" xfId="0" applyFont="1" applyFill="1" applyBorder="1" applyAlignment="1">
      <alignment horizontal="center" vertical="center" wrapText="1"/>
    </xf>
    <xf numFmtId="0" fontId="6" fillId="12" borderId="12" xfId="0" applyFont="1" applyFill="1" applyBorder="1" applyAlignment="1">
      <alignment horizontal="center" vertical="center" wrapText="1"/>
    </xf>
    <xf numFmtId="0" fontId="5" fillId="12" borderId="12" xfId="0" applyFont="1" applyFill="1" applyBorder="1" applyAlignment="1">
      <alignment horizontal="center" vertical="center" wrapText="1"/>
    </xf>
    <xf numFmtId="0" fontId="5" fillId="12" borderId="14" xfId="0" applyFont="1" applyFill="1" applyBorder="1" applyAlignment="1">
      <alignment horizontal="center" vertical="center" wrapText="1"/>
    </xf>
    <xf numFmtId="0" fontId="5" fillId="12" borderId="13" xfId="0" applyFont="1" applyFill="1" applyBorder="1" applyAlignment="1">
      <alignment horizontal="center" vertical="center" wrapText="1"/>
    </xf>
    <xf numFmtId="0" fontId="5" fillId="8" borderId="18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6" fillId="8" borderId="7" xfId="0" applyFont="1" applyFill="1" applyBorder="1" applyAlignment="1">
      <alignment horizontal="center" vertical="center" wrapText="1"/>
    </xf>
    <xf numFmtId="0" fontId="5" fillId="8" borderId="10" xfId="0" applyFont="1" applyFill="1" applyBorder="1" applyAlignment="1">
      <alignment horizontal="center" vertical="center" wrapText="1"/>
    </xf>
    <xf numFmtId="0" fontId="7" fillId="0" borderId="21" xfId="0" applyFont="1" applyBorder="1"/>
    <xf numFmtId="0" fontId="7" fillId="0" borderId="26" xfId="0" applyFont="1" applyBorder="1"/>
    <xf numFmtId="0" fontId="5" fillId="8" borderId="11" xfId="0" applyFont="1" applyFill="1" applyBorder="1" applyAlignment="1">
      <alignment horizontal="center" vertical="center" wrapText="1"/>
    </xf>
    <xf numFmtId="0" fontId="5" fillId="9" borderId="18" xfId="0" applyFont="1" applyFill="1" applyBorder="1" applyAlignment="1">
      <alignment horizontal="center" vertical="center" wrapText="1"/>
    </xf>
    <xf numFmtId="0" fontId="5" fillId="8" borderId="12" xfId="0" applyFont="1" applyFill="1" applyBorder="1" applyAlignment="1">
      <alignment horizontal="center" vertical="center" wrapText="1"/>
    </xf>
    <xf numFmtId="0" fontId="5" fillId="8" borderId="13" xfId="0" applyFont="1" applyFill="1" applyBorder="1" applyAlignment="1">
      <alignment horizontal="center" vertical="center" wrapText="1"/>
    </xf>
    <xf numFmtId="0" fontId="6" fillId="9" borderId="8" xfId="0" applyFont="1" applyFill="1" applyBorder="1" applyAlignment="1">
      <alignment horizontal="center" vertical="center" wrapText="1"/>
    </xf>
    <xf numFmtId="0" fontId="5" fillId="9" borderId="1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ns1:Ignorable="x14ac xr xr2 xr3" ns2:uid="{00000000-0001-0000-0000-000000000000}">
  <dimension ref="A1:DX1000"/>
  <sheetViews>
    <sheetView tabSelected="1" workbookViewId="0">
      <pane xSplit="4" ySplit="6" topLeftCell="DC7" activePane="bottomRight" state="frozen"/>
      <selection pane="topRight" activeCell="E1" sqref="E1"/>
      <selection pane="bottomLeft" activeCell="A7" sqref="A7"/>
      <selection pane="bottomRight" activeCell="DJ26" sqref="DJ26"/>
    </sheetView>
  </sheetViews>
  <sheetFormatPr baseColWidth="10" defaultColWidth="12.6640625" defaultRowHeight="15" customHeight="1"/>
  <cols>
    <col min="1" max="1" width="4.33203125" customWidth="1"/>
    <col min="2" max="2" width="10.5" customWidth="1"/>
    <col min="3" max="3" width="30.6640625" customWidth="1"/>
    <col min="4" max="4" width="8.6640625" customWidth="1"/>
    <col min="5" max="23" width="12.1640625" customWidth="1"/>
    <col min="24" max="24" width="9" customWidth="1"/>
    <col min="25" max="42" width="12.1640625" customWidth="1"/>
    <col min="43" max="43" width="9.33203125" customWidth="1"/>
    <col min="44" max="68" width="12.1640625" customWidth="1"/>
    <col min="69" max="69" width="8.83203125" customWidth="1"/>
    <col min="70" max="97" width="12.1640625" customWidth="1"/>
    <col min="98" max="98" width="8.1640625" customWidth="1"/>
    <col min="99" max="126" width="12.1640625" customWidth="1"/>
    <col min="127" max="127" width="8.83203125" customWidth="1"/>
    <col min="128" max="128" width="12.1640625" customWidth="1"/>
  </cols>
  <sheetData>
    <row r="1" spans="1:128" ht="14">
      <c r="BQ1" s="8"/>
      <c r="BR1" s="8"/>
      <c r="CT1" s="8"/>
      <c r="CU1" s="8"/>
    </row>
    <row r="2" spans="1:128" ht="14">
      <c r="BQ2" s="8"/>
      <c r="BR2" s="8"/>
      <c r="CT2" s="8"/>
      <c r="CU2" s="8"/>
    </row>
    <row r="3" spans="1:128" ht="14">
      <c r="BQ3" s="8"/>
      <c r="BR3" s="8"/>
      <c r="CT3" s="8"/>
      <c r="CU3" s="8"/>
    </row>
    <row r="4" spans="1:128" ht="14">
      <c r="A4" s="158" t="s">
        <v>0</v>
      </c>
      <c r="B4" s="158" t="s">
        <v>62</v>
      </c>
      <c r="C4" s="158" t="s">
        <v>66</v>
      </c>
      <c r="D4" s="159" t="s">
        <v>4</v>
      </c>
      <c r="E4" s="160">
        <v>2022</v>
      </c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5"/>
      <c r="T4" s="161" t="s">
        <v>98</v>
      </c>
      <c r="U4" s="164" t="s">
        <v>104</v>
      </c>
      <c r="V4" s="164" t="s">
        <v>109</v>
      </c>
      <c r="W4" s="166" t="s">
        <v>111</v>
      </c>
      <c r="X4" s="167" t="s">
        <v>114</v>
      </c>
      <c r="Y4" s="168">
        <v>2023</v>
      </c>
      <c r="Z4" s="134"/>
      <c r="AA4" s="134"/>
      <c r="AB4" s="134"/>
      <c r="AC4" s="134"/>
      <c r="AD4" s="134"/>
      <c r="AE4" s="134"/>
      <c r="AF4" s="134"/>
      <c r="AG4" s="134"/>
      <c r="AH4" s="134"/>
      <c r="AI4" s="134"/>
      <c r="AJ4" s="134"/>
      <c r="AK4" s="134"/>
      <c r="AL4" s="135"/>
      <c r="AM4" s="169" t="s">
        <v>98</v>
      </c>
      <c r="AN4" s="124" t="s">
        <v>104</v>
      </c>
      <c r="AO4" s="124" t="s">
        <v>145</v>
      </c>
      <c r="AP4" s="124" t="s">
        <v>111</v>
      </c>
      <c r="AQ4" s="127" t="s">
        <v>114</v>
      </c>
      <c r="AR4" s="130" t="s">
        <v>154</v>
      </c>
      <c r="AS4" s="133">
        <v>2024</v>
      </c>
      <c r="AT4" s="134"/>
      <c r="AU4" s="134"/>
      <c r="AV4" s="134"/>
      <c r="AW4" s="134"/>
      <c r="AX4" s="134"/>
      <c r="AY4" s="134"/>
      <c r="AZ4" s="134"/>
      <c r="BA4" s="134"/>
      <c r="BB4" s="134"/>
      <c r="BC4" s="134"/>
      <c r="BD4" s="134"/>
      <c r="BE4" s="134"/>
      <c r="BF4" s="134"/>
      <c r="BG4" s="134"/>
      <c r="BH4" s="134"/>
      <c r="BI4" s="134"/>
      <c r="BJ4" s="134"/>
      <c r="BK4" s="134"/>
      <c r="BL4" s="135"/>
      <c r="BM4" s="136" t="s">
        <v>98</v>
      </c>
      <c r="BN4" s="139" t="s">
        <v>111</v>
      </c>
      <c r="BO4" s="140" t="s">
        <v>104</v>
      </c>
      <c r="BP4" s="140" t="s">
        <v>109</v>
      </c>
      <c r="BQ4" s="142" t="s">
        <v>114</v>
      </c>
      <c r="BR4" s="143" t="s">
        <v>186</v>
      </c>
      <c r="BS4" s="144">
        <v>2025</v>
      </c>
      <c r="BT4" s="134"/>
      <c r="BU4" s="134"/>
      <c r="BV4" s="134"/>
      <c r="BW4" s="134"/>
      <c r="BX4" s="134"/>
      <c r="BY4" s="134"/>
      <c r="BZ4" s="134"/>
      <c r="CA4" s="134"/>
      <c r="CB4" s="134"/>
      <c r="CC4" s="134"/>
      <c r="CD4" s="134"/>
      <c r="CE4" s="134"/>
      <c r="CF4" s="134"/>
      <c r="CG4" s="134"/>
      <c r="CH4" s="134"/>
      <c r="CI4" s="134"/>
      <c r="CJ4" s="134"/>
      <c r="CK4" s="134"/>
      <c r="CL4" s="134"/>
      <c r="CM4" s="134"/>
      <c r="CN4" s="134"/>
      <c r="CO4" s="135"/>
      <c r="CP4" s="145" t="s">
        <v>98</v>
      </c>
      <c r="CQ4" s="146" t="s">
        <v>205</v>
      </c>
      <c r="CR4" s="146" t="s">
        <v>207</v>
      </c>
      <c r="CS4" s="146" t="s">
        <v>111</v>
      </c>
      <c r="CT4" s="148" t="s">
        <v>114</v>
      </c>
      <c r="CU4" s="149" t="s">
        <v>213</v>
      </c>
      <c r="CV4" s="152">
        <v>2026</v>
      </c>
      <c r="CW4" s="134"/>
      <c r="CX4" s="134"/>
      <c r="CY4" s="134"/>
      <c r="CZ4" s="134"/>
      <c r="DA4" s="134"/>
      <c r="DB4" s="134"/>
      <c r="DC4" s="134"/>
      <c r="DD4" s="134"/>
      <c r="DE4" s="134"/>
      <c r="DF4" s="134"/>
      <c r="DG4" s="134"/>
      <c r="DH4" s="134"/>
      <c r="DI4" s="134"/>
      <c r="DJ4" s="134"/>
      <c r="DK4" s="134"/>
      <c r="DL4" s="134"/>
      <c r="DM4" s="134"/>
      <c r="DN4" s="134"/>
      <c r="DO4" s="134"/>
      <c r="DP4" s="134"/>
      <c r="DQ4" s="134"/>
      <c r="DR4" s="135"/>
      <c r="DS4" s="153" t="s">
        <v>98</v>
      </c>
      <c r="DT4" s="154" t="s">
        <v>205</v>
      </c>
      <c r="DU4" s="154" t="s">
        <v>234</v>
      </c>
      <c r="DV4" s="154" t="s">
        <v>111</v>
      </c>
      <c r="DW4" s="155" t="s">
        <v>114</v>
      </c>
      <c r="DX4" s="156" t="s">
        <v>235</v>
      </c>
    </row>
    <row r="5" spans="1:128" ht="14">
      <c r="A5" s="137"/>
      <c r="B5" s="137"/>
      <c r="C5" s="137"/>
      <c r="D5" s="150"/>
      <c r="E5" s="157" t="s">
        <v>239</v>
      </c>
      <c r="F5" s="122"/>
      <c r="G5" s="122"/>
      <c r="H5" s="122"/>
      <c r="I5" s="123"/>
      <c r="J5" s="157" t="s">
        <v>247</v>
      </c>
      <c r="K5" s="122"/>
      <c r="L5" s="122"/>
      <c r="M5" s="122"/>
      <c r="N5" s="123"/>
      <c r="O5" s="157" t="s">
        <v>249</v>
      </c>
      <c r="P5" s="122"/>
      <c r="Q5" s="122"/>
      <c r="R5" s="122"/>
      <c r="S5" s="123"/>
      <c r="T5" s="162"/>
      <c r="U5" s="125"/>
      <c r="V5" s="125"/>
      <c r="W5" s="137"/>
      <c r="X5" s="131"/>
      <c r="Y5" s="165" t="s">
        <v>256</v>
      </c>
      <c r="Z5" s="122"/>
      <c r="AA5" s="122"/>
      <c r="AB5" s="122"/>
      <c r="AC5" s="123"/>
      <c r="AD5" s="165" t="s">
        <v>259</v>
      </c>
      <c r="AE5" s="122"/>
      <c r="AF5" s="122"/>
      <c r="AG5" s="122"/>
      <c r="AH5" s="123"/>
      <c r="AI5" s="165" t="s">
        <v>249</v>
      </c>
      <c r="AJ5" s="122"/>
      <c r="AK5" s="122"/>
      <c r="AL5" s="123"/>
      <c r="AM5" s="137"/>
      <c r="AN5" s="125"/>
      <c r="AO5" s="125"/>
      <c r="AP5" s="125"/>
      <c r="AQ5" s="128"/>
      <c r="AR5" s="131"/>
      <c r="AS5" s="121" t="s">
        <v>256</v>
      </c>
      <c r="AT5" s="122"/>
      <c r="AU5" s="122"/>
      <c r="AV5" s="123"/>
      <c r="AW5" s="121" t="s">
        <v>259</v>
      </c>
      <c r="AX5" s="122"/>
      <c r="AY5" s="122"/>
      <c r="AZ5" s="123"/>
      <c r="BA5" s="121" t="s">
        <v>249</v>
      </c>
      <c r="BB5" s="122"/>
      <c r="BC5" s="122"/>
      <c r="BD5" s="123"/>
      <c r="BE5" s="121" t="s">
        <v>56</v>
      </c>
      <c r="BF5" s="122"/>
      <c r="BG5" s="122"/>
      <c r="BH5" s="123"/>
      <c r="BI5" s="121" t="s">
        <v>263</v>
      </c>
      <c r="BJ5" s="123"/>
      <c r="BK5" s="121" t="s">
        <v>48</v>
      </c>
      <c r="BL5" s="123"/>
      <c r="BM5" s="137"/>
      <c r="BN5" s="137"/>
      <c r="BO5" s="128"/>
      <c r="BP5" s="128"/>
      <c r="BQ5" s="128"/>
      <c r="BR5" s="131"/>
      <c r="BS5" s="141" t="s">
        <v>256</v>
      </c>
      <c r="BT5" s="122"/>
      <c r="BU5" s="122"/>
      <c r="BV5" s="123"/>
      <c r="BW5" s="141" t="s">
        <v>259</v>
      </c>
      <c r="BX5" s="122"/>
      <c r="BY5" s="122"/>
      <c r="BZ5" s="123"/>
      <c r="CA5" s="141" t="s">
        <v>249</v>
      </c>
      <c r="CB5" s="122"/>
      <c r="CC5" s="122"/>
      <c r="CD5" s="123"/>
      <c r="CE5" s="141" t="s">
        <v>56</v>
      </c>
      <c r="CF5" s="122"/>
      <c r="CG5" s="122"/>
      <c r="CH5" s="123"/>
      <c r="CI5" s="141" t="s">
        <v>265</v>
      </c>
      <c r="CJ5" s="122"/>
      <c r="CK5" s="122"/>
      <c r="CL5" s="123"/>
      <c r="CM5" s="141" t="s">
        <v>48</v>
      </c>
      <c r="CN5" s="122"/>
      <c r="CO5" s="123"/>
      <c r="CP5" s="137"/>
      <c r="CQ5" s="137"/>
      <c r="CR5" s="137"/>
      <c r="CS5" s="137"/>
      <c r="CT5" s="128"/>
      <c r="CU5" s="150"/>
      <c r="CV5" s="147" t="s">
        <v>256</v>
      </c>
      <c r="CW5" s="122"/>
      <c r="CX5" s="122"/>
      <c r="CY5" s="123"/>
      <c r="CZ5" s="147" t="s">
        <v>259</v>
      </c>
      <c r="DA5" s="122"/>
      <c r="DB5" s="122"/>
      <c r="DC5" s="123"/>
      <c r="DD5" s="147" t="s">
        <v>249</v>
      </c>
      <c r="DE5" s="122"/>
      <c r="DF5" s="122"/>
      <c r="DG5" s="123"/>
      <c r="DH5" s="147" t="s">
        <v>56</v>
      </c>
      <c r="DI5" s="122"/>
      <c r="DJ5" s="122"/>
      <c r="DK5" s="123"/>
      <c r="DL5" s="147" t="s">
        <v>265</v>
      </c>
      <c r="DM5" s="122"/>
      <c r="DN5" s="122"/>
      <c r="DO5" s="123"/>
      <c r="DP5" s="147" t="s">
        <v>48</v>
      </c>
      <c r="DQ5" s="122"/>
      <c r="DR5" s="123"/>
      <c r="DS5" s="137"/>
      <c r="DT5" s="137"/>
      <c r="DU5" s="137"/>
      <c r="DV5" s="137"/>
      <c r="DW5" s="128"/>
      <c r="DX5" s="131"/>
    </row>
    <row r="6" spans="1:128" ht="28">
      <c r="A6" s="138"/>
      <c r="B6" s="138"/>
      <c r="C6" s="138"/>
      <c r="D6" s="151"/>
      <c r="E6" s="20" t="s">
        <v>266</v>
      </c>
      <c r="F6" s="20" t="s">
        <v>267</v>
      </c>
      <c r="G6" s="20" t="s">
        <v>109</v>
      </c>
      <c r="H6" s="20" t="s">
        <v>104</v>
      </c>
      <c r="I6" s="20" t="s">
        <v>268</v>
      </c>
      <c r="J6" s="20" t="s">
        <v>266</v>
      </c>
      <c r="K6" s="20" t="s">
        <v>267</v>
      </c>
      <c r="L6" s="20" t="s">
        <v>109</v>
      </c>
      <c r="M6" s="20" t="s">
        <v>104</v>
      </c>
      <c r="N6" s="20" t="s">
        <v>268</v>
      </c>
      <c r="O6" s="20" t="s">
        <v>266</v>
      </c>
      <c r="P6" s="20" t="s">
        <v>267</v>
      </c>
      <c r="Q6" s="20" t="s">
        <v>109</v>
      </c>
      <c r="R6" s="20" t="s">
        <v>104</v>
      </c>
      <c r="S6" s="18" t="s">
        <v>268</v>
      </c>
      <c r="T6" s="163"/>
      <c r="U6" s="126"/>
      <c r="V6" s="126"/>
      <c r="W6" s="138"/>
      <c r="X6" s="132"/>
      <c r="Y6" s="21" t="s">
        <v>266</v>
      </c>
      <c r="Z6" s="21" t="s">
        <v>267</v>
      </c>
      <c r="AA6" s="21" t="s">
        <v>109</v>
      </c>
      <c r="AB6" s="21" t="s">
        <v>104</v>
      </c>
      <c r="AC6" s="21" t="s">
        <v>268</v>
      </c>
      <c r="AD6" s="21" t="s">
        <v>266</v>
      </c>
      <c r="AE6" s="21" t="s">
        <v>267</v>
      </c>
      <c r="AF6" s="21" t="s">
        <v>109</v>
      </c>
      <c r="AG6" s="21" t="s">
        <v>104</v>
      </c>
      <c r="AH6" s="21" t="s">
        <v>268</v>
      </c>
      <c r="AI6" s="21" t="s">
        <v>267</v>
      </c>
      <c r="AJ6" s="21" t="s">
        <v>109</v>
      </c>
      <c r="AK6" s="21" t="s">
        <v>104</v>
      </c>
      <c r="AL6" s="21" t="s">
        <v>268</v>
      </c>
      <c r="AM6" s="138"/>
      <c r="AN6" s="126"/>
      <c r="AO6" s="126"/>
      <c r="AP6" s="126"/>
      <c r="AQ6" s="129"/>
      <c r="AR6" s="132"/>
      <c r="AS6" s="23" t="s">
        <v>267</v>
      </c>
      <c r="AT6" s="23" t="s">
        <v>109</v>
      </c>
      <c r="AU6" s="23" t="s">
        <v>104</v>
      </c>
      <c r="AV6" s="23" t="s">
        <v>268</v>
      </c>
      <c r="AW6" s="23" t="s">
        <v>267</v>
      </c>
      <c r="AX6" s="23" t="s">
        <v>109</v>
      </c>
      <c r="AY6" s="23" t="s">
        <v>104</v>
      </c>
      <c r="AZ6" s="23" t="s">
        <v>268</v>
      </c>
      <c r="BA6" s="23" t="s">
        <v>267</v>
      </c>
      <c r="BB6" s="23" t="s">
        <v>109</v>
      </c>
      <c r="BC6" s="23" t="s">
        <v>104</v>
      </c>
      <c r="BD6" s="23" t="s">
        <v>268</v>
      </c>
      <c r="BE6" s="23" t="s">
        <v>267</v>
      </c>
      <c r="BF6" s="23" t="s">
        <v>109</v>
      </c>
      <c r="BG6" s="23" t="s">
        <v>104</v>
      </c>
      <c r="BH6" s="23" t="s">
        <v>268</v>
      </c>
      <c r="BI6" s="23" t="s">
        <v>109</v>
      </c>
      <c r="BJ6" s="23" t="s">
        <v>104</v>
      </c>
      <c r="BK6" s="23" t="s">
        <v>109</v>
      </c>
      <c r="BL6" s="23" t="s">
        <v>104</v>
      </c>
      <c r="BM6" s="138"/>
      <c r="BN6" s="138"/>
      <c r="BO6" s="129"/>
      <c r="BP6" s="129"/>
      <c r="BQ6" s="129"/>
      <c r="BR6" s="132"/>
      <c r="BS6" s="24" t="s">
        <v>267</v>
      </c>
      <c r="BT6" s="24" t="s">
        <v>109</v>
      </c>
      <c r="BU6" s="24" t="s">
        <v>104</v>
      </c>
      <c r="BV6" s="24" t="s">
        <v>268</v>
      </c>
      <c r="BW6" s="24" t="s">
        <v>267</v>
      </c>
      <c r="BX6" s="24" t="s">
        <v>109</v>
      </c>
      <c r="BY6" s="24" t="s">
        <v>104</v>
      </c>
      <c r="BZ6" s="24" t="s">
        <v>268</v>
      </c>
      <c r="CA6" s="24" t="s">
        <v>267</v>
      </c>
      <c r="CB6" s="24" t="s">
        <v>109</v>
      </c>
      <c r="CC6" s="24" t="s">
        <v>104</v>
      </c>
      <c r="CD6" s="24" t="s">
        <v>268</v>
      </c>
      <c r="CE6" s="24" t="s">
        <v>267</v>
      </c>
      <c r="CF6" s="24" t="s">
        <v>109</v>
      </c>
      <c r="CG6" s="24" t="s">
        <v>104</v>
      </c>
      <c r="CH6" s="24" t="s">
        <v>268</v>
      </c>
      <c r="CI6" s="24" t="s">
        <v>267</v>
      </c>
      <c r="CJ6" s="24" t="s">
        <v>109</v>
      </c>
      <c r="CK6" s="24" t="s">
        <v>104</v>
      </c>
      <c r="CL6" s="24" t="s">
        <v>268</v>
      </c>
      <c r="CM6" s="24" t="s">
        <v>109</v>
      </c>
      <c r="CN6" s="24" t="s">
        <v>104</v>
      </c>
      <c r="CO6" s="24" t="s">
        <v>268</v>
      </c>
      <c r="CP6" s="138"/>
      <c r="CQ6" s="138"/>
      <c r="CR6" s="138"/>
      <c r="CS6" s="138"/>
      <c r="CT6" s="129"/>
      <c r="CU6" s="151"/>
      <c r="CV6" s="25" t="s">
        <v>267</v>
      </c>
      <c r="CW6" s="25" t="s">
        <v>109</v>
      </c>
      <c r="CX6" s="25" t="s">
        <v>104</v>
      </c>
      <c r="CY6" s="25" t="s">
        <v>268</v>
      </c>
      <c r="CZ6" s="25" t="s">
        <v>267</v>
      </c>
      <c r="DA6" s="25" t="s">
        <v>109</v>
      </c>
      <c r="DB6" s="25" t="s">
        <v>104</v>
      </c>
      <c r="DC6" s="25" t="s">
        <v>268</v>
      </c>
      <c r="DD6" s="25" t="s">
        <v>267</v>
      </c>
      <c r="DE6" s="25" t="s">
        <v>109</v>
      </c>
      <c r="DF6" s="25" t="s">
        <v>104</v>
      </c>
      <c r="DG6" s="25" t="s">
        <v>268</v>
      </c>
      <c r="DH6" s="25" t="s">
        <v>267</v>
      </c>
      <c r="DI6" s="25" t="s">
        <v>109</v>
      </c>
      <c r="DJ6" s="25" t="s">
        <v>104</v>
      </c>
      <c r="DK6" s="25" t="s">
        <v>268</v>
      </c>
      <c r="DL6" s="25" t="s">
        <v>267</v>
      </c>
      <c r="DM6" s="25" t="s">
        <v>109</v>
      </c>
      <c r="DN6" s="25" t="s">
        <v>104</v>
      </c>
      <c r="DO6" s="25" t="s">
        <v>268</v>
      </c>
      <c r="DP6" s="25" t="s">
        <v>109</v>
      </c>
      <c r="DQ6" s="25" t="s">
        <v>104</v>
      </c>
      <c r="DR6" s="19" t="s">
        <v>268</v>
      </c>
      <c r="DS6" s="138"/>
      <c r="DT6" s="138"/>
      <c r="DU6" s="138"/>
      <c r="DV6" s="138"/>
      <c r="DW6" s="129"/>
      <c r="DX6" s="132"/>
    </row>
    <row r="7" spans="1:128">
      <c r="A7" s="26">
        <v>1</v>
      </c>
      <c r="B7" s="26" t="s">
        <v>270</v>
      </c>
      <c r="C7" s="26" t="s">
        <v>271</v>
      </c>
      <c r="D7" s="27" t="s">
        <v>23</v>
      </c>
      <c r="E7" s="26">
        <v>389</v>
      </c>
      <c r="F7" s="26">
        <v>55</v>
      </c>
      <c r="G7" s="26">
        <v>70</v>
      </c>
      <c r="H7" s="26">
        <v>65</v>
      </c>
      <c r="I7" s="26">
        <v>-10</v>
      </c>
      <c r="J7" s="28">
        <v>689</v>
      </c>
      <c r="K7" s="26">
        <v>99</v>
      </c>
      <c r="L7" s="26">
        <v>99</v>
      </c>
      <c r="M7" s="26">
        <v>86</v>
      </c>
      <c r="N7" s="26">
        <v>5</v>
      </c>
      <c r="O7" s="28">
        <v>266</v>
      </c>
      <c r="P7" s="26">
        <v>71</v>
      </c>
      <c r="Q7" s="26">
        <v>76</v>
      </c>
      <c r="R7" s="26">
        <v>42</v>
      </c>
      <c r="S7" s="27">
        <v>27</v>
      </c>
      <c r="T7" s="26">
        <f t="shared" ref="T7:T88" si="0">SUM(O7+J7+E7)</f>
        <v>1344</v>
      </c>
      <c r="U7" s="26">
        <f t="shared" ref="U7:U88" si="1">SUM(R7+M7+H7)</f>
        <v>193</v>
      </c>
      <c r="V7" s="26">
        <f t="shared" ref="V7:V88" si="2">SUM(Q7+L7+G7)</f>
        <v>245</v>
      </c>
      <c r="W7" s="26">
        <v>220</v>
      </c>
      <c r="X7" s="29">
        <f t="shared" ref="X7:X87" si="3">T7/W7</f>
        <v>6.1090909090909093</v>
      </c>
      <c r="Y7" s="30">
        <v>404</v>
      </c>
      <c r="Z7" s="26">
        <v>50</v>
      </c>
      <c r="AA7" s="26">
        <v>60</v>
      </c>
      <c r="AB7" s="26">
        <v>53</v>
      </c>
      <c r="AC7" s="26">
        <v>-3</v>
      </c>
      <c r="AD7" s="31">
        <v>548</v>
      </c>
      <c r="AE7" s="26">
        <v>80</v>
      </c>
      <c r="AF7" s="26">
        <v>80</v>
      </c>
      <c r="AG7" s="26">
        <v>75</v>
      </c>
      <c r="AH7" s="26">
        <v>5</v>
      </c>
      <c r="AI7" s="26">
        <v>69</v>
      </c>
      <c r="AJ7" s="26">
        <v>69</v>
      </c>
      <c r="AK7" s="26">
        <v>46</v>
      </c>
      <c r="AL7" s="26">
        <v>23</v>
      </c>
      <c r="AM7" s="26">
        <f t="shared" ref="AM7:AM88" si="4">SUM(AD7+Y7)</f>
        <v>952</v>
      </c>
      <c r="AN7" s="32">
        <f t="shared" ref="AN7:AN88" si="5">SUM(AK7+AG7+AB7)</f>
        <v>174</v>
      </c>
      <c r="AO7" s="32">
        <f t="shared" ref="AO7:AO88" si="6">SUM(AJ7+AF7+AA7)</f>
        <v>209</v>
      </c>
      <c r="AP7" s="32">
        <v>200</v>
      </c>
      <c r="AQ7" s="33">
        <f t="shared" ref="AQ7:AQ88" si="7">AM7/AP7</f>
        <v>4.76</v>
      </c>
      <c r="AR7" s="29">
        <f t="shared" ref="AR7:AR70" si="8">(AM7-T7)/T7*100</f>
        <v>-29.166666666666668</v>
      </c>
      <c r="AS7" s="26">
        <v>72</v>
      </c>
      <c r="AT7" s="26">
        <v>72</v>
      </c>
      <c r="AU7" s="26">
        <v>69</v>
      </c>
      <c r="AV7" s="26">
        <v>3</v>
      </c>
      <c r="AW7" s="26">
        <v>87</v>
      </c>
      <c r="AX7" s="26">
        <v>87</v>
      </c>
      <c r="AY7" s="26">
        <v>83</v>
      </c>
      <c r="AZ7" s="26">
        <v>4</v>
      </c>
      <c r="BA7" s="26">
        <v>88</v>
      </c>
      <c r="BB7" s="26">
        <v>89</v>
      </c>
      <c r="BC7" s="26">
        <v>65</v>
      </c>
      <c r="BD7" s="26">
        <v>22</v>
      </c>
      <c r="BE7" s="26">
        <v>22</v>
      </c>
      <c r="BF7" s="26">
        <v>2</v>
      </c>
      <c r="BG7" s="26">
        <v>2</v>
      </c>
      <c r="BH7" s="26">
        <v>20</v>
      </c>
      <c r="BI7" s="26">
        <v>1</v>
      </c>
      <c r="BJ7" s="26">
        <v>0</v>
      </c>
      <c r="BK7" s="26">
        <v>1</v>
      </c>
      <c r="BL7" s="27"/>
      <c r="BM7" s="34">
        <v>984</v>
      </c>
      <c r="BN7" s="26">
        <v>240</v>
      </c>
      <c r="BO7" s="35">
        <f t="shared" ref="BO7:BO88" si="9">SUM(BJ7+BG7+BC7+AY7+AU7)</f>
        <v>219</v>
      </c>
      <c r="BP7" s="35">
        <f t="shared" ref="BP7:BP88" si="10">SUM(BK7+BI7+BF7+BB7+AX7+AT7)</f>
        <v>252</v>
      </c>
      <c r="BQ7" s="36">
        <f t="shared" ref="BQ7:BQ81" si="11">BM7/BN7</f>
        <v>4.0999999999999996</v>
      </c>
      <c r="BR7" s="37">
        <f t="shared" ref="BR7:BR83" si="12">(BM7-AM7)/AM7*100</f>
        <v>3.3613445378151261</v>
      </c>
      <c r="BS7" s="26">
        <v>72</v>
      </c>
      <c r="BT7" s="26">
        <v>72</v>
      </c>
      <c r="BU7" s="26">
        <v>64</v>
      </c>
      <c r="BV7" s="26">
        <v>8</v>
      </c>
      <c r="BW7" s="26">
        <v>92</v>
      </c>
      <c r="BX7" s="26">
        <v>92</v>
      </c>
      <c r="BY7" s="26">
        <v>83</v>
      </c>
      <c r="BZ7" s="26">
        <v>9</v>
      </c>
      <c r="CA7" s="26">
        <v>93</v>
      </c>
      <c r="CB7" s="26">
        <v>89</v>
      </c>
      <c r="CC7" s="26">
        <v>65</v>
      </c>
      <c r="CD7" s="26">
        <v>24</v>
      </c>
      <c r="CE7" s="26">
        <v>24</v>
      </c>
      <c r="CF7" s="26">
        <v>4</v>
      </c>
      <c r="CG7" s="26">
        <v>4</v>
      </c>
      <c r="CH7" s="26">
        <v>20</v>
      </c>
      <c r="CI7" s="26">
        <v>23</v>
      </c>
      <c r="CJ7" s="26">
        <v>17</v>
      </c>
      <c r="CK7" s="26">
        <v>10</v>
      </c>
      <c r="CL7" s="26">
        <v>13</v>
      </c>
      <c r="CM7" s="26">
        <v>2</v>
      </c>
      <c r="CN7" s="26">
        <v>1</v>
      </c>
      <c r="CO7" s="27">
        <v>1</v>
      </c>
      <c r="CP7" s="34">
        <v>1010</v>
      </c>
      <c r="CQ7" s="26">
        <f t="shared" ref="CQ7:CQ87" si="13">BU7+BY7+CC7+CG7+CK7+CN7</f>
        <v>227</v>
      </c>
      <c r="CR7" s="26">
        <f t="shared" ref="CR7:CR87" si="14">BT7+BX7+CB7+CF7+CJ7+CM7</f>
        <v>276</v>
      </c>
      <c r="CS7" s="26">
        <v>240</v>
      </c>
      <c r="CT7" s="36">
        <f t="shared" ref="CT7:CT88" si="15">CP7/CS7</f>
        <v>4.208333333333333</v>
      </c>
      <c r="CU7" s="38">
        <f t="shared" ref="CU7:CU88" si="16">(CP7-BM7)/BM7*100</f>
        <v>2.6422764227642279</v>
      </c>
      <c r="CV7" s="26">
        <v>72.0</v>
      </c>
      <c r="CW7" s="26">
        <v>71</v>
      </c>
      <c r="CX7" s="26">
        <v>67</v>
      </c>
      <c r="CY7" s="26">
        <v>5</v>
      </c>
      <c r="CZ7" s="26">
        <v>89.0</v>
      </c>
      <c r="DA7" s="26">
        <v>88</v>
      </c>
      <c r="DB7" s="26">
        <v>80</v>
      </c>
      <c r="DC7" s="26">
        <v>9</v>
      </c>
      <c r="DD7" s="26">
        <v>90.0</v>
      </c>
      <c r="DE7" s="26">
        <v>90</v>
      </c>
      <c r="DF7" s="26">
        <v>68</v>
      </c>
      <c r="DG7" s="26">
        <v>25</v>
      </c>
      <c r="DH7" s="26"/>
      <c r="DI7" s="39">
        <v>6</v>
      </c>
      <c r="DJ7" s="26">
        <v>3</v>
      </c>
      <c r="DK7" s="26"/>
      <c r="DL7" s="26">
        <v>39</v>
      </c>
      <c r="DM7" s="26">
        <v>9</v>
      </c>
      <c r="DN7" s="26">
        <v>6</v>
      </c>
      <c r="DO7" s="26"/>
      <c r="DP7" s="40">
        <v>0</v>
      </c>
      <c r="DQ7" s="41">
        <v>0</v>
      </c>
      <c r="DR7" s="27"/>
      <c r="DS7" s="42">
        <v>897</v>
      </c>
      <c r="DT7" s="43">
        <f t="shared" ref="DT7:DT87" si="17">CX7+DB7+DF7+DJ7+DN7+DQ7</f>
        <v>224</v>
      </c>
      <c r="DU7" s="43">
        <f t="shared" ref="DU7:DU87" si="18">CW7+DA7+DE7+DI7+DM7+DP7</f>
        <v>264</v>
      </c>
      <c r="DV7" s="26">
        <v>240.0</v>
      </c>
      <c r="DW7" s="33">
        <v>3.7375</v>
      </c>
      <c r="DX7" s="44">
        <f t="shared" ref="DX7:DX87" si="20">(DS7-CP7)/CP7*100</f>
        <v>-11.188118811881189</v>
      </c>
    </row>
    <row r="8" spans="1:128">
      <c r="A8" s="26">
        <v>2</v>
      </c>
      <c r="B8" s="26" t="s">
        <v>272</v>
      </c>
      <c r="C8" s="26" t="s">
        <v>273</v>
      </c>
      <c r="D8" s="27" t="s">
        <v>23</v>
      </c>
      <c r="E8" s="26">
        <v>435</v>
      </c>
      <c r="F8" s="26">
        <v>45</v>
      </c>
      <c r="G8" s="26">
        <v>46</v>
      </c>
      <c r="H8" s="26">
        <v>45</v>
      </c>
      <c r="I8" s="26">
        <v>0</v>
      </c>
      <c r="J8" s="28">
        <v>680</v>
      </c>
      <c r="K8" s="26">
        <v>81</v>
      </c>
      <c r="L8" s="26">
        <v>82</v>
      </c>
      <c r="M8" s="26">
        <v>73</v>
      </c>
      <c r="N8" s="26">
        <v>6</v>
      </c>
      <c r="O8" s="28">
        <v>116</v>
      </c>
      <c r="P8" s="26">
        <v>60</v>
      </c>
      <c r="Q8" s="26">
        <v>60</v>
      </c>
      <c r="R8" s="26">
        <v>36</v>
      </c>
      <c r="S8" s="27">
        <v>26</v>
      </c>
      <c r="T8" s="26">
        <f t="shared" si="0"/>
        <v>1231</v>
      </c>
      <c r="U8" s="26">
        <f t="shared" si="1"/>
        <v>154</v>
      </c>
      <c r="V8" s="26">
        <f t="shared" si="2"/>
        <v>188</v>
      </c>
      <c r="W8" s="26">
        <v>180</v>
      </c>
      <c r="X8" s="29">
        <f t="shared" si="3"/>
        <v>6.8388888888888886</v>
      </c>
      <c r="Y8" s="30">
        <v>477</v>
      </c>
      <c r="Z8" s="26">
        <v>54</v>
      </c>
      <c r="AA8" s="26">
        <v>54</v>
      </c>
      <c r="AB8" s="26">
        <v>53</v>
      </c>
      <c r="AC8" s="26">
        <v>1</v>
      </c>
      <c r="AD8" s="45">
        <v>587</v>
      </c>
      <c r="AE8" s="26">
        <v>87</v>
      </c>
      <c r="AF8" s="26">
        <v>87</v>
      </c>
      <c r="AG8" s="26">
        <v>84</v>
      </c>
      <c r="AH8" s="26">
        <v>3</v>
      </c>
      <c r="AI8" s="26">
        <v>76</v>
      </c>
      <c r="AJ8" s="26">
        <v>71</v>
      </c>
      <c r="AK8" s="26">
        <v>32</v>
      </c>
      <c r="AL8" s="26">
        <v>44</v>
      </c>
      <c r="AM8" s="26">
        <f t="shared" si="4"/>
        <v>1064</v>
      </c>
      <c r="AN8" s="32">
        <f t="shared" si="5"/>
        <v>169</v>
      </c>
      <c r="AO8" s="32">
        <f t="shared" si="6"/>
        <v>212</v>
      </c>
      <c r="AP8" s="32">
        <v>215</v>
      </c>
      <c r="AQ8" s="33">
        <f t="shared" si="7"/>
        <v>4.9488372093023258</v>
      </c>
      <c r="AR8" s="29">
        <f t="shared" si="8"/>
        <v>-13.566206336311943</v>
      </c>
      <c r="AS8" s="26">
        <v>84</v>
      </c>
      <c r="AT8" s="26">
        <v>84</v>
      </c>
      <c r="AU8" s="26">
        <v>83</v>
      </c>
      <c r="AV8" s="26">
        <v>1</v>
      </c>
      <c r="AW8" s="26">
        <v>99</v>
      </c>
      <c r="AX8" s="26">
        <v>99</v>
      </c>
      <c r="AY8" s="26">
        <v>96</v>
      </c>
      <c r="AZ8" s="26">
        <v>3</v>
      </c>
      <c r="BA8" s="26">
        <v>101</v>
      </c>
      <c r="BB8" s="26">
        <v>76</v>
      </c>
      <c r="BC8" s="26">
        <v>39</v>
      </c>
      <c r="BD8" s="26">
        <v>60</v>
      </c>
      <c r="BE8" s="26">
        <v>60</v>
      </c>
      <c r="BF8" s="26">
        <v>5</v>
      </c>
      <c r="BG8" s="26">
        <v>5</v>
      </c>
      <c r="BH8" s="26">
        <v>55</v>
      </c>
      <c r="BI8" s="26">
        <v>0</v>
      </c>
      <c r="BJ8" s="26">
        <v>0</v>
      </c>
      <c r="BK8" s="26"/>
      <c r="BL8" s="27"/>
      <c r="BM8" s="34">
        <v>1305</v>
      </c>
      <c r="BN8" s="26">
        <v>280</v>
      </c>
      <c r="BO8" s="35">
        <f t="shared" si="9"/>
        <v>223</v>
      </c>
      <c r="BP8" s="35">
        <f t="shared" si="10"/>
        <v>264</v>
      </c>
      <c r="BQ8" s="36">
        <f t="shared" si="11"/>
        <v>4.6607142857142856</v>
      </c>
      <c r="BR8" s="37">
        <f t="shared" si="12"/>
        <v>22.650375939849624</v>
      </c>
      <c r="BS8" s="26">
        <v>84</v>
      </c>
      <c r="BT8" s="26">
        <v>84</v>
      </c>
      <c r="BU8" s="26">
        <v>82</v>
      </c>
      <c r="BV8" s="26">
        <v>2</v>
      </c>
      <c r="BW8" s="26">
        <v>100</v>
      </c>
      <c r="BX8" s="26">
        <v>100</v>
      </c>
      <c r="BY8" s="26">
        <v>95</v>
      </c>
      <c r="BZ8" s="26">
        <v>5</v>
      </c>
      <c r="CA8" s="26">
        <v>103</v>
      </c>
      <c r="CB8" s="26">
        <v>66</v>
      </c>
      <c r="CC8" s="26">
        <v>44</v>
      </c>
      <c r="CD8" s="26">
        <v>50</v>
      </c>
      <c r="CE8" s="26">
        <v>50</v>
      </c>
      <c r="CF8" s="26">
        <v>10</v>
      </c>
      <c r="CG8" s="26">
        <v>9</v>
      </c>
      <c r="CH8" s="26">
        <v>41</v>
      </c>
      <c r="CI8" s="26">
        <v>50</v>
      </c>
      <c r="CJ8" s="26">
        <v>3</v>
      </c>
      <c r="CK8" s="26">
        <v>2</v>
      </c>
      <c r="CL8" s="26">
        <v>48</v>
      </c>
      <c r="CM8" s="26"/>
      <c r="CN8" s="26"/>
      <c r="CO8" s="27">
        <v>0</v>
      </c>
      <c r="CP8" s="34">
        <v>1409</v>
      </c>
      <c r="CQ8" s="26">
        <f t="shared" si="13"/>
        <v>232</v>
      </c>
      <c r="CR8" s="26">
        <f t="shared" si="14"/>
        <v>263</v>
      </c>
      <c r="CS8" s="26">
        <v>280</v>
      </c>
      <c r="CT8" s="36">
        <f t="shared" si="15"/>
        <v>5.0321428571428575</v>
      </c>
      <c r="CU8" s="38">
        <f t="shared" si="16"/>
        <v>7.969348659003832</v>
      </c>
      <c r="CV8" s="26">
        <v>84.0</v>
      </c>
      <c r="CW8" s="26">
        <v>82</v>
      </c>
      <c r="CX8" s="26">
        <v>82</v>
      </c>
      <c r="CY8" s="26">
        <v>2</v>
      </c>
      <c r="CZ8" s="26">
        <v>100.0</v>
      </c>
      <c r="DA8" s="26">
        <v>102</v>
      </c>
      <c r="DB8" s="26">
        <v>99</v>
      </c>
      <c r="DC8" s="26">
        <v>1</v>
      </c>
      <c r="DD8" s="26">
        <v>83.0</v>
      </c>
      <c r="DE8" s="26">
        <v>74</v>
      </c>
      <c r="DF8" s="26">
        <v>51</v>
      </c>
      <c r="DG8" s="26">
        <v>48</v>
      </c>
      <c r="DH8" s="26"/>
      <c r="DI8" s="39">
        <v>18</v>
      </c>
      <c r="DJ8" s="26">
        <v>16</v>
      </c>
      <c r="DK8" s="26"/>
      <c r="DL8" s="26">
        <v>51</v>
      </c>
      <c r="DM8" s="26">
        <v>6</v>
      </c>
      <c r="DN8" s="26">
        <v>4</v>
      </c>
      <c r="DO8" s="26"/>
      <c r="DP8" s="40">
        <v>0</v>
      </c>
      <c r="DQ8" s="41">
        <v>0</v>
      </c>
      <c r="DR8" s="27"/>
      <c r="DS8" s="42">
        <v>1416</v>
      </c>
      <c r="DT8" s="43">
        <f t="shared" si="17"/>
        <v>252</v>
      </c>
      <c r="DU8" s="43">
        <f t="shared" si="18"/>
        <v>282</v>
      </c>
      <c r="DV8" s="26">
        <v>280.0</v>
      </c>
      <c r="DW8" s="33">
        <v>5.057142857</v>
      </c>
      <c r="DX8" s="44">
        <f t="shared" si="20"/>
        <v>0.49680624556422998</v>
      </c>
    </row>
    <row r="9" spans="1:128">
      <c r="A9" s="26">
        <v>3</v>
      </c>
      <c r="B9" s="26" t="s">
        <v>274</v>
      </c>
      <c r="C9" s="26" t="s">
        <v>275</v>
      </c>
      <c r="D9" s="27" t="s">
        <v>23</v>
      </c>
      <c r="E9" s="26">
        <v>172</v>
      </c>
      <c r="F9" s="26">
        <v>35</v>
      </c>
      <c r="G9" s="26">
        <v>35</v>
      </c>
      <c r="H9" s="26">
        <v>33</v>
      </c>
      <c r="I9" s="26">
        <v>2</v>
      </c>
      <c r="J9" s="28">
        <v>243</v>
      </c>
      <c r="K9" s="26">
        <v>66</v>
      </c>
      <c r="L9" s="26">
        <v>66</v>
      </c>
      <c r="M9" s="26">
        <v>55</v>
      </c>
      <c r="N9" s="26">
        <v>1</v>
      </c>
      <c r="O9" s="28">
        <v>27</v>
      </c>
      <c r="P9" s="26">
        <v>43</v>
      </c>
      <c r="Q9" s="26">
        <v>23</v>
      </c>
      <c r="R9" s="26">
        <v>8</v>
      </c>
      <c r="S9" s="27">
        <v>44</v>
      </c>
      <c r="T9" s="26">
        <f t="shared" si="0"/>
        <v>442</v>
      </c>
      <c r="U9" s="26">
        <f t="shared" si="1"/>
        <v>96</v>
      </c>
      <c r="V9" s="26">
        <f t="shared" si="2"/>
        <v>124</v>
      </c>
      <c r="W9" s="26">
        <v>140</v>
      </c>
      <c r="X9" s="29">
        <f t="shared" si="3"/>
        <v>3.157142857142857</v>
      </c>
      <c r="Y9" s="30">
        <v>226</v>
      </c>
      <c r="Z9" s="26">
        <v>30</v>
      </c>
      <c r="AA9" s="26">
        <v>30</v>
      </c>
      <c r="AB9" s="26">
        <v>27</v>
      </c>
      <c r="AC9" s="26">
        <v>3</v>
      </c>
      <c r="AD9" s="45">
        <v>231</v>
      </c>
      <c r="AE9" s="26">
        <v>51</v>
      </c>
      <c r="AF9" s="26">
        <v>51</v>
      </c>
      <c r="AG9" s="26">
        <v>45</v>
      </c>
      <c r="AH9" s="26">
        <v>6</v>
      </c>
      <c r="AI9" s="26">
        <v>48</v>
      </c>
      <c r="AJ9" s="26">
        <v>25</v>
      </c>
      <c r="AK9" s="26">
        <v>15</v>
      </c>
      <c r="AL9" s="26">
        <v>33</v>
      </c>
      <c r="AM9" s="26">
        <f t="shared" si="4"/>
        <v>457</v>
      </c>
      <c r="AN9" s="32">
        <f t="shared" si="5"/>
        <v>87</v>
      </c>
      <c r="AO9" s="32">
        <f t="shared" si="6"/>
        <v>106</v>
      </c>
      <c r="AP9" s="32">
        <v>120</v>
      </c>
      <c r="AQ9" s="33">
        <f t="shared" si="7"/>
        <v>3.8083333333333331</v>
      </c>
      <c r="AR9" s="29">
        <f t="shared" si="8"/>
        <v>3.3936651583710407</v>
      </c>
      <c r="AS9" s="26">
        <v>36</v>
      </c>
      <c r="AT9" s="26">
        <v>36</v>
      </c>
      <c r="AU9" s="26">
        <v>34</v>
      </c>
      <c r="AV9" s="26">
        <v>2</v>
      </c>
      <c r="AW9" s="26">
        <v>44</v>
      </c>
      <c r="AX9" s="26">
        <v>44</v>
      </c>
      <c r="AY9" s="26">
        <v>35</v>
      </c>
      <c r="AZ9" s="26">
        <v>9</v>
      </c>
      <c r="BA9" s="26">
        <v>51</v>
      </c>
      <c r="BB9" s="26">
        <v>38</v>
      </c>
      <c r="BC9" s="26">
        <v>28</v>
      </c>
      <c r="BD9" s="26">
        <v>16</v>
      </c>
      <c r="BE9" s="26">
        <v>16</v>
      </c>
      <c r="BF9" s="26">
        <v>3</v>
      </c>
      <c r="BG9" s="26">
        <v>3</v>
      </c>
      <c r="BH9" s="26">
        <v>13</v>
      </c>
      <c r="BI9" s="26">
        <v>0</v>
      </c>
      <c r="BJ9" s="26">
        <v>0</v>
      </c>
      <c r="BK9" s="26">
        <v>1</v>
      </c>
      <c r="BL9" s="27">
        <v>1</v>
      </c>
      <c r="BM9" s="34">
        <v>550</v>
      </c>
      <c r="BN9" s="26">
        <v>120</v>
      </c>
      <c r="BO9" s="35">
        <f t="shared" si="9"/>
        <v>100</v>
      </c>
      <c r="BP9" s="35">
        <f t="shared" si="10"/>
        <v>122</v>
      </c>
      <c r="BQ9" s="36">
        <f t="shared" si="11"/>
        <v>4.583333333333333</v>
      </c>
      <c r="BR9" s="37">
        <f t="shared" si="12"/>
        <v>20.350109409190374</v>
      </c>
      <c r="BS9" s="26">
        <v>36</v>
      </c>
      <c r="BT9" s="26">
        <v>36</v>
      </c>
      <c r="BU9" s="26">
        <v>33</v>
      </c>
      <c r="BV9" s="26">
        <v>3</v>
      </c>
      <c r="BW9" s="26">
        <v>45</v>
      </c>
      <c r="BX9" s="26">
        <v>45</v>
      </c>
      <c r="BY9" s="26">
        <v>42</v>
      </c>
      <c r="BZ9" s="26">
        <v>3</v>
      </c>
      <c r="CA9" s="26">
        <v>45</v>
      </c>
      <c r="CB9" s="26">
        <v>33</v>
      </c>
      <c r="CC9" s="26">
        <v>22</v>
      </c>
      <c r="CD9" s="26">
        <v>20</v>
      </c>
      <c r="CE9" s="26">
        <v>20</v>
      </c>
      <c r="CF9" s="26">
        <v>4</v>
      </c>
      <c r="CG9" s="26">
        <v>3</v>
      </c>
      <c r="CH9" s="26">
        <v>17</v>
      </c>
      <c r="CI9" s="26">
        <v>19</v>
      </c>
      <c r="CJ9" s="26">
        <v>1</v>
      </c>
      <c r="CK9" s="26">
        <v>1</v>
      </c>
      <c r="CL9" s="26">
        <v>18</v>
      </c>
      <c r="CM9" s="26">
        <v>1</v>
      </c>
      <c r="CN9" s="26"/>
      <c r="CO9" s="27">
        <v>1</v>
      </c>
      <c r="CP9" s="34">
        <v>662</v>
      </c>
      <c r="CQ9" s="26">
        <f t="shared" si="13"/>
        <v>101</v>
      </c>
      <c r="CR9" s="26">
        <f t="shared" si="14"/>
        <v>120</v>
      </c>
      <c r="CS9" s="26">
        <v>120</v>
      </c>
      <c r="CT9" s="36">
        <f t="shared" si="15"/>
        <v>5.5166666666666666</v>
      </c>
      <c r="CU9" s="38">
        <f t="shared" si="16"/>
        <v>20.363636363636363</v>
      </c>
      <c r="CV9" s="26">
        <v>36.0</v>
      </c>
      <c r="CW9" s="26">
        <v>36</v>
      </c>
      <c r="CX9" s="26">
        <v>34</v>
      </c>
      <c r="CY9" s="26">
        <v>2</v>
      </c>
      <c r="CZ9" s="26">
        <v>44.0</v>
      </c>
      <c r="DA9" s="26">
        <v>43</v>
      </c>
      <c r="DB9" s="26">
        <v>36</v>
      </c>
      <c r="DC9" s="26">
        <v>8</v>
      </c>
      <c r="DD9" s="26">
        <v>44.0</v>
      </c>
      <c r="DE9" s="26">
        <v>34</v>
      </c>
      <c r="DF9" s="26">
        <v>21</v>
      </c>
      <c r="DG9" s="26">
        <v>29</v>
      </c>
      <c r="DH9" s="26"/>
      <c r="DI9" s="39">
        <v>8</v>
      </c>
      <c r="DJ9" s="26">
        <v>6</v>
      </c>
      <c r="DK9" s="26"/>
      <c r="DL9" s="26">
        <v>39</v>
      </c>
      <c r="DM9" s="26">
        <v>3</v>
      </c>
      <c r="DN9" s="26">
        <v>1</v>
      </c>
      <c r="DO9" s="26"/>
      <c r="DP9" s="46">
        <v>0</v>
      </c>
      <c r="DQ9" s="41">
        <v>0</v>
      </c>
      <c r="DR9" s="27"/>
      <c r="DS9" s="42">
        <v>726</v>
      </c>
      <c r="DT9" s="43">
        <f t="shared" si="17"/>
        <v>98</v>
      </c>
      <c r="DU9" s="43">
        <f t="shared" si="18"/>
        <v>124</v>
      </c>
      <c r="DV9" s="26">
        <v>120.0</v>
      </c>
      <c r="DW9" s="33">
        <v>6.05</v>
      </c>
      <c r="DX9" s="44">
        <f t="shared" si="20"/>
        <v>9.667673716012084</v>
      </c>
    </row>
    <row r="10" spans="1:128">
      <c r="A10" s="26">
        <v>4</v>
      </c>
      <c r="B10" s="26" t="s">
        <v>276</v>
      </c>
      <c r="C10" s="26" t="s">
        <v>277</v>
      </c>
      <c r="D10" s="27" t="s">
        <v>23</v>
      </c>
      <c r="E10" s="26">
        <v>174</v>
      </c>
      <c r="F10" s="26">
        <v>35</v>
      </c>
      <c r="G10" s="26">
        <v>35</v>
      </c>
      <c r="H10" s="26">
        <v>33</v>
      </c>
      <c r="I10" s="26">
        <v>2</v>
      </c>
      <c r="J10" s="28">
        <v>150</v>
      </c>
      <c r="K10" s="26">
        <v>64</v>
      </c>
      <c r="L10" s="26">
        <v>64</v>
      </c>
      <c r="M10" s="26">
        <v>56</v>
      </c>
      <c r="N10" s="26">
        <v>1</v>
      </c>
      <c r="O10" s="28">
        <v>20</v>
      </c>
      <c r="P10" s="26">
        <v>43</v>
      </c>
      <c r="Q10" s="26">
        <v>14</v>
      </c>
      <c r="R10" s="26">
        <v>7</v>
      </c>
      <c r="S10" s="27">
        <v>44</v>
      </c>
      <c r="T10" s="26">
        <f t="shared" si="0"/>
        <v>344</v>
      </c>
      <c r="U10" s="26">
        <f t="shared" si="1"/>
        <v>96</v>
      </c>
      <c r="V10" s="26">
        <f t="shared" si="2"/>
        <v>113</v>
      </c>
      <c r="W10" s="26">
        <v>140</v>
      </c>
      <c r="X10" s="29">
        <f t="shared" si="3"/>
        <v>2.4571428571428573</v>
      </c>
      <c r="Y10" s="30">
        <v>138</v>
      </c>
      <c r="Z10" s="26">
        <v>35</v>
      </c>
      <c r="AA10" s="26">
        <v>35</v>
      </c>
      <c r="AB10" s="26">
        <v>29</v>
      </c>
      <c r="AC10" s="26">
        <v>6</v>
      </c>
      <c r="AD10" s="45">
        <v>155</v>
      </c>
      <c r="AE10" s="26">
        <v>62</v>
      </c>
      <c r="AF10" s="26">
        <v>62</v>
      </c>
      <c r="AG10" s="26">
        <v>52</v>
      </c>
      <c r="AH10" s="26">
        <v>10</v>
      </c>
      <c r="AI10" s="26">
        <v>57</v>
      </c>
      <c r="AJ10" s="26">
        <v>11</v>
      </c>
      <c r="AK10" s="26">
        <v>4</v>
      </c>
      <c r="AL10" s="26">
        <v>53</v>
      </c>
      <c r="AM10" s="26">
        <f t="shared" si="4"/>
        <v>293</v>
      </c>
      <c r="AN10" s="32">
        <f t="shared" si="5"/>
        <v>85</v>
      </c>
      <c r="AO10" s="32">
        <f t="shared" si="6"/>
        <v>108</v>
      </c>
      <c r="AP10" s="32">
        <v>140</v>
      </c>
      <c r="AQ10" s="33">
        <f t="shared" si="7"/>
        <v>2.092857142857143</v>
      </c>
      <c r="AR10" s="29">
        <f t="shared" si="8"/>
        <v>-14.825581395348838</v>
      </c>
      <c r="AS10" s="26">
        <v>48</v>
      </c>
      <c r="AT10" s="26">
        <v>48</v>
      </c>
      <c r="AU10" s="26">
        <v>48</v>
      </c>
      <c r="AV10" s="26">
        <v>0</v>
      </c>
      <c r="AW10" s="26">
        <v>56</v>
      </c>
      <c r="AX10" s="26">
        <v>56</v>
      </c>
      <c r="AY10" s="26">
        <v>46</v>
      </c>
      <c r="AZ10" s="26">
        <v>10</v>
      </c>
      <c r="BA10" s="26">
        <v>66</v>
      </c>
      <c r="BB10" s="26">
        <v>13</v>
      </c>
      <c r="BC10" s="26">
        <v>6</v>
      </c>
      <c r="BD10" s="26">
        <v>50</v>
      </c>
      <c r="BE10" s="26">
        <v>50</v>
      </c>
      <c r="BF10" s="26">
        <v>2</v>
      </c>
      <c r="BG10" s="26">
        <v>0</v>
      </c>
      <c r="BH10" s="26">
        <v>50</v>
      </c>
      <c r="BI10" s="26">
        <v>0</v>
      </c>
      <c r="BJ10" s="26">
        <v>0</v>
      </c>
      <c r="BK10" s="26"/>
      <c r="BL10" s="27"/>
      <c r="BM10" s="34">
        <v>398</v>
      </c>
      <c r="BN10" s="26">
        <v>160</v>
      </c>
      <c r="BO10" s="35">
        <f t="shared" si="9"/>
        <v>100</v>
      </c>
      <c r="BP10" s="35">
        <f t="shared" si="10"/>
        <v>119</v>
      </c>
      <c r="BQ10" s="36">
        <f t="shared" si="11"/>
        <v>2.4874999999999998</v>
      </c>
      <c r="BR10" s="37">
        <f t="shared" si="12"/>
        <v>35.836177474402731</v>
      </c>
      <c r="BS10" s="26">
        <v>54</v>
      </c>
      <c r="BT10" s="26">
        <v>54</v>
      </c>
      <c r="BU10" s="26">
        <v>54</v>
      </c>
      <c r="BV10" s="26">
        <v>0</v>
      </c>
      <c r="BW10" s="26">
        <v>63</v>
      </c>
      <c r="BX10" s="26">
        <v>63</v>
      </c>
      <c r="BY10" s="26">
        <v>54</v>
      </c>
      <c r="BZ10" s="26">
        <v>9</v>
      </c>
      <c r="CA10" s="26">
        <v>72</v>
      </c>
      <c r="CB10" s="26">
        <v>13</v>
      </c>
      <c r="CC10" s="26">
        <v>2</v>
      </c>
      <c r="CD10" s="26">
        <v>66</v>
      </c>
      <c r="CE10" s="26">
        <v>66</v>
      </c>
      <c r="CF10" s="26">
        <v>8</v>
      </c>
      <c r="CG10" s="26">
        <v>4</v>
      </c>
      <c r="CH10" s="26">
        <v>62</v>
      </c>
      <c r="CI10" s="26">
        <v>66</v>
      </c>
      <c r="CJ10" s="26">
        <v>4</v>
      </c>
      <c r="CK10" s="26">
        <v>1</v>
      </c>
      <c r="CL10" s="26">
        <v>65</v>
      </c>
      <c r="CM10" s="26">
        <v>1</v>
      </c>
      <c r="CN10" s="26">
        <v>1</v>
      </c>
      <c r="CO10" s="27">
        <v>0</v>
      </c>
      <c r="CP10" s="34">
        <v>474</v>
      </c>
      <c r="CQ10" s="26">
        <f t="shared" si="13"/>
        <v>116</v>
      </c>
      <c r="CR10" s="26">
        <f t="shared" si="14"/>
        <v>143</v>
      </c>
      <c r="CS10" s="26">
        <v>180</v>
      </c>
      <c r="CT10" s="36">
        <f t="shared" si="15"/>
        <v>2.6333333333333333</v>
      </c>
      <c r="CU10" s="38">
        <f t="shared" si="16"/>
        <v>19.095477386934672</v>
      </c>
      <c r="CV10" s="26">
        <v>54.0</v>
      </c>
      <c r="CW10" s="26">
        <v>54</v>
      </c>
      <c r="CX10" s="26">
        <v>54</v>
      </c>
      <c r="CY10" s="26">
        <v>0</v>
      </c>
      <c r="CZ10" s="26">
        <v>63.0</v>
      </c>
      <c r="DA10" s="26">
        <v>63</v>
      </c>
      <c r="DB10" s="26">
        <v>55</v>
      </c>
      <c r="DC10" s="26">
        <v>8</v>
      </c>
      <c r="DD10" s="26">
        <v>68.0</v>
      </c>
      <c r="DE10" s="26">
        <v>16</v>
      </c>
      <c r="DF10" s="26">
        <v>7</v>
      </c>
      <c r="DG10" s="26">
        <v>64</v>
      </c>
      <c r="DH10" s="26"/>
      <c r="DI10" s="39">
        <v>7</v>
      </c>
      <c r="DJ10" s="26">
        <v>3</v>
      </c>
      <c r="DK10" s="26"/>
      <c r="DL10" s="26">
        <v>72</v>
      </c>
      <c r="DM10" s="26">
        <v>3</v>
      </c>
      <c r="DN10" s="26">
        <v>1</v>
      </c>
      <c r="DO10" s="26"/>
      <c r="DP10" s="46">
        <v>0</v>
      </c>
      <c r="DQ10" s="41">
        <v>0</v>
      </c>
      <c r="DR10" s="27"/>
      <c r="DS10" s="42">
        <v>438</v>
      </c>
      <c r="DT10" s="43">
        <f t="shared" si="17"/>
        <v>120</v>
      </c>
      <c r="DU10" s="43">
        <f t="shared" si="18"/>
        <v>143</v>
      </c>
      <c r="DV10" s="26">
        <v>180.0</v>
      </c>
      <c r="DW10" s="33">
        <v>2.433333333</v>
      </c>
      <c r="DX10" s="44">
        <f t="shared" si="20"/>
        <v>-7.59493670886076</v>
      </c>
    </row>
    <row r="11" spans="1:128">
      <c r="A11" s="26">
        <v>5</v>
      </c>
      <c r="B11" s="26" t="s">
        <v>287</v>
      </c>
      <c r="C11" s="26" t="s">
        <v>288</v>
      </c>
      <c r="D11" s="27" t="s">
        <v>23</v>
      </c>
      <c r="E11" s="26">
        <v>303</v>
      </c>
      <c r="F11" s="26">
        <v>35</v>
      </c>
      <c r="G11" s="26">
        <v>35</v>
      </c>
      <c r="H11" s="26">
        <v>34</v>
      </c>
      <c r="I11" s="26">
        <v>1</v>
      </c>
      <c r="J11" s="28">
        <v>358</v>
      </c>
      <c r="K11" s="26">
        <v>64</v>
      </c>
      <c r="L11" s="26">
        <v>64</v>
      </c>
      <c r="M11" s="26">
        <v>57</v>
      </c>
      <c r="N11" s="26">
        <v>6</v>
      </c>
      <c r="O11" s="28">
        <v>59</v>
      </c>
      <c r="P11" s="26">
        <v>48</v>
      </c>
      <c r="Q11" s="26">
        <v>35</v>
      </c>
      <c r="R11" s="26">
        <v>25</v>
      </c>
      <c r="S11" s="27">
        <v>24</v>
      </c>
      <c r="T11" s="26">
        <f t="shared" si="0"/>
        <v>720</v>
      </c>
      <c r="U11" s="26">
        <f t="shared" si="1"/>
        <v>116</v>
      </c>
      <c r="V11" s="26">
        <f t="shared" si="2"/>
        <v>134</v>
      </c>
      <c r="W11" s="26">
        <v>140</v>
      </c>
      <c r="X11" s="29">
        <f t="shared" si="3"/>
        <v>5.1428571428571432</v>
      </c>
      <c r="Y11" s="30">
        <v>262</v>
      </c>
      <c r="Z11" s="26">
        <v>38</v>
      </c>
      <c r="AA11" s="26">
        <v>38</v>
      </c>
      <c r="AB11" s="26">
        <v>37</v>
      </c>
      <c r="AC11" s="26">
        <v>1</v>
      </c>
      <c r="AD11" s="45">
        <v>296</v>
      </c>
      <c r="AE11" s="26">
        <v>61</v>
      </c>
      <c r="AF11" s="26">
        <v>61</v>
      </c>
      <c r="AG11" s="26">
        <v>56</v>
      </c>
      <c r="AH11" s="26">
        <v>5</v>
      </c>
      <c r="AI11" s="26">
        <v>55</v>
      </c>
      <c r="AJ11" s="26">
        <v>40</v>
      </c>
      <c r="AK11" s="26">
        <v>23</v>
      </c>
      <c r="AL11" s="26">
        <v>32</v>
      </c>
      <c r="AM11" s="26">
        <f t="shared" si="4"/>
        <v>558</v>
      </c>
      <c r="AN11" s="32">
        <f t="shared" si="5"/>
        <v>116</v>
      </c>
      <c r="AO11" s="32">
        <f t="shared" si="6"/>
        <v>139</v>
      </c>
      <c r="AP11" s="32">
        <v>150</v>
      </c>
      <c r="AQ11" s="33">
        <f t="shared" si="7"/>
        <v>3.72</v>
      </c>
      <c r="AR11" s="29">
        <f t="shared" si="8"/>
        <v>-22.5</v>
      </c>
      <c r="AS11" s="26">
        <v>48</v>
      </c>
      <c r="AT11" s="26">
        <v>48</v>
      </c>
      <c r="AU11" s="26">
        <v>44</v>
      </c>
      <c r="AV11" s="26">
        <v>4</v>
      </c>
      <c r="AW11" s="26">
        <v>60</v>
      </c>
      <c r="AX11" s="26">
        <v>60</v>
      </c>
      <c r="AY11" s="26">
        <v>56</v>
      </c>
      <c r="AZ11" s="26">
        <v>4</v>
      </c>
      <c r="BA11" s="26">
        <v>60</v>
      </c>
      <c r="BB11" s="26">
        <v>34</v>
      </c>
      <c r="BC11" s="26">
        <v>19</v>
      </c>
      <c r="BD11" s="26">
        <v>41</v>
      </c>
      <c r="BE11" s="26">
        <v>41</v>
      </c>
      <c r="BF11" s="26">
        <v>3</v>
      </c>
      <c r="BG11" s="26">
        <v>2</v>
      </c>
      <c r="BH11" s="26">
        <v>39</v>
      </c>
      <c r="BI11" s="26">
        <v>1</v>
      </c>
      <c r="BJ11" s="26">
        <v>1</v>
      </c>
      <c r="BK11" s="26"/>
      <c r="BL11" s="27"/>
      <c r="BM11" s="34">
        <v>641</v>
      </c>
      <c r="BN11" s="26">
        <v>160</v>
      </c>
      <c r="BO11" s="35">
        <f t="shared" si="9"/>
        <v>122</v>
      </c>
      <c r="BP11" s="35">
        <f t="shared" si="10"/>
        <v>146</v>
      </c>
      <c r="BQ11" s="36">
        <f t="shared" si="11"/>
        <v>4.0062499999999996</v>
      </c>
      <c r="BR11" s="37">
        <f t="shared" si="12"/>
        <v>14.874551971326163</v>
      </c>
      <c r="BS11" s="26">
        <v>48</v>
      </c>
      <c r="BT11" s="26">
        <v>48</v>
      </c>
      <c r="BU11" s="26">
        <v>47</v>
      </c>
      <c r="BV11" s="26">
        <v>1</v>
      </c>
      <c r="BW11" s="26">
        <v>57</v>
      </c>
      <c r="BX11" s="26">
        <v>57</v>
      </c>
      <c r="BY11" s="26">
        <v>52</v>
      </c>
      <c r="BZ11" s="26">
        <v>5</v>
      </c>
      <c r="CA11" s="26">
        <v>61</v>
      </c>
      <c r="CB11" s="26">
        <v>25</v>
      </c>
      <c r="CC11" s="26">
        <v>17</v>
      </c>
      <c r="CD11" s="26">
        <v>40</v>
      </c>
      <c r="CE11" s="26">
        <v>40</v>
      </c>
      <c r="CF11" s="26">
        <v>5</v>
      </c>
      <c r="CG11" s="26">
        <v>4</v>
      </c>
      <c r="CH11" s="26">
        <v>36</v>
      </c>
      <c r="CI11" s="26">
        <v>40</v>
      </c>
      <c r="CJ11" s="26">
        <v>1</v>
      </c>
      <c r="CK11" s="26">
        <v>0</v>
      </c>
      <c r="CL11" s="26">
        <v>40</v>
      </c>
      <c r="CM11" s="26"/>
      <c r="CN11" s="26"/>
      <c r="CO11" s="27">
        <v>0</v>
      </c>
      <c r="CP11" s="34">
        <v>610</v>
      </c>
      <c r="CQ11" s="26">
        <f t="shared" si="13"/>
        <v>120</v>
      </c>
      <c r="CR11" s="26">
        <f t="shared" si="14"/>
        <v>136</v>
      </c>
      <c r="CS11" s="26">
        <v>160</v>
      </c>
      <c r="CT11" s="36">
        <f t="shared" si="15"/>
        <v>3.8125</v>
      </c>
      <c r="CU11" s="38">
        <f t="shared" si="16"/>
        <v>-4.8361934477379096</v>
      </c>
      <c r="CV11" s="26">
        <v>48.0</v>
      </c>
      <c r="CW11" s="26">
        <v>48</v>
      </c>
      <c r="CX11" s="26">
        <v>45</v>
      </c>
      <c r="CY11" s="26">
        <v>3</v>
      </c>
      <c r="CZ11" s="26">
        <v>59.0</v>
      </c>
      <c r="DA11" s="26">
        <v>59</v>
      </c>
      <c r="DB11" s="26">
        <v>53</v>
      </c>
      <c r="DC11" s="26">
        <v>6</v>
      </c>
      <c r="DD11" s="26">
        <v>54.0</v>
      </c>
      <c r="DE11" s="26">
        <v>32</v>
      </c>
      <c r="DF11" s="26">
        <v>23</v>
      </c>
      <c r="DG11" s="26">
        <v>39</v>
      </c>
      <c r="DH11" s="26"/>
      <c r="DI11" s="39">
        <v>8</v>
      </c>
      <c r="DJ11" s="26">
        <v>8</v>
      </c>
      <c r="DK11" s="26"/>
      <c r="DL11" s="26">
        <v>48</v>
      </c>
      <c r="DM11" s="26">
        <v>1</v>
      </c>
      <c r="DN11" s="26">
        <v>1</v>
      </c>
      <c r="DO11" s="26"/>
      <c r="DP11" s="40">
        <v>1</v>
      </c>
      <c r="DQ11" s="41">
        <v>1</v>
      </c>
      <c r="DR11" s="27"/>
      <c r="DS11" s="42">
        <v>503</v>
      </c>
      <c r="DT11" s="43">
        <f t="shared" si="17"/>
        <v>131</v>
      </c>
      <c r="DU11" s="43">
        <f t="shared" si="18"/>
        <v>149</v>
      </c>
      <c r="DV11" s="26">
        <v>160.0</v>
      </c>
      <c r="DW11" s="33">
        <v>3.14375</v>
      </c>
      <c r="DX11" s="44">
        <f t="shared" si="20"/>
        <v>-17.540983606557379</v>
      </c>
    </row>
    <row r="12" spans="1:128">
      <c r="A12" s="26">
        <v>6</v>
      </c>
      <c r="B12" s="26" t="s">
        <v>290</v>
      </c>
      <c r="C12" s="26" t="s">
        <v>291</v>
      </c>
      <c r="D12" s="27" t="s">
        <v>23</v>
      </c>
      <c r="E12" s="26">
        <v>189</v>
      </c>
      <c r="F12" s="26">
        <v>35</v>
      </c>
      <c r="G12" s="26">
        <v>34</v>
      </c>
      <c r="H12" s="26">
        <v>32</v>
      </c>
      <c r="I12" s="26">
        <v>3</v>
      </c>
      <c r="J12" s="28">
        <v>237</v>
      </c>
      <c r="K12" s="26">
        <v>66</v>
      </c>
      <c r="L12" s="26">
        <v>66</v>
      </c>
      <c r="M12" s="26">
        <v>54</v>
      </c>
      <c r="N12" s="26">
        <v>7</v>
      </c>
      <c r="O12" s="28">
        <v>23</v>
      </c>
      <c r="P12" s="26">
        <v>49</v>
      </c>
      <c r="Q12" s="26">
        <v>18</v>
      </c>
      <c r="R12" s="26">
        <v>1</v>
      </c>
      <c r="S12" s="27">
        <v>53</v>
      </c>
      <c r="T12" s="26">
        <f t="shared" si="0"/>
        <v>449</v>
      </c>
      <c r="U12" s="26">
        <f t="shared" si="1"/>
        <v>87</v>
      </c>
      <c r="V12" s="26">
        <f t="shared" si="2"/>
        <v>118</v>
      </c>
      <c r="W12" s="26">
        <v>140</v>
      </c>
      <c r="X12" s="29">
        <f t="shared" si="3"/>
        <v>3.2071428571428573</v>
      </c>
      <c r="Y12" s="30">
        <v>186</v>
      </c>
      <c r="Z12" s="26">
        <v>30</v>
      </c>
      <c r="AA12" s="26">
        <v>30</v>
      </c>
      <c r="AB12" s="26">
        <v>28</v>
      </c>
      <c r="AC12" s="26">
        <v>2</v>
      </c>
      <c r="AD12" s="45">
        <v>224</v>
      </c>
      <c r="AE12" s="26">
        <v>50</v>
      </c>
      <c r="AF12" s="26">
        <v>50</v>
      </c>
      <c r="AG12" s="26">
        <v>47</v>
      </c>
      <c r="AH12" s="26">
        <v>3</v>
      </c>
      <c r="AI12" s="26">
        <v>44</v>
      </c>
      <c r="AJ12" s="26">
        <v>13</v>
      </c>
      <c r="AK12" s="26">
        <v>4</v>
      </c>
      <c r="AL12" s="26">
        <v>40</v>
      </c>
      <c r="AM12" s="26">
        <f t="shared" si="4"/>
        <v>410</v>
      </c>
      <c r="AN12" s="32">
        <f t="shared" si="5"/>
        <v>79</v>
      </c>
      <c r="AO12" s="32">
        <f t="shared" si="6"/>
        <v>93</v>
      </c>
      <c r="AP12" s="32">
        <v>120</v>
      </c>
      <c r="AQ12" s="33">
        <f t="shared" si="7"/>
        <v>3.4166666666666665</v>
      </c>
      <c r="AR12" s="29">
        <f t="shared" si="8"/>
        <v>-8.6859688195991094</v>
      </c>
      <c r="AS12" s="26">
        <v>48</v>
      </c>
      <c r="AT12" s="26">
        <v>48</v>
      </c>
      <c r="AU12" s="26">
        <v>43</v>
      </c>
      <c r="AV12" s="26">
        <v>5</v>
      </c>
      <c r="AW12" s="26">
        <v>61</v>
      </c>
      <c r="AX12" s="26">
        <v>61</v>
      </c>
      <c r="AY12" s="26">
        <v>56</v>
      </c>
      <c r="AZ12" s="26">
        <v>5</v>
      </c>
      <c r="BA12" s="26">
        <v>61</v>
      </c>
      <c r="BB12" s="26">
        <v>22</v>
      </c>
      <c r="BC12" s="26">
        <v>11</v>
      </c>
      <c r="BD12" s="26">
        <v>50</v>
      </c>
      <c r="BE12" s="26">
        <v>50</v>
      </c>
      <c r="BF12" s="26">
        <v>3</v>
      </c>
      <c r="BG12" s="26">
        <v>3</v>
      </c>
      <c r="BH12" s="26">
        <v>47</v>
      </c>
      <c r="BI12" s="26">
        <v>0</v>
      </c>
      <c r="BJ12" s="26">
        <v>0</v>
      </c>
      <c r="BK12" s="26"/>
      <c r="BL12" s="27"/>
      <c r="BM12" s="34">
        <v>490</v>
      </c>
      <c r="BN12" s="26">
        <v>160</v>
      </c>
      <c r="BO12" s="35">
        <f t="shared" si="9"/>
        <v>113</v>
      </c>
      <c r="BP12" s="35">
        <f t="shared" si="10"/>
        <v>134</v>
      </c>
      <c r="BQ12" s="36">
        <f t="shared" si="11"/>
        <v>3.0625</v>
      </c>
      <c r="BR12" s="37">
        <f t="shared" si="12"/>
        <v>19.512195121951219</v>
      </c>
      <c r="BS12" s="26">
        <v>48</v>
      </c>
      <c r="BT12" s="26">
        <v>48</v>
      </c>
      <c r="BU12" s="26">
        <v>44</v>
      </c>
      <c r="BV12" s="26">
        <v>4</v>
      </c>
      <c r="BW12" s="26">
        <v>60</v>
      </c>
      <c r="BX12" s="26">
        <v>60</v>
      </c>
      <c r="BY12" s="26">
        <v>58</v>
      </c>
      <c r="BZ12" s="26">
        <v>2</v>
      </c>
      <c r="CA12" s="26">
        <v>58</v>
      </c>
      <c r="CB12" s="26">
        <v>20</v>
      </c>
      <c r="CC12" s="26">
        <v>9</v>
      </c>
      <c r="CD12" s="26">
        <v>47</v>
      </c>
      <c r="CE12" s="26">
        <v>47</v>
      </c>
      <c r="CF12" s="26">
        <v>4</v>
      </c>
      <c r="CG12" s="26">
        <v>2</v>
      </c>
      <c r="CH12" s="26">
        <v>45</v>
      </c>
      <c r="CI12" s="26">
        <v>47</v>
      </c>
      <c r="CJ12" s="26">
        <v>1</v>
      </c>
      <c r="CK12" s="26">
        <v>0</v>
      </c>
      <c r="CL12" s="26">
        <v>47</v>
      </c>
      <c r="CM12" s="26"/>
      <c r="CN12" s="26"/>
      <c r="CO12" s="27">
        <v>0</v>
      </c>
      <c r="CP12" s="34">
        <v>709</v>
      </c>
      <c r="CQ12" s="26">
        <f t="shared" si="13"/>
        <v>113</v>
      </c>
      <c r="CR12" s="26">
        <f t="shared" si="14"/>
        <v>133</v>
      </c>
      <c r="CS12" s="26">
        <v>160</v>
      </c>
      <c r="CT12" s="36">
        <f t="shared" si="15"/>
        <v>4.4312500000000004</v>
      </c>
      <c r="CU12" s="38">
        <f t="shared" si="16"/>
        <v>44.693877551020407</v>
      </c>
      <c r="CV12" s="26">
        <v>48.0</v>
      </c>
      <c r="CW12" s="26">
        <v>48</v>
      </c>
      <c r="CX12" s="26">
        <v>46</v>
      </c>
      <c r="CY12" s="26">
        <v>2</v>
      </c>
      <c r="CZ12" s="26">
        <v>58.0</v>
      </c>
      <c r="DA12" s="26">
        <v>58</v>
      </c>
      <c r="DB12" s="26">
        <v>52</v>
      </c>
      <c r="DC12" s="26">
        <v>6</v>
      </c>
      <c r="DD12" s="26">
        <v>59.0</v>
      </c>
      <c r="DE12" s="26">
        <v>25</v>
      </c>
      <c r="DF12" s="26">
        <v>10</v>
      </c>
      <c r="DG12" s="26">
        <v>52</v>
      </c>
      <c r="DH12" s="26"/>
      <c r="DI12" s="39">
        <v>5</v>
      </c>
      <c r="DJ12" s="26">
        <v>3</v>
      </c>
      <c r="DK12" s="26"/>
      <c r="DL12" s="26">
        <v>60</v>
      </c>
      <c r="DM12" s="26">
        <v>1</v>
      </c>
      <c r="DN12" s="26">
        <v>1</v>
      </c>
      <c r="DO12" s="26"/>
      <c r="DP12" s="40">
        <v>0</v>
      </c>
      <c r="DQ12" s="41">
        <v>0</v>
      </c>
      <c r="DR12" s="27"/>
      <c r="DS12" s="42">
        <v>709</v>
      </c>
      <c r="DT12" s="43">
        <f t="shared" si="17"/>
        <v>112</v>
      </c>
      <c r="DU12" s="43">
        <f t="shared" si="18"/>
        <v>137</v>
      </c>
      <c r="DV12" s="26">
        <v>160.0</v>
      </c>
      <c r="DW12" s="33">
        <v>4.43125</v>
      </c>
      <c r="DX12" s="44">
        <f t="shared" si="20"/>
        <v>0</v>
      </c>
    </row>
    <row r="13" spans="1:128">
      <c r="A13" s="26">
        <v>7</v>
      </c>
      <c r="B13" s="26" t="s">
        <v>294</v>
      </c>
      <c r="C13" s="26" t="s">
        <v>295</v>
      </c>
      <c r="D13" s="27" t="s">
        <v>23</v>
      </c>
      <c r="E13" s="26">
        <v>225</v>
      </c>
      <c r="F13" s="26">
        <v>30</v>
      </c>
      <c r="G13" s="26">
        <v>33</v>
      </c>
      <c r="H13" s="26">
        <v>30</v>
      </c>
      <c r="I13" s="26">
        <v>0</v>
      </c>
      <c r="J13" s="28">
        <v>263</v>
      </c>
      <c r="K13" s="26">
        <v>54</v>
      </c>
      <c r="L13" s="26">
        <v>54</v>
      </c>
      <c r="M13" s="26">
        <v>46</v>
      </c>
      <c r="N13" s="26">
        <v>7</v>
      </c>
      <c r="O13" s="28">
        <v>40</v>
      </c>
      <c r="P13" s="26">
        <v>43</v>
      </c>
      <c r="Q13" s="26">
        <v>26</v>
      </c>
      <c r="R13" s="26">
        <v>17</v>
      </c>
      <c r="S13" s="27">
        <v>27</v>
      </c>
      <c r="T13" s="26">
        <f t="shared" si="0"/>
        <v>528</v>
      </c>
      <c r="U13" s="26">
        <f t="shared" si="1"/>
        <v>93</v>
      </c>
      <c r="V13" s="26">
        <f t="shared" si="2"/>
        <v>113</v>
      </c>
      <c r="W13" s="26">
        <v>120</v>
      </c>
      <c r="X13" s="29">
        <f t="shared" si="3"/>
        <v>4.4000000000000004</v>
      </c>
      <c r="Y13" s="30">
        <v>192</v>
      </c>
      <c r="Z13" s="26">
        <v>30</v>
      </c>
      <c r="AA13" s="26">
        <v>30</v>
      </c>
      <c r="AB13" s="26">
        <v>26</v>
      </c>
      <c r="AC13" s="26">
        <v>4</v>
      </c>
      <c r="AD13" s="45">
        <v>188</v>
      </c>
      <c r="AE13" s="26">
        <v>52</v>
      </c>
      <c r="AF13" s="26">
        <v>52</v>
      </c>
      <c r="AG13" s="26">
        <v>41</v>
      </c>
      <c r="AH13" s="26">
        <v>11</v>
      </c>
      <c r="AI13" s="26">
        <v>48</v>
      </c>
      <c r="AJ13" s="26">
        <v>23</v>
      </c>
      <c r="AK13" s="26">
        <v>11</v>
      </c>
      <c r="AL13" s="26">
        <v>37</v>
      </c>
      <c r="AM13" s="26">
        <f t="shared" si="4"/>
        <v>380</v>
      </c>
      <c r="AN13" s="32">
        <f t="shared" si="5"/>
        <v>78</v>
      </c>
      <c r="AO13" s="32">
        <f t="shared" si="6"/>
        <v>105</v>
      </c>
      <c r="AP13" s="32">
        <v>120</v>
      </c>
      <c r="AQ13" s="33">
        <f t="shared" si="7"/>
        <v>3.1666666666666665</v>
      </c>
      <c r="AR13" s="29">
        <f t="shared" si="8"/>
        <v>-28.030303030303028</v>
      </c>
      <c r="AS13" s="26">
        <v>36</v>
      </c>
      <c r="AT13" s="26">
        <v>36</v>
      </c>
      <c r="AU13" s="26">
        <v>33</v>
      </c>
      <c r="AV13" s="26">
        <v>3</v>
      </c>
      <c r="AW13" s="26">
        <v>45</v>
      </c>
      <c r="AX13" s="26">
        <v>45</v>
      </c>
      <c r="AY13" s="26">
        <v>35</v>
      </c>
      <c r="AZ13" s="26">
        <v>10</v>
      </c>
      <c r="BA13" s="26">
        <v>52</v>
      </c>
      <c r="BB13" s="26">
        <v>15</v>
      </c>
      <c r="BC13" s="26">
        <v>7</v>
      </c>
      <c r="BD13" s="26">
        <v>38</v>
      </c>
      <c r="BE13" s="26">
        <v>38</v>
      </c>
      <c r="BF13" s="26">
        <v>0</v>
      </c>
      <c r="BG13" s="26">
        <v>0</v>
      </c>
      <c r="BH13" s="26">
        <v>38</v>
      </c>
      <c r="BI13" s="26">
        <v>0</v>
      </c>
      <c r="BJ13" s="26">
        <v>0</v>
      </c>
      <c r="BK13" s="26"/>
      <c r="BL13" s="27"/>
      <c r="BM13" s="34">
        <v>412</v>
      </c>
      <c r="BN13" s="26">
        <v>120</v>
      </c>
      <c r="BO13" s="35">
        <f t="shared" si="9"/>
        <v>75</v>
      </c>
      <c r="BP13" s="35">
        <f t="shared" si="10"/>
        <v>96</v>
      </c>
      <c r="BQ13" s="36">
        <f t="shared" si="11"/>
        <v>3.4333333333333331</v>
      </c>
      <c r="BR13" s="37">
        <f t="shared" si="12"/>
        <v>8.4210526315789469</v>
      </c>
      <c r="BS13" s="26">
        <v>36</v>
      </c>
      <c r="BT13" s="26">
        <v>36</v>
      </c>
      <c r="BU13" s="26">
        <v>33</v>
      </c>
      <c r="BV13" s="26">
        <v>3</v>
      </c>
      <c r="BW13" s="26">
        <v>45</v>
      </c>
      <c r="BX13" s="26">
        <v>45</v>
      </c>
      <c r="BY13" s="26">
        <v>38</v>
      </c>
      <c r="BZ13" s="26">
        <v>7</v>
      </c>
      <c r="CA13" s="26">
        <v>49</v>
      </c>
      <c r="CB13" s="26">
        <v>23</v>
      </c>
      <c r="CC13" s="26">
        <v>13</v>
      </c>
      <c r="CD13" s="26">
        <v>33</v>
      </c>
      <c r="CE13" s="26">
        <v>33</v>
      </c>
      <c r="CF13" s="26">
        <v>4</v>
      </c>
      <c r="CG13" s="26">
        <v>3</v>
      </c>
      <c r="CH13" s="26">
        <v>30</v>
      </c>
      <c r="CI13" s="26">
        <v>33</v>
      </c>
      <c r="CJ13" s="26">
        <v>1</v>
      </c>
      <c r="CK13" s="26">
        <v>1</v>
      </c>
      <c r="CL13" s="26">
        <v>32</v>
      </c>
      <c r="CM13" s="26"/>
      <c r="CN13" s="26"/>
      <c r="CO13" s="27">
        <v>0</v>
      </c>
      <c r="CP13" s="34">
        <v>549</v>
      </c>
      <c r="CQ13" s="26">
        <f t="shared" si="13"/>
        <v>88</v>
      </c>
      <c r="CR13" s="26">
        <f t="shared" si="14"/>
        <v>109</v>
      </c>
      <c r="CS13" s="26">
        <v>120</v>
      </c>
      <c r="CT13" s="36">
        <f t="shared" si="15"/>
        <v>4.5750000000000002</v>
      </c>
      <c r="CU13" s="38">
        <f t="shared" si="16"/>
        <v>33.252427184466022</v>
      </c>
      <c r="CV13" s="26">
        <v>36.0</v>
      </c>
      <c r="CW13" s="26">
        <v>35</v>
      </c>
      <c r="CX13" s="26">
        <v>35</v>
      </c>
      <c r="CY13" s="26">
        <v>1</v>
      </c>
      <c r="CZ13" s="26">
        <v>43.0</v>
      </c>
      <c r="DA13" s="26">
        <v>43</v>
      </c>
      <c r="DB13" s="26">
        <v>37</v>
      </c>
      <c r="DC13" s="26">
        <v>6</v>
      </c>
      <c r="DD13" s="26">
        <v>48.0</v>
      </c>
      <c r="DE13" s="26">
        <v>34</v>
      </c>
      <c r="DF13" s="26">
        <v>21</v>
      </c>
      <c r="DG13" s="26">
        <v>27</v>
      </c>
      <c r="DH13" s="26"/>
      <c r="DI13" s="39">
        <v>2</v>
      </c>
      <c r="DJ13" s="26">
        <v>0</v>
      </c>
      <c r="DK13" s="26"/>
      <c r="DL13" s="26">
        <v>34</v>
      </c>
      <c r="DM13" s="26">
        <v>1</v>
      </c>
      <c r="DN13" s="26">
        <v>0</v>
      </c>
      <c r="DO13" s="26"/>
      <c r="DP13" s="40">
        <v>1</v>
      </c>
      <c r="DQ13" s="41">
        <v>1</v>
      </c>
      <c r="DR13" s="27"/>
      <c r="DS13" s="42">
        <v>617</v>
      </c>
      <c r="DT13" s="43">
        <f t="shared" si="17"/>
        <v>94</v>
      </c>
      <c r="DU13" s="43">
        <f t="shared" si="18"/>
        <v>116</v>
      </c>
      <c r="DV13" s="26">
        <v>120.0</v>
      </c>
      <c r="DW13" s="33">
        <v>5.141666667</v>
      </c>
      <c r="DX13" s="44">
        <f t="shared" si="20"/>
        <v>12.386156648451731</v>
      </c>
    </row>
    <row r="14" spans="1:128">
      <c r="A14" s="26">
        <v>8</v>
      </c>
      <c r="B14" s="26" t="s">
        <v>301</v>
      </c>
      <c r="C14" s="26" t="s">
        <v>302</v>
      </c>
      <c r="D14" s="27" t="s">
        <v>23</v>
      </c>
      <c r="E14" s="26">
        <v>380</v>
      </c>
      <c r="F14" s="26">
        <v>28</v>
      </c>
      <c r="G14" s="26">
        <v>31</v>
      </c>
      <c r="H14" s="26">
        <v>31</v>
      </c>
      <c r="I14" s="26">
        <v>-3</v>
      </c>
      <c r="J14" s="28">
        <v>402</v>
      </c>
      <c r="K14" s="26">
        <v>49</v>
      </c>
      <c r="L14" s="26">
        <v>49</v>
      </c>
      <c r="M14" s="26">
        <v>44</v>
      </c>
      <c r="N14" s="26">
        <v>6</v>
      </c>
      <c r="O14" s="28">
        <v>93</v>
      </c>
      <c r="P14" s="26">
        <v>39</v>
      </c>
      <c r="Q14" s="26">
        <v>41</v>
      </c>
      <c r="R14" s="26">
        <v>23</v>
      </c>
      <c r="S14" s="27">
        <v>12</v>
      </c>
      <c r="T14" s="26">
        <f t="shared" si="0"/>
        <v>875</v>
      </c>
      <c r="U14" s="26">
        <f t="shared" si="1"/>
        <v>98</v>
      </c>
      <c r="V14" s="26">
        <f t="shared" si="2"/>
        <v>121</v>
      </c>
      <c r="W14" s="26">
        <v>110</v>
      </c>
      <c r="X14" s="29">
        <f t="shared" si="3"/>
        <v>7.9545454545454541</v>
      </c>
      <c r="Y14" s="30">
        <v>322</v>
      </c>
      <c r="Z14" s="26">
        <v>28</v>
      </c>
      <c r="AA14" s="26">
        <v>28</v>
      </c>
      <c r="AB14" s="26">
        <v>26</v>
      </c>
      <c r="AC14" s="26">
        <v>2</v>
      </c>
      <c r="AD14" s="45">
        <v>288</v>
      </c>
      <c r="AE14" s="26">
        <v>46</v>
      </c>
      <c r="AF14" s="26">
        <v>46</v>
      </c>
      <c r="AG14" s="26">
        <v>39</v>
      </c>
      <c r="AH14" s="26">
        <v>7</v>
      </c>
      <c r="AI14" s="26">
        <v>42</v>
      </c>
      <c r="AJ14" s="26">
        <v>29</v>
      </c>
      <c r="AK14" s="26">
        <v>16</v>
      </c>
      <c r="AL14" s="26">
        <v>26</v>
      </c>
      <c r="AM14" s="26">
        <f t="shared" si="4"/>
        <v>610</v>
      </c>
      <c r="AN14" s="32">
        <f t="shared" si="5"/>
        <v>81</v>
      </c>
      <c r="AO14" s="32">
        <f t="shared" si="6"/>
        <v>103</v>
      </c>
      <c r="AP14" s="32">
        <v>110</v>
      </c>
      <c r="AQ14" s="33">
        <f t="shared" si="7"/>
        <v>5.5454545454545459</v>
      </c>
      <c r="AR14" s="29">
        <f t="shared" si="8"/>
        <v>-30.285714285714288</v>
      </c>
      <c r="AS14" s="26">
        <v>48</v>
      </c>
      <c r="AT14" s="26">
        <v>48</v>
      </c>
      <c r="AU14" s="26">
        <v>49</v>
      </c>
      <c r="AV14" s="26">
        <v>0</v>
      </c>
      <c r="AW14" s="26">
        <v>56</v>
      </c>
      <c r="AX14" s="26">
        <v>56</v>
      </c>
      <c r="AY14" s="26">
        <v>52</v>
      </c>
      <c r="AZ14" s="26">
        <v>4</v>
      </c>
      <c r="BA14" s="26">
        <v>59</v>
      </c>
      <c r="BB14" s="26">
        <v>51</v>
      </c>
      <c r="BC14" s="26">
        <v>25</v>
      </c>
      <c r="BD14" s="26">
        <v>31</v>
      </c>
      <c r="BE14" s="26">
        <v>31</v>
      </c>
      <c r="BF14" s="26">
        <v>0</v>
      </c>
      <c r="BG14" s="26">
        <v>0</v>
      </c>
      <c r="BH14" s="26">
        <v>31</v>
      </c>
      <c r="BI14" s="26">
        <v>0</v>
      </c>
      <c r="BJ14" s="26">
        <v>0</v>
      </c>
      <c r="BK14" s="26"/>
      <c r="BL14" s="27"/>
      <c r="BM14" s="34">
        <v>735</v>
      </c>
      <c r="BN14" s="26">
        <v>160</v>
      </c>
      <c r="BO14" s="35">
        <f t="shared" si="9"/>
        <v>126</v>
      </c>
      <c r="BP14" s="35">
        <f t="shared" si="10"/>
        <v>155</v>
      </c>
      <c r="BQ14" s="36">
        <f t="shared" si="11"/>
        <v>4.59375</v>
      </c>
      <c r="BR14" s="37">
        <f t="shared" si="12"/>
        <v>20.491803278688526</v>
      </c>
      <c r="BS14" s="26">
        <v>48</v>
      </c>
      <c r="BT14" s="26">
        <v>48</v>
      </c>
      <c r="BU14" s="26">
        <v>44</v>
      </c>
      <c r="BV14" s="26">
        <v>4</v>
      </c>
      <c r="BW14" s="26">
        <v>60</v>
      </c>
      <c r="BX14" s="26">
        <v>60</v>
      </c>
      <c r="BY14" s="26">
        <v>54</v>
      </c>
      <c r="BZ14" s="26">
        <v>6</v>
      </c>
      <c r="CA14" s="26">
        <v>62</v>
      </c>
      <c r="CB14" s="26">
        <v>33</v>
      </c>
      <c r="CC14" s="26">
        <v>26</v>
      </c>
      <c r="CD14" s="26">
        <v>34</v>
      </c>
      <c r="CE14" s="26">
        <v>34</v>
      </c>
      <c r="CF14" s="26">
        <v>3</v>
      </c>
      <c r="CG14" s="26">
        <v>2</v>
      </c>
      <c r="CH14" s="26">
        <v>32</v>
      </c>
      <c r="CI14" s="26">
        <v>33</v>
      </c>
      <c r="CJ14" s="26">
        <v>0</v>
      </c>
      <c r="CK14" s="26">
        <v>0</v>
      </c>
      <c r="CL14" s="26">
        <v>33</v>
      </c>
      <c r="CM14" s="26">
        <v>1</v>
      </c>
      <c r="CN14" s="26"/>
      <c r="CO14" s="27">
        <v>1</v>
      </c>
      <c r="CP14" s="34">
        <v>789</v>
      </c>
      <c r="CQ14" s="26">
        <f t="shared" si="13"/>
        <v>126</v>
      </c>
      <c r="CR14" s="26">
        <f t="shared" si="14"/>
        <v>145</v>
      </c>
      <c r="CS14" s="26">
        <v>160</v>
      </c>
      <c r="CT14" s="36">
        <f t="shared" si="15"/>
        <v>4.9312500000000004</v>
      </c>
      <c r="CU14" s="38">
        <f t="shared" si="16"/>
        <v>7.3469387755102051</v>
      </c>
      <c r="CV14" s="26">
        <v>48.0</v>
      </c>
      <c r="CW14" s="26">
        <v>47</v>
      </c>
      <c r="CX14" s="26">
        <v>46</v>
      </c>
      <c r="CY14" s="26">
        <v>2</v>
      </c>
      <c r="CZ14" s="26">
        <v>58.0</v>
      </c>
      <c r="DA14" s="26">
        <v>60</v>
      </c>
      <c r="DB14" s="26">
        <v>50</v>
      </c>
      <c r="DC14" s="26">
        <v>8</v>
      </c>
      <c r="DD14" s="26">
        <v>59.0</v>
      </c>
      <c r="DE14" s="26">
        <v>44</v>
      </c>
      <c r="DF14" s="26">
        <v>31</v>
      </c>
      <c r="DG14" s="26">
        <v>33</v>
      </c>
      <c r="DH14" s="26"/>
      <c r="DI14" s="39">
        <v>11</v>
      </c>
      <c r="DJ14" s="26">
        <v>5</v>
      </c>
      <c r="DK14" s="26"/>
      <c r="DL14" s="26">
        <v>43</v>
      </c>
      <c r="DM14" s="26">
        <v>2</v>
      </c>
      <c r="DN14" s="26">
        <v>2</v>
      </c>
      <c r="DO14" s="26"/>
      <c r="DP14" s="46">
        <v>1</v>
      </c>
      <c r="DQ14" s="41">
        <v>1</v>
      </c>
      <c r="DR14" s="27"/>
      <c r="DS14" s="42">
        <v>869</v>
      </c>
      <c r="DT14" s="43">
        <f t="shared" si="17"/>
        <v>135</v>
      </c>
      <c r="DU14" s="43">
        <f t="shared" si="18"/>
        <v>165</v>
      </c>
      <c r="DV14" s="26">
        <v>160.0</v>
      </c>
      <c r="DW14" s="33">
        <v>5.43125</v>
      </c>
      <c r="DX14" s="44">
        <f t="shared" si="20"/>
        <v>10.139416983523446</v>
      </c>
    </row>
    <row r="15" spans="1:128">
      <c r="A15" s="26">
        <v>9</v>
      </c>
      <c r="B15" s="26" t="s">
        <v>313</v>
      </c>
      <c r="C15" s="26" t="s">
        <v>314</v>
      </c>
      <c r="D15" s="27" t="s">
        <v>23</v>
      </c>
      <c r="E15" s="26">
        <v>116</v>
      </c>
      <c r="F15" s="26">
        <v>30</v>
      </c>
      <c r="G15" s="26">
        <v>30</v>
      </c>
      <c r="H15" s="26">
        <v>22</v>
      </c>
      <c r="I15" s="26">
        <v>8</v>
      </c>
      <c r="J15" s="28">
        <v>175</v>
      </c>
      <c r="K15" s="26">
        <v>58</v>
      </c>
      <c r="L15" s="26">
        <v>60</v>
      </c>
      <c r="M15" s="26">
        <v>45</v>
      </c>
      <c r="N15" s="26">
        <v>6</v>
      </c>
      <c r="O15" s="28">
        <v>40</v>
      </c>
      <c r="P15" s="26">
        <v>41</v>
      </c>
      <c r="Q15" s="26">
        <v>26</v>
      </c>
      <c r="R15" s="26">
        <v>14</v>
      </c>
      <c r="S15" s="27">
        <v>37</v>
      </c>
      <c r="T15" s="26">
        <f t="shared" si="0"/>
        <v>331</v>
      </c>
      <c r="U15" s="26">
        <f t="shared" si="1"/>
        <v>81</v>
      </c>
      <c r="V15" s="26">
        <f t="shared" si="2"/>
        <v>116</v>
      </c>
      <c r="W15" s="26">
        <v>118</v>
      </c>
      <c r="X15" s="29">
        <f t="shared" si="3"/>
        <v>2.8050847457627119</v>
      </c>
      <c r="Y15" s="30">
        <v>115</v>
      </c>
      <c r="Z15" s="26">
        <v>29</v>
      </c>
      <c r="AA15" s="26">
        <v>29</v>
      </c>
      <c r="AB15" s="26">
        <v>25</v>
      </c>
      <c r="AC15" s="26">
        <v>4</v>
      </c>
      <c r="AD15" s="45">
        <v>131</v>
      </c>
      <c r="AE15" s="26">
        <v>50</v>
      </c>
      <c r="AF15" s="26">
        <v>50</v>
      </c>
      <c r="AG15" s="26">
        <v>37</v>
      </c>
      <c r="AH15" s="26">
        <v>13</v>
      </c>
      <c r="AI15" s="26">
        <v>49</v>
      </c>
      <c r="AJ15" s="26">
        <v>22</v>
      </c>
      <c r="AK15" s="26">
        <v>14</v>
      </c>
      <c r="AL15" s="26">
        <v>35</v>
      </c>
      <c r="AM15" s="26">
        <f t="shared" si="4"/>
        <v>246</v>
      </c>
      <c r="AN15" s="32">
        <f t="shared" si="5"/>
        <v>76</v>
      </c>
      <c r="AO15" s="32">
        <f t="shared" si="6"/>
        <v>101</v>
      </c>
      <c r="AP15" s="32">
        <v>115</v>
      </c>
      <c r="AQ15" s="33">
        <f t="shared" si="7"/>
        <v>2.1391304347826088</v>
      </c>
      <c r="AR15" s="29">
        <f t="shared" si="8"/>
        <v>-25.679758308157101</v>
      </c>
      <c r="AS15" s="26">
        <v>36</v>
      </c>
      <c r="AT15" s="26">
        <v>36</v>
      </c>
      <c r="AU15" s="26">
        <v>30</v>
      </c>
      <c r="AV15" s="26">
        <v>6</v>
      </c>
      <c r="AW15" s="26">
        <v>48</v>
      </c>
      <c r="AX15" s="26">
        <v>48</v>
      </c>
      <c r="AY15" s="26">
        <v>41</v>
      </c>
      <c r="AZ15" s="26">
        <v>7</v>
      </c>
      <c r="BA15" s="26">
        <v>49</v>
      </c>
      <c r="BB15" s="26">
        <v>18</v>
      </c>
      <c r="BC15" s="26">
        <v>10</v>
      </c>
      <c r="BD15" s="26">
        <v>38</v>
      </c>
      <c r="BE15" s="26">
        <v>38</v>
      </c>
      <c r="BF15" s="26">
        <v>1</v>
      </c>
      <c r="BG15" s="26">
        <v>1</v>
      </c>
      <c r="BH15" s="26">
        <v>37</v>
      </c>
      <c r="BI15" s="26">
        <v>0</v>
      </c>
      <c r="BJ15" s="26">
        <v>0</v>
      </c>
      <c r="BK15" s="26"/>
      <c r="BL15" s="27"/>
      <c r="BM15" s="34">
        <v>276</v>
      </c>
      <c r="BN15" s="26">
        <v>120</v>
      </c>
      <c r="BO15" s="35">
        <f t="shared" si="9"/>
        <v>82</v>
      </c>
      <c r="BP15" s="35">
        <f t="shared" si="10"/>
        <v>103</v>
      </c>
      <c r="BQ15" s="36">
        <f t="shared" si="11"/>
        <v>2.2999999999999998</v>
      </c>
      <c r="BR15" s="37">
        <f t="shared" si="12"/>
        <v>12.195121951219512</v>
      </c>
      <c r="BS15" s="26">
        <v>39</v>
      </c>
      <c r="BT15" s="26">
        <v>39</v>
      </c>
      <c r="BU15" s="26">
        <v>30</v>
      </c>
      <c r="BV15" s="26">
        <v>9</v>
      </c>
      <c r="BW15" s="26">
        <v>55</v>
      </c>
      <c r="BX15" s="26">
        <v>55</v>
      </c>
      <c r="BY15" s="26">
        <v>49</v>
      </c>
      <c r="BZ15" s="26">
        <v>6</v>
      </c>
      <c r="CA15" s="26">
        <v>51</v>
      </c>
      <c r="CB15" s="26">
        <v>15</v>
      </c>
      <c r="CC15" s="26">
        <v>9</v>
      </c>
      <c r="CD15" s="26">
        <v>42</v>
      </c>
      <c r="CE15" s="26">
        <v>42</v>
      </c>
      <c r="CF15" s="26">
        <v>0</v>
      </c>
      <c r="CG15" s="26">
        <v>0</v>
      </c>
      <c r="CH15" s="26">
        <v>42</v>
      </c>
      <c r="CI15" s="26">
        <v>42</v>
      </c>
      <c r="CJ15" s="26">
        <v>0</v>
      </c>
      <c r="CK15" s="26">
        <v>0</v>
      </c>
      <c r="CL15" s="26">
        <v>42</v>
      </c>
      <c r="CM15" s="26"/>
      <c r="CN15" s="26"/>
      <c r="CO15" s="27">
        <v>0</v>
      </c>
      <c r="CP15" s="34">
        <v>290</v>
      </c>
      <c r="CQ15" s="26">
        <f t="shared" si="13"/>
        <v>88</v>
      </c>
      <c r="CR15" s="26">
        <f t="shared" si="14"/>
        <v>109</v>
      </c>
      <c r="CS15" s="26">
        <v>130</v>
      </c>
      <c r="CT15" s="36">
        <f t="shared" si="15"/>
        <v>2.2307692307692308</v>
      </c>
      <c r="CU15" s="38">
        <f t="shared" si="16"/>
        <v>5.0724637681159424</v>
      </c>
      <c r="CV15" s="26">
        <v>48.0</v>
      </c>
      <c r="CW15" s="26">
        <v>43</v>
      </c>
      <c r="CX15" s="26">
        <v>37</v>
      </c>
      <c r="CY15" s="26">
        <v>7</v>
      </c>
      <c r="CZ15" s="26">
        <v>56.0</v>
      </c>
      <c r="DA15" s="26">
        <v>57</v>
      </c>
      <c r="DB15" s="26">
        <v>50</v>
      </c>
      <c r="DC15" s="26">
        <v>8</v>
      </c>
      <c r="DD15" s="26">
        <v>56.0</v>
      </c>
      <c r="DE15" s="26">
        <v>13</v>
      </c>
      <c r="DF15" s="26">
        <v>10</v>
      </c>
      <c r="DG15" s="26">
        <v>43</v>
      </c>
      <c r="DH15" s="26"/>
      <c r="DI15" s="39">
        <v>0</v>
      </c>
      <c r="DJ15" s="26">
        <v>0</v>
      </c>
      <c r="DK15" s="26"/>
      <c r="DL15" s="26">
        <v>58</v>
      </c>
      <c r="DM15" s="26">
        <v>2</v>
      </c>
      <c r="DN15" s="26">
        <v>1</v>
      </c>
      <c r="DO15" s="26"/>
      <c r="DP15" s="40">
        <v>0</v>
      </c>
      <c r="DQ15" s="41">
        <v>0</v>
      </c>
      <c r="DR15" s="27"/>
      <c r="DS15" s="42">
        <v>331</v>
      </c>
      <c r="DT15" s="43">
        <f t="shared" si="17"/>
        <v>98</v>
      </c>
      <c r="DU15" s="43">
        <f t="shared" si="18"/>
        <v>115</v>
      </c>
      <c r="DV15" s="26">
        <v>160.0</v>
      </c>
      <c r="DW15" s="33">
        <v>2.06875</v>
      </c>
      <c r="DX15" s="44">
        <f t="shared" si="20"/>
        <v>14.13793103448276</v>
      </c>
    </row>
    <row r="16" spans="1:128">
      <c r="A16" s="26">
        <v>10</v>
      </c>
      <c r="B16" s="26" t="s">
        <v>315</v>
      </c>
      <c r="C16" s="26" t="s">
        <v>316</v>
      </c>
      <c r="D16" s="27" t="s">
        <v>23</v>
      </c>
      <c r="E16" s="26">
        <v>131</v>
      </c>
      <c r="F16" s="26">
        <v>20</v>
      </c>
      <c r="G16" s="26">
        <v>23</v>
      </c>
      <c r="H16" s="26">
        <v>20</v>
      </c>
      <c r="I16" s="26">
        <v>0</v>
      </c>
      <c r="J16" s="28">
        <v>137</v>
      </c>
      <c r="K16" s="26">
        <v>36</v>
      </c>
      <c r="L16" s="26">
        <v>36</v>
      </c>
      <c r="M16" s="26">
        <v>26</v>
      </c>
      <c r="N16" s="26">
        <v>5</v>
      </c>
      <c r="O16" s="28">
        <v>23</v>
      </c>
      <c r="P16" s="26">
        <v>29</v>
      </c>
      <c r="Q16" s="26">
        <v>13</v>
      </c>
      <c r="R16" s="26">
        <v>6</v>
      </c>
      <c r="S16" s="27">
        <v>28</v>
      </c>
      <c r="T16" s="26">
        <f t="shared" si="0"/>
        <v>291</v>
      </c>
      <c r="U16" s="26">
        <f t="shared" si="1"/>
        <v>52</v>
      </c>
      <c r="V16" s="26">
        <f t="shared" si="2"/>
        <v>72</v>
      </c>
      <c r="W16" s="26">
        <v>80</v>
      </c>
      <c r="X16" s="29">
        <f t="shared" si="3"/>
        <v>3.6375000000000002</v>
      </c>
      <c r="Y16" s="30">
        <v>107</v>
      </c>
      <c r="Z16" s="26">
        <v>25</v>
      </c>
      <c r="AA16" s="26">
        <v>25</v>
      </c>
      <c r="AB16" s="26">
        <v>21</v>
      </c>
      <c r="AC16" s="26">
        <v>4</v>
      </c>
      <c r="AD16" s="45">
        <v>104</v>
      </c>
      <c r="AE16" s="26">
        <v>44</v>
      </c>
      <c r="AF16" s="26">
        <v>44</v>
      </c>
      <c r="AG16" s="26">
        <v>36</v>
      </c>
      <c r="AH16" s="26">
        <v>8</v>
      </c>
      <c r="AI16" s="26">
        <v>40</v>
      </c>
      <c r="AJ16" s="26">
        <v>3</v>
      </c>
      <c r="AK16" s="26">
        <v>3</v>
      </c>
      <c r="AL16" s="26">
        <v>37</v>
      </c>
      <c r="AM16" s="26">
        <f t="shared" si="4"/>
        <v>211</v>
      </c>
      <c r="AN16" s="32">
        <f t="shared" si="5"/>
        <v>60</v>
      </c>
      <c r="AO16" s="32">
        <f t="shared" si="6"/>
        <v>72</v>
      </c>
      <c r="AP16" s="32">
        <v>100</v>
      </c>
      <c r="AQ16" s="33">
        <f t="shared" si="7"/>
        <v>2.11</v>
      </c>
      <c r="AR16" s="29">
        <f t="shared" si="8"/>
        <v>-27.491408934707906</v>
      </c>
      <c r="AS16" s="26">
        <v>48</v>
      </c>
      <c r="AT16" s="26">
        <v>48</v>
      </c>
      <c r="AU16" s="26">
        <v>44</v>
      </c>
      <c r="AV16" s="26">
        <v>4</v>
      </c>
      <c r="AW16" s="26">
        <v>60</v>
      </c>
      <c r="AX16" s="26">
        <v>60</v>
      </c>
      <c r="AY16" s="26">
        <v>45</v>
      </c>
      <c r="AZ16" s="26">
        <v>15</v>
      </c>
      <c r="BA16" s="26">
        <v>71</v>
      </c>
      <c r="BB16" s="26">
        <v>8</v>
      </c>
      <c r="BC16" s="26">
        <v>2</v>
      </c>
      <c r="BD16" s="26">
        <v>58</v>
      </c>
      <c r="BE16" s="26">
        <v>58</v>
      </c>
      <c r="BF16" s="26">
        <v>0</v>
      </c>
      <c r="BG16" s="26">
        <v>0</v>
      </c>
      <c r="BH16" s="26">
        <v>58</v>
      </c>
      <c r="BI16" s="26">
        <v>0</v>
      </c>
      <c r="BJ16" s="26">
        <v>0</v>
      </c>
      <c r="BK16" s="26"/>
      <c r="BL16" s="27"/>
      <c r="BM16" s="34">
        <v>265</v>
      </c>
      <c r="BN16" s="26">
        <v>160</v>
      </c>
      <c r="BO16" s="35">
        <f t="shared" si="9"/>
        <v>91</v>
      </c>
      <c r="BP16" s="35">
        <f t="shared" si="10"/>
        <v>116</v>
      </c>
      <c r="BQ16" s="36">
        <f t="shared" si="11"/>
        <v>1.65625</v>
      </c>
      <c r="BR16" s="37">
        <f t="shared" si="12"/>
        <v>25.592417061611371</v>
      </c>
      <c r="BS16" s="26">
        <v>48</v>
      </c>
      <c r="BT16" s="26">
        <v>48</v>
      </c>
      <c r="BU16" s="26">
        <v>45</v>
      </c>
      <c r="BV16" s="26">
        <v>3</v>
      </c>
      <c r="BW16" s="26">
        <v>59</v>
      </c>
      <c r="BX16" s="26">
        <v>59</v>
      </c>
      <c r="BY16" s="26">
        <v>53</v>
      </c>
      <c r="BZ16" s="26">
        <v>6</v>
      </c>
      <c r="CA16" s="26">
        <v>62</v>
      </c>
      <c r="CB16" s="26">
        <v>4</v>
      </c>
      <c r="CC16" s="26">
        <v>2</v>
      </c>
      <c r="CD16" s="26">
        <v>59</v>
      </c>
      <c r="CE16" s="26">
        <v>59</v>
      </c>
      <c r="CF16" s="26">
        <v>1</v>
      </c>
      <c r="CG16" s="26">
        <v>1</v>
      </c>
      <c r="CH16" s="26">
        <v>58</v>
      </c>
      <c r="CI16" s="26">
        <v>59</v>
      </c>
      <c r="CJ16" s="26">
        <v>3</v>
      </c>
      <c r="CK16" s="26">
        <v>1</v>
      </c>
      <c r="CL16" s="26">
        <v>58</v>
      </c>
      <c r="CM16" s="26"/>
      <c r="CN16" s="26"/>
      <c r="CO16" s="27">
        <v>0</v>
      </c>
      <c r="CP16" s="34">
        <v>378</v>
      </c>
      <c r="CQ16" s="26">
        <f t="shared" si="13"/>
        <v>102</v>
      </c>
      <c r="CR16" s="26">
        <f t="shared" si="14"/>
        <v>115</v>
      </c>
      <c r="CS16" s="26">
        <v>160</v>
      </c>
      <c r="CT16" s="36">
        <f t="shared" si="15"/>
        <v>2.3624999999999998</v>
      </c>
      <c r="CU16" s="38">
        <f t="shared" si="16"/>
        <v>42.641509433962263</v>
      </c>
      <c r="CV16" s="26">
        <v>48.0</v>
      </c>
      <c r="CW16" s="26">
        <v>46</v>
      </c>
      <c r="CX16" s="26">
        <v>42</v>
      </c>
      <c r="CY16" s="26">
        <v>6</v>
      </c>
      <c r="CZ16" s="26">
        <v>62.0</v>
      </c>
      <c r="DA16" s="26">
        <v>62</v>
      </c>
      <c r="DB16" s="26">
        <v>54</v>
      </c>
      <c r="DC16" s="26">
        <v>8</v>
      </c>
      <c r="DD16" s="26">
        <v>64.0</v>
      </c>
      <c r="DE16" s="26">
        <v>14</v>
      </c>
      <c r="DF16" s="26">
        <v>6</v>
      </c>
      <c r="DG16" s="26">
        <v>58</v>
      </c>
      <c r="DH16" s="26"/>
      <c r="DI16" s="49">
        <v>1</v>
      </c>
      <c r="DJ16" s="26">
        <v>0</v>
      </c>
      <c r="DK16" s="26"/>
      <c r="DL16" s="26">
        <v>72</v>
      </c>
      <c r="DM16" s="26">
        <v>0</v>
      </c>
      <c r="DN16" s="26">
        <v>0</v>
      </c>
      <c r="DO16" s="26"/>
      <c r="DP16" s="50">
        <v>0</v>
      </c>
      <c r="DQ16" s="51">
        <v>0</v>
      </c>
      <c r="DR16" s="27"/>
      <c r="DS16" s="52">
        <v>510</v>
      </c>
      <c r="DT16" s="43">
        <f t="shared" si="17"/>
        <v>102</v>
      </c>
      <c r="DU16" s="43">
        <f t="shared" si="18"/>
        <v>123</v>
      </c>
      <c r="DV16" s="26">
        <v>160.0</v>
      </c>
      <c r="DW16" s="33">
        <v>3.1875</v>
      </c>
      <c r="DX16" s="44">
        <f t="shared" si="20"/>
        <v>34.920634920634917</v>
      </c>
    </row>
    <row r="17" spans="1:128">
      <c r="A17" s="26">
        <v>11</v>
      </c>
      <c r="B17" s="26" t="s">
        <v>317</v>
      </c>
      <c r="C17" s="26" t="s">
        <v>318</v>
      </c>
      <c r="D17" s="27" t="s">
        <v>23</v>
      </c>
      <c r="E17" s="26">
        <v>212</v>
      </c>
      <c r="F17" s="26">
        <v>35</v>
      </c>
      <c r="G17" s="26">
        <v>35</v>
      </c>
      <c r="H17" s="26">
        <v>32</v>
      </c>
      <c r="I17" s="26">
        <v>3</v>
      </c>
      <c r="J17" s="28">
        <v>266</v>
      </c>
      <c r="K17" s="26">
        <v>66</v>
      </c>
      <c r="L17" s="26">
        <v>66</v>
      </c>
      <c r="M17" s="26">
        <v>52</v>
      </c>
      <c r="N17" s="26">
        <v>8</v>
      </c>
      <c r="O17" s="28">
        <v>37</v>
      </c>
      <c r="P17" s="26">
        <v>50</v>
      </c>
      <c r="Q17" s="26">
        <v>25</v>
      </c>
      <c r="R17" s="26">
        <v>9</v>
      </c>
      <c r="S17" s="27">
        <v>47</v>
      </c>
      <c r="T17" s="26">
        <f t="shared" si="0"/>
        <v>515</v>
      </c>
      <c r="U17" s="26">
        <f t="shared" si="1"/>
        <v>93</v>
      </c>
      <c r="V17" s="26">
        <f t="shared" si="2"/>
        <v>126</v>
      </c>
      <c r="W17" s="26">
        <v>140</v>
      </c>
      <c r="X17" s="29">
        <f t="shared" si="3"/>
        <v>3.6785714285714284</v>
      </c>
      <c r="Y17" s="30">
        <v>202</v>
      </c>
      <c r="Z17" s="26">
        <v>35</v>
      </c>
      <c r="AA17" s="26">
        <v>35</v>
      </c>
      <c r="AB17" s="26">
        <v>24</v>
      </c>
      <c r="AC17" s="26">
        <v>11</v>
      </c>
      <c r="AD17" s="45">
        <v>229</v>
      </c>
      <c r="AE17" s="26">
        <v>67</v>
      </c>
      <c r="AF17" s="26">
        <v>67</v>
      </c>
      <c r="AG17" s="26">
        <v>57</v>
      </c>
      <c r="AH17" s="26">
        <v>10</v>
      </c>
      <c r="AI17" s="26">
        <v>54</v>
      </c>
      <c r="AJ17" s="26">
        <v>11</v>
      </c>
      <c r="AK17" s="26">
        <v>4</v>
      </c>
      <c r="AL17" s="26">
        <v>50</v>
      </c>
      <c r="AM17" s="26">
        <f t="shared" si="4"/>
        <v>431</v>
      </c>
      <c r="AN17" s="32">
        <f t="shared" si="5"/>
        <v>85</v>
      </c>
      <c r="AO17" s="32">
        <f t="shared" si="6"/>
        <v>113</v>
      </c>
      <c r="AP17" s="32">
        <v>140</v>
      </c>
      <c r="AQ17" s="33">
        <f t="shared" si="7"/>
        <v>3.0785714285714287</v>
      </c>
      <c r="AR17" s="29">
        <f t="shared" si="8"/>
        <v>-16.310679611650485</v>
      </c>
      <c r="AS17" s="26">
        <v>48</v>
      </c>
      <c r="AT17" s="26">
        <v>48</v>
      </c>
      <c r="AU17" s="26">
        <v>40</v>
      </c>
      <c r="AV17" s="26">
        <v>8</v>
      </c>
      <c r="AW17" s="26">
        <v>64</v>
      </c>
      <c r="AX17" s="26">
        <v>64</v>
      </c>
      <c r="AY17" s="26">
        <v>52</v>
      </c>
      <c r="AZ17" s="26">
        <v>12</v>
      </c>
      <c r="BA17" s="26">
        <v>68</v>
      </c>
      <c r="BB17" s="26">
        <v>18</v>
      </c>
      <c r="BC17" s="26">
        <v>6</v>
      </c>
      <c r="BD17" s="26">
        <v>58</v>
      </c>
      <c r="BE17" s="26">
        <v>58</v>
      </c>
      <c r="BF17" s="26">
        <v>1</v>
      </c>
      <c r="BG17" s="26">
        <v>1</v>
      </c>
      <c r="BH17" s="26">
        <v>57</v>
      </c>
      <c r="BI17" s="26">
        <v>0</v>
      </c>
      <c r="BJ17" s="26">
        <v>0</v>
      </c>
      <c r="BK17" s="26"/>
      <c r="BL17" s="27"/>
      <c r="BM17" s="34">
        <v>408</v>
      </c>
      <c r="BN17" s="26">
        <v>160</v>
      </c>
      <c r="BO17" s="35">
        <f t="shared" si="9"/>
        <v>99</v>
      </c>
      <c r="BP17" s="35">
        <f t="shared" si="10"/>
        <v>131</v>
      </c>
      <c r="BQ17" s="36">
        <f t="shared" si="11"/>
        <v>2.5499999999999998</v>
      </c>
      <c r="BR17" s="37">
        <f t="shared" si="12"/>
        <v>-5.3364269141531322</v>
      </c>
      <c r="BS17" s="26">
        <v>48</v>
      </c>
      <c r="BT17" s="26">
        <v>48</v>
      </c>
      <c r="BU17" s="26">
        <v>44</v>
      </c>
      <c r="BV17" s="26">
        <v>4</v>
      </c>
      <c r="BW17" s="26">
        <v>60</v>
      </c>
      <c r="BX17" s="26">
        <v>60</v>
      </c>
      <c r="BY17" s="26">
        <v>54</v>
      </c>
      <c r="BZ17" s="26">
        <v>6</v>
      </c>
      <c r="CA17" s="26">
        <v>62</v>
      </c>
      <c r="CB17" s="26">
        <v>24</v>
      </c>
      <c r="CC17" s="26">
        <v>18</v>
      </c>
      <c r="CD17" s="26">
        <v>42</v>
      </c>
      <c r="CE17" s="26">
        <v>42</v>
      </c>
      <c r="CF17" s="26">
        <v>4</v>
      </c>
      <c r="CG17" s="26">
        <v>2</v>
      </c>
      <c r="CH17" s="26">
        <v>40</v>
      </c>
      <c r="CI17" s="26">
        <v>42</v>
      </c>
      <c r="CJ17" s="26">
        <v>1</v>
      </c>
      <c r="CK17" s="26">
        <v>0</v>
      </c>
      <c r="CL17" s="26">
        <v>42</v>
      </c>
      <c r="CM17" s="26"/>
      <c r="CN17" s="26"/>
      <c r="CO17" s="27">
        <v>0</v>
      </c>
      <c r="CP17" s="34">
        <v>553</v>
      </c>
      <c r="CQ17" s="26">
        <f t="shared" si="13"/>
        <v>118</v>
      </c>
      <c r="CR17" s="26">
        <f t="shared" si="14"/>
        <v>137</v>
      </c>
      <c r="CS17" s="26">
        <v>160</v>
      </c>
      <c r="CT17" s="36">
        <f t="shared" si="15"/>
        <v>3.4562499999999998</v>
      </c>
      <c r="CU17" s="38">
        <f t="shared" si="16"/>
        <v>35.53921568627451</v>
      </c>
      <c r="CV17" s="26">
        <v>42.0</v>
      </c>
      <c r="CW17" s="26">
        <v>41</v>
      </c>
      <c r="CX17" s="26">
        <v>36</v>
      </c>
      <c r="CY17" s="26">
        <v>6</v>
      </c>
      <c r="CZ17" s="26">
        <v>55.0</v>
      </c>
      <c r="DA17" s="26">
        <v>54</v>
      </c>
      <c r="DB17" s="26">
        <v>48</v>
      </c>
      <c r="DC17" s="26">
        <v>7</v>
      </c>
      <c r="DD17" s="26">
        <v>62.0</v>
      </c>
      <c r="DE17" s="26">
        <v>24</v>
      </c>
      <c r="DF17" s="26">
        <v>13</v>
      </c>
      <c r="DG17" s="26">
        <v>50</v>
      </c>
      <c r="DH17" s="26"/>
      <c r="DI17" s="39">
        <v>1</v>
      </c>
      <c r="DJ17" s="26">
        <v>1</v>
      </c>
      <c r="DK17" s="26"/>
      <c r="DL17" s="26">
        <v>63</v>
      </c>
      <c r="DM17" s="26">
        <v>3</v>
      </c>
      <c r="DN17" s="26">
        <v>3</v>
      </c>
      <c r="DO17" s="26"/>
      <c r="DP17" s="40">
        <v>0</v>
      </c>
      <c r="DQ17" s="41">
        <v>0</v>
      </c>
      <c r="DR17" s="27"/>
      <c r="DS17" s="42">
        <v>550</v>
      </c>
      <c r="DT17" s="43">
        <f t="shared" si="17"/>
        <v>101</v>
      </c>
      <c r="DU17" s="43">
        <f t="shared" si="18"/>
        <v>123</v>
      </c>
      <c r="DV17" s="26">
        <v>140.0</v>
      </c>
      <c r="DW17" s="33">
        <v>3.928571429</v>
      </c>
      <c r="DX17" s="44">
        <f t="shared" si="20"/>
        <v>-0.54249547920433994</v>
      </c>
    </row>
    <row r="18" spans="1:128">
      <c r="A18" s="26">
        <v>12</v>
      </c>
      <c r="B18" s="26" t="s">
        <v>321</v>
      </c>
      <c r="C18" s="26" t="s">
        <v>322</v>
      </c>
      <c r="D18" s="27" t="s">
        <v>23</v>
      </c>
      <c r="E18" s="26">
        <v>274</v>
      </c>
      <c r="F18" s="26">
        <v>30</v>
      </c>
      <c r="G18" s="26">
        <v>30</v>
      </c>
      <c r="H18" s="26">
        <v>27</v>
      </c>
      <c r="I18" s="26">
        <v>3</v>
      </c>
      <c r="J18" s="28">
        <v>219</v>
      </c>
      <c r="K18" s="26">
        <v>57</v>
      </c>
      <c r="L18" s="26">
        <v>57</v>
      </c>
      <c r="M18" s="26">
        <v>45</v>
      </c>
      <c r="N18" s="26">
        <v>9</v>
      </c>
      <c r="O18" s="28">
        <v>57</v>
      </c>
      <c r="P18" s="26">
        <v>45</v>
      </c>
      <c r="Q18" s="26">
        <v>31</v>
      </c>
      <c r="R18" s="26">
        <v>12</v>
      </c>
      <c r="S18" s="27">
        <v>36</v>
      </c>
      <c r="T18" s="26">
        <f t="shared" si="0"/>
        <v>550</v>
      </c>
      <c r="U18" s="26">
        <f t="shared" si="1"/>
        <v>84</v>
      </c>
      <c r="V18" s="26">
        <f t="shared" si="2"/>
        <v>118</v>
      </c>
      <c r="W18" s="26">
        <v>120</v>
      </c>
      <c r="X18" s="29">
        <f t="shared" si="3"/>
        <v>4.583333333333333</v>
      </c>
      <c r="Y18" s="30">
        <v>214</v>
      </c>
      <c r="Z18" s="26">
        <v>33</v>
      </c>
      <c r="AA18" s="26">
        <v>33</v>
      </c>
      <c r="AB18" s="26">
        <v>31</v>
      </c>
      <c r="AC18" s="26">
        <v>2</v>
      </c>
      <c r="AD18" s="45">
        <v>169</v>
      </c>
      <c r="AE18" s="26">
        <v>54</v>
      </c>
      <c r="AF18" s="26">
        <v>54</v>
      </c>
      <c r="AG18" s="26">
        <v>36</v>
      </c>
      <c r="AH18" s="26">
        <v>18</v>
      </c>
      <c r="AI18" s="26">
        <v>60</v>
      </c>
      <c r="AJ18" s="26">
        <v>25</v>
      </c>
      <c r="AK18" s="26">
        <v>15</v>
      </c>
      <c r="AL18" s="26">
        <v>45</v>
      </c>
      <c r="AM18" s="26">
        <f t="shared" si="4"/>
        <v>383</v>
      </c>
      <c r="AN18" s="32">
        <f t="shared" si="5"/>
        <v>82</v>
      </c>
      <c r="AO18" s="32">
        <f t="shared" si="6"/>
        <v>112</v>
      </c>
      <c r="AP18" s="32">
        <v>130</v>
      </c>
      <c r="AQ18" s="33">
        <f t="shared" si="7"/>
        <v>2.9461538461538463</v>
      </c>
      <c r="AR18" s="29">
        <f t="shared" si="8"/>
        <v>-30.363636363636363</v>
      </c>
      <c r="AS18" s="26">
        <v>48</v>
      </c>
      <c r="AT18" s="26">
        <v>48</v>
      </c>
      <c r="AU18" s="26">
        <v>43</v>
      </c>
      <c r="AV18" s="26">
        <v>5</v>
      </c>
      <c r="AW18" s="26">
        <v>61</v>
      </c>
      <c r="AX18" s="26">
        <v>61</v>
      </c>
      <c r="AY18" s="26">
        <v>56</v>
      </c>
      <c r="AZ18" s="26">
        <v>5</v>
      </c>
      <c r="BA18" s="26">
        <v>61</v>
      </c>
      <c r="BB18" s="26">
        <v>23</v>
      </c>
      <c r="BC18" s="26">
        <v>13</v>
      </c>
      <c r="BD18" s="26">
        <v>48</v>
      </c>
      <c r="BE18" s="26">
        <v>48</v>
      </c>
      <c r="BF18" s="26">
        <v>3</v>
      </c>
      <c r="BG18" s="26">
        <v>2</v>
      </c>
      <c r="BH18" s="26">
        <v>46</v>
      </c>
      <c r="BI18" s="26">
        <v>0</v>
      </c>
      <c r="BJ18" s="26">
        <v>0</v>
      </c>
      <c r="BK18" s="26">
        <v>1</v>
      </c>
      <c r="BL18" s="27">
        <v>1</v>
      </c>
      <c r="BM18" s="34">
        <v>492</v>
      </c>
      <c r="BN18" s="26">
        <v>160</v>
      </c>
      <c r="BO18" s="35">
        <f t="shared" si="9"/>
        <v>114</v>
      </c>
      <c r="BP18" s="35">
        <f t="shared" si="10"/>
        <v>136</v>
      </c>
      <c r="BQ18" s="36">
        <f t="shared" si="11"/>
        <v>3.0750000000000002</v>
      </c>
      <c r="BR18" s="37">
        <f t="shared" si="12"/>
        <v>28.459530026109658</v>
      </c>
      <c r="BS18" s="26">
        <v>36</v>
      </c>
      <c r="BT18" s="26">
        <v>36</v>
      </c>
      <c r="BU18" s="26">
        <v>34</v>
      </c>
      <c r="BV18" s="26">
        <v>2</v>
      </c>
      <c r="BW18" s="26">
        <v>44</v>
      </c>
      <c r="BX18" s="26">
        <v>44</v>
      </c>
      <c r="BY18" s="26">
        <v>37</v>
      </c>
      <c r="BZ18" s="26">
        <v>7</v>
      </c>
      <c r="CA18" s="26">
        <v>49</v>
      </c>
      <c r="CB18" s="26">
        <v>15</v>
      </c>
      <c r="CC18" s="26">
        <v>8</v>
      </c>
      <c r="CD18" s="26">
        <v>38</v>
      </c>
      <c r="CE18" s="26">
        <v>38</v>
      </c>
      <c r="CF18" s="26">
        <v>6</v>
      </c>
      <c r="CG18" s="26">
        <v>3</v>
      </c>
      <c r="CH18" s="26">
        <v>35</v>
      </c>
      <c r="CI18" s="26">
        <v>38</v>
      </c>
      <c r="CJ18" s="26">
        <v>0</v>
      </c>
      <c r="CK18" s="26">
        <v>0</v>
      </c>
      <c r="CL18" s="26">
        <v>38</v>
      </c>
      <c r="CM18" s="26"/>
      <c r="CN18" s="26"/>
      <c r="CO18" s="27">
        <v>0</v>
      </c>
      <c r="CP18" s="34">
        <v>533</v>
      </c>
      <c r="CQ18" s="26">
        <f t="shared" si="13"/>
        <v>82</v>
      </c>
      <c r="CR18" s="26">
        <f t="shared" si="14"/>
        <v>101</v>
      </c>
      <c r="CS18" s="26">
        <v>120</v>
      </c>
      <c r="CT18" s="36">
        <f t="shared" si="15"/>
        <v>4.4416666666666664</v>
      </c>
      <c r="CU18" s="38">
        <f t="shared" si="16"/>
        <v>8.3333333333333321</v>
      </c>
      <c r="CV18" s="26">
        <v>36.0</v>
      </c>
      <c r="CW18" s="26">
        <v>35</v>
      </c>
      <c r="CX18" s="26">
        <v>34</v>
      </c>
      <c r="CY18" s="26">
        <v>2</v>
      </c>
      <c r="CZ18" s="26">
        <v>44.0</v>
      </c>
      <c r="DA18" s="26">
        <v>44</v>
      </c>
      <c r="DB18" s="26">
        <v>35</v>
      </c>
      <c r="DC18" s="26">
        <v>9</v>
      </c>
      <c r="DD18" s="26">
        <v>49.0</v>
      </c>
      <c r="DE18" s="26">
        <v>24</v>
      </c>
      <c r="DF18" s="26">
        <v>14</v>
      </c>
      <c r="DG18" s="26">
        <v>37</v>
      </c>
      <c r="DH18" s="26"/>
      <c r="DI18" s="39">
        <v>5</v>
      </c>
      <c r="DJ18" s="26">
        <v>2</v>
      </c>
      <c r="DK18" s="26"/>
      <c r="DL18" s="26">
        <v>48</v>
      </c>
      <c r="DM18" s="26">
        <v>0</v>
      </c>
      <c r="DN18" s="26">
        <v>0</v>
      </c>
      <c r="DO18" s="26"/>
      <c r="DP18" s="46">
        <v>2</v>
      </c>
      <c r="DQ18" s="41">
        <v>1</v>
      </c>
      <c r="DR18" s="27"/>
      <c r="DS18" s="42">
        <v>638</v>
      </c>
      <c r="DT18" s="43">
        <f t="shared" si="17"/>
        <v>86</v>
      </c>
      <c r="DU18" s="43">
        <f t="shared" si="18"/>
        <v>110</v>
      </c>
      <c r="DV18" s="26">
        <v>120.0</v>
      </c>
      <c r="DW18" s="33">
        <v>5.316666667</v>
      </c>
      <c r="DX18" s="44">
        <f t="shared" si="20"/>
        <v>19.699812382739211</v>
      </c>
    </row>
    <row r="19" spans="1:128">
      <c r="A19" s="26">
        <v>13</v>
      </c>
      <c r="B19" s="26" t="s">
        <v>333</v>
      </c>
      <c r="C19" s="26" t="s">
        <v>334</v>
      </c>
      <c r="D19" s="27" t="s">
        <v>23</v>
      </c>
      <c r="E19" s="26">
        <v>246</v>
      </c>
      <c r="F19" s="26">
        <v>30</v>
      </c>
      <c r="G19" s="26">
        <v>30</v>
      </c>
      <c r="H19" s="26">
        <v>28</v>
      </c>
      <c r="I19" s="26">
        <v>2</v>
      </c>
      <c r="J19" s="28">
        <v>197</v>
      </c>
      <c r="K19" s="26">
        <v>56</v>
      </c>
      <c r="L19" s="26">
        <v>56</v>
      </c>
      <c r="M19" s="26">
        <v>48</v>
      </c>
      <c r="N19" s="26">
        <v>6</v>
      </c>
      <c r="O19" s="28">
        <v>30</v>
      </c>
      <c r="P19" s="26">
        <v>42</v>
      </c>
      <c r="Q19" s="26">
        <v>16</v>
      </c>
      <c r="R19" s="26">
        <v>6</v>
      </c>
      <c r="S19" s="27">
        <v>38</v>
      </c>
      <c r="T19" s="26">
        <f t="shared" si="0"/>
        <v>473</v>
      </c>
      <c r="U19" s="26">
        <f t="shared" si="1"/>
        <v>82</v>
      </c>
      <c r="V19" s="26">
        <f t="shared" si="2"/>
        <v>102</v>
      </c>
      <c r="W19" s="26">
        <v>120</v>
      </c>
      <c r="X19" s="29">
        <f t="shared" si="3"/>
        <v>3.9416666666666669</v>
      </c>
      <c r="Y19" s="30">
        <v>247</v>
      </c>
      <c r="Z19" s="26">
        <v>33</v>
      </c>
      <c r="AA19" s="26">
        <v>33</v>
      </c>
      <c r="AB19" s="26">
        <v>29</v>
      </c>
      <c r="AC19" s="26">
        <v>4</v>
      </c>
      <c r="AD19" s="45">
        <v>161</v>
      </c>
      <c r="AE19" s="26">
        <v>56</v>
      </c>
      <c r="AF19" s="26">
        <v>56</v>
      </c>
      <c r="AG19" s="26">
        <v>52</v>
      </c>
      <c r="AH19" s="26">
        <v>4</v>
      </c>
      <c r="AI19" s="26">
        <v>47</v>
      </c>
      <c r="AJ19" s="26">
        <v>7</v>
      </c>
      <c r="AK19" s="26">
        <v>5</v>
      </c>
      <c r="AL19" s="26">
        <v>42</v>
      </c>
      <c r="AM19" s="26">
        <f t="shared" si="4"/>
        <v>408</v>
      </c>
      <c r="AN19" s="32">
        <f t="shared" si="5"/>
        <v>86</v>
      </c>
      <c r="AO19" s="32">
        <f t="shared" si="6"/>
        <v>96</v>
      </c>
      <c r="AP19" s="32">
        <v>130</v>
      </c>
      <c r="AQ19" s="33">
        <f t="shared" si="7"/>
        <v>3.1384615384615384</v>
      </c>
      <c r="AR19" s="29">
        <f t="shared" si="8"/>
        <v>-13.742071881606766</v>
      </c>
      <c r="AS19" s="26">
        <v>48</v>
      </c>
      <c r="AT19" s="26">
        <v>48</v>
      </c>
      <c r="AU19" s="26">
        <v>42</v>
      </c>
      <c r="AV19" s="26">
        <v>6</v>
      </c>
      <c r="AW19" s="26">
        <v>62</v>
      </c>
      <c r="AX19" s="26">
        <v>62</v>
      </c>
      <c r="AY19" s="26">
        <v>49</v>
      </c>
      <c r="AZ19" s="26">
        <v>13</v>
      </c>
      <c r="BA19" s="26">
        <v>69</v>
      </c>
      <c r="BB19" s="26">
        <v>17</v>
      </c>
      <c r="BC19" s="26">
        <v>9</v>
      </c>
      <c r="BD19" s="26">
        <v>53</v>
      </c>
      <c r="BE19" s="26">
        <v>53</v>
      </c>
      <c r="BF19" s="26">
        <v>2</v>
      </c>
      <c r="BG19" s="26">
        <v>2</v>
      </c>
      <c r="BH19" s="26">
        <v>51</v>
      </c>
      <c r="BI19" s="26">
        <v>0</v>
      </c>
      <c r="BJ19" s="26">
        <v>0</v>
      </c>
      <c r="BK19" s="26"/>
      <c r="BL19" s="27"/>
      <c r="BM19" s="34">
        <v>500</v>
      </c>
      <c r="BN19" s="26">
        <v>160</v>
      </c>
      <c r="BO19" s="35">
        <f t="shared" si="9"/>
        <v>102</v>
      </c>
      <c r="BP19" s="35">
        <f t="shared" si="10"/>
        <v>129</v>
      </c>
      <c r="BQ19" s="36">
        <f t="shared" si="11"/>
        <v>3.125</v>
      </c>
      <c r="BR19" s="37">
        <f t="shared" si="12"/>
        <v>22.549019607843139</v>
      </c>
      <c r="BS19" s="26">
        <v>36</v>
      </c>
      <c r="BT19" s="26">
        <v>36</v>
      </c>
      <c r="BU19" s="26">
        <v>34</v>
      </c>
      <c r="BV19" s="26">
        <v>2</v>
      </c>
      <c r="BW19" s="26">
        <v>44</v>
      </c>
      <c r="BX19" s="26">
        <v>44</v>
      </c>
      <c r="BY19" s="26">
        <v>38</v>
      </c>
      <c r="BZ19" s="26">
        <v>6</v>
      </c>
      <c r="CA19" s="26">
        <v>48</v>
      </c>
      <c r="CB19" s="26">
        <v>13</v>
      </c>
      <c r="CC19" s="26">
        <v>10</v>
      </c>
      <c r="CD19" s="26">
        <v>37</v>
      </c>
      <c r="CE19" s="26">
        <v>37</v>
      </c>
      <c r="CF19" s="26">
        <v>1</v>
      </c>
      <c r="CG19" s="26">
        <v>1</v>
      </c>
      <c r="CH19" s="26">
        <v>36</v>
      </c>
      <c r="CI19" s="26">
        <v>37</v>
      </c>
      <c r="CJ19" s="26">
        <v>0</v>
      </c>
      <c r="CK19" s="26">
        <v>0</v>
      </c>
      <c r="CL19" s="26">
        <v>37</v>
      </c>
      <c r="CM19" s="26"/>
      <c r="CN19" s="26"/>
      <c r="CO19" s="27">
        <v>0</v>
      </c>
      <c r="CP19" s="34">
        <v>521</v>
      </c>
      <c r="CQ19" s="26">
        <f t="shared" si="13"/>
        <v>83</v>
      </c>
      <c r="CR19" s="26">
        <f t="shared" si="14"/>
        <v>94</v>
      </c>
      <c r="CS19" s="26">
        <v>120</v>
      </c>
      <c r="CT19" s="36">
        <f t="shared" si="15"/>
        <v>4.3416666666666668</v>
      </c>
      <c r="CU19" s="38">
        <f t="shared" si="16"/>
        <v>4.2</v>
      </c>
      <c r="CV19" s="26">
        <v>36.0</v>
      </c>
      <c r="CW19" s="26">
        <v>36</v>
      </c>
      <c r="CX19" s="26">
        <v>35</v>
      </c>
      <c r="CY19" s="26">
        <v>1</v>
      </c>
      <c r="CZ19" s="26">
        <v>43.0</v>
      </c>
      <c r="DA19" s="26">
        <v>43</v>
      </c>
      <c r="DB19" s="26">
        <v>37</v>
      </c>
      <c r="DC19" s="26">
        <v>6</v>
      </c>
      <c r="DD19" s="26">
        <v>47.0</v>
      </c>
      <c r="DE19" s="26">
        <v>9</v>
      </c>
      <c r="DF19" s="26">
        <v>6</v>
      </c>
      <c r="DG19" s="26">
        <v>42</v>
      </c>
      <c r="DH19" s="26"/>
      <c r="DI19" s="40">
        <v>2</v>
      </c>
      <c r="DJ19" s="26">
        <v>1</v>
      </c>
      <c r="DK19" s="26"/>
      <c r="DL19" s="26">
        <v>49</v>
      </c>
      <c r="DM19" s="26">
        <v>0</v>
      </c>
      <c r="DN19" s="26">
        <v>0</v>
      </c>
      <c r="DO19" s="26"/>
      <c r="DP19" s="46">
        <v>0</v>
      </c>
      <c r="DQ19" s="54">
        <v>0</v>
      </c>
      <c r="DR19" s="27"/>
      <c r="DS19" s="42">
        <v>448</v>
      </c>
      <c r="DT19" s="43">
        <f t="shared" si="17"/>
        <v>79</v>
      </c>
      <c r="DU19" s="43">
        <f t="shared" si="18"/>
        <v>90</v>
      </c>
      <c r="DV19" s="26">
        <v>120.0</v>
      </c>
      <c r="DW19" s="33">
        <v>3.733333333</v>
      </c>
      <c r="DX19" s="44">
        <f t="shared" si="20"/>
        <v>-14.011516314779271</v>
      </c>
    </row>
    <row r="20" spans="1:128">
      <c r="A20" s="26">
        <v>14</v>
      </c>
      <c r="B20" s="26" t="s">
        <v>347</v>
      </c>
      <c r="C20" s="26" t="s">
        <v>348</v>
      </c>
      <c r="D20" s="27" t="s">
        <v>23</v>
      </c>
      <c r="E20" s="26">
        <v>91</v>
      </c>
      <c r="F20" s="26">
        <v>25</v>
      </c>
      <c r="G20" s="26">
        <v>25</v>
      </c>
      <c r="H20" s="26">
        <v>24</v>
      </c>
      <c r="I20" s="26">
        <v>1</v>
      </c>
      <c r="J20" s="28">
        <v>73</v>
      </c>
      <c r="K20" s="26">
        <v>46</v>
      </c>
      <c r="L20" s="26">
        <v>46</v>
      </c>
      <c r="M20" s="26">
        <v>40</v>
      </c>
      <c r="N20" s="26">
        <v>5</v>
      </c>
      <c r="O20" s="28">
        <v>11</v>
      </c>
      <c r="P20" s="26">
        <v>35</v>
      </c>
      <c r="Q20" s="26">
        <v>3</v>
      </c>
      <c r="R20" s="26">
        <v>1</v>
      </c>
      <c r="S20" s="27">
        <v>35</v>
      </c>
      <c r="T20" s="26">
        <f t="shared" si="0"/>
        <v>175</v>
      </c>
      <c r="U20" s="26">
        <f t="shared" si="1"/>
        <v>65</v>
      </c>
      <c r="V20" s="26">
        <f t="shared" si="2"/>
        <v>74</v>
      </c>
      <c r="W20" s="26">
        <v>100</v>
      </c>
      <c r="X20" s="29">
        <f t="shared" si="3"/>
        <v>1.75</v>
      </c>
      <c r="Y20" s="30">
        <v>84</v>
      </c>
      <c r="Z20" s="26">
        <v>28</v>
      </c>
      <c r="AA20" s="26">
        <v>28</v>
      </c>
      <c r="AB20" s="26">
        <v>26</v>
      </c>
      <c r="AC20" s="26">
        <v>2</v>
      </c>
      <c r="AD20" s="45">
        <v>45</v>
      </c>
      <c r="AE20" s="26">
        <v>46</v>
      </c>
      <c r="AF20" s="26">
        <v>32</v>
      </c>
      <c r="AG20" s="26">
        <v>29</v>
      </c>
      <c r="AH20" s="26">
        <v>17</v>
      </c>
      <c r="AI20" s="26">
        <v>55</v>
      </c>
      <c r="AJ20" s="26">
        <v>3</v>
      </c>
      <c r="AK20" s="26">
        <v>1</v>
      </c>
      <c r="AL20" s="26">
        <v>54</v>
      </c>
      <c r="AM20" s="26">
        <f t="shared" si="4"/>
        <v>129</v>
      </c>
      <c r="AN20" s="32">
        <f t="shared" si="5"/>
        <v>56</v>
      </c>
      <c r="AO20" s="32">
        <f t="shared" si="6"/>
        <v>63</v>
      </c>
      <c r="AP20" s="32">
        <v>110</v>
      </c>
      <c r="AQ20" s="33">
        <f t="shared" si="7"/>
        <v>1.1727272727272726</v>
      </c>
      <c r="AR20" s="29">
        <f t="shared" si="8"/>
        <v>-26.285714285714285</v>
      </c>
      <c r="AS20" s="26">
        <v>48</v>
      </c>
      <c r="AT20" s="26">
        <v>48</v>
      </c>
      <c r="AU20" s="26">
        <v>40</v>
      </c>
      <c r="AV20" s="26">
        <v>8</v>
      </c>
      <c r="AW20" s="26">
        <v>64</v>
      </c>
      <c r="AX20" s="26">
        <v>41</v>
      </c>
      <c r="AY20" s="26">
        <v>37</v>
      </c>
      <c r="AZ20" s="26">
        <v>27</v>
      </c>
      <c r="BA20" s="26">
        <v>83</v>
      </c>
      <c r="BB20" s="26">
        <v>4</v>
      </c>
      <c r="BC20" s="26">
        <v>1</v>
      </c>
      <c r="BD20" s="26">
        <v>63</v>
      </c>
      <c r="BE20" s="26">
        <v>63</v>
      </c>
      <c r="BF20" s="26">
        <v>1</v>
      </c>
      <c r="BG20" s="26">
        <v>1</v>
      </c>
      <c r="BH20" s="26">
        <v>62</v>
      </c>
      <c r="BI20" s="26">
        <v>0</v>
      </c>
      <c r="BJ20" s="26">
        <v>0</v>
      </c>
      <c r="BK20" s="26"/>
      <c r="BL20" s="27"/>
      <c r="BM20" s="34">
        <v>175</v>
      </c>
      <c r="BN20" s="26">
        <v>160</v>
      </c>
      <c r="BO20" s="35">
        <f t="shared" si="9"/>
        <v>79</v>
      </c>
      <c r="BP20" s="35">
        <f t="shared" si="10"/>
        <v>94</v>
      </c>
      <c r="BQ20" s="36">
        <f t="shared" si="11"/>
        <v>1.09375</v>
      </c>
      <c r="BR20" s="37">
        <f t="shared" si="12"/>
        <v>35.65891472868217</v>
      </c>
      <c r="BS20" s="26">
        <v>36</v>
      </c>
      <c r="BT20" s="26">
        <v>36</v>
      </c>
      <c r="BU20" s="26">
        <v>31</v>
      </c>
      <c r="BV20" s="26">
        <v>5</v>
      </c>
      <c r="BW20" s="26">
        <v>47</v>
      </c>
      <c r="BX20" s="26">
        <v>39</v>
      </c>
      <c r="BY20" s="26">
        <v>33</v>
      </c>
      <c r="BZ20" s="26">
        <v>14</v>
      </c>
      <c r="CA20" s="26">
        <v>56</v>
      </c>
      <c r="CB20" s="26">
        <v>1</v>
      </c>
      <c r="CC20" s="26">
        <v>1</v>
      </c>
      <c r="CD20" s="26">
        <v>55</v>
      </c>
      <c r="CE20" s="26">
        <v>55</v>
      </c>
      <c r="CF20" s="26">
        <v>1</v>
      </c>
      <c r="CG20" s="26">
        <v>0</v>
      </c>
      <c r="CH20" s="26">
        <v>55</v>
      </c>
      <c r="CI20" s="26">
        <v>55</v>
      </c>
      <c r="CJ20" s="26">
        <v>0</v>
      </c>
      <c r="CK20" s="26">
        <v>0</v>
      </c>
      <c r="CL20" s="26">
        <v>55</v>
      </c>
      <c r="CM20" s="26"/>
      <c r="CN20" s="26"/>
      <c r="CO20" s="27">
        <v>0</v>
      </c>
      <c r="CP20" s="34">
        <v>153</v>
      </c>
      <c r="CQ20" s="26">
        <f t="shared" si="13"/>
        <v>65</v>
      </c>
      <c r="CR20" s="26">
        <f t="shared" si="14"/>
        <v>77</v>
      </c>
      <c r="CS20" s="26">
        <v>120</v>
      </c>
      <c r="CT20" s="36">
        <f t="shared" si="15"/>
        <v>1.2749999999999999</v>
      </c>
      <c r="CU20" s="38">
        <f t="shared" si="16"/>
        <v>-12.571428571428573</v>
      </c>
      <c r="CV20" s="26">
        <v>36.0</v>
      </c>
      <c r="CW20" s="26">
        <v>36</v>
      </c>
      <c r="CX20" s="26">
        <v>31</v>
      </c>
      <c r="CY20" s="26">
        <v>5</v>
      </c>
      <c r="CZ20" s="26">
        <v>47.0</v>
      </c>
      <c r="DA20" s="26">
        <v>47</v>
      </c>
      <c r="DB20" s="26">
        <v>44</v>
      </c>
      <c r="DC20" s="26">
        <v>3</v>
      </c>
      <c r="DD20" s="26">
        <v>43.0</v>
      </c>
      <c r="DE20" s="26">
        <v>1</v>
      </c>
      <c r="DF20" s="26">
        <v>1</v>
      </c>
      <c r="DG20" s="26">
        <v>44</v>
      </c>
      <c r="DH20" s="26"/>
      <c r="DI20" s="39">
        <v>2</v>
      </c>
      <c r="DJ20" s="26">
        <v>2</v>
      </c>
      <c r="DK20" s="26"/>
      <c r="DL20" s="26">
        <v>52</v>
      </c>
      <c r="DM20" s="26">
        <v>0</v>
      </c>
      <c r="DN20" s="26">
        <v>0</v>
      </c>
      <c r="DO20" s="26"/>
      <c r="DP20" s="46">
        <v>0</v>
      </c>
      <c r="DQ20" s="41">
        <v>0</v>
      </c>
      <c r="DR20" s="27"/>
      <c r="DS20" s="42">
        <v>155</v>
      </c>
      <c r="DT20" s="43">
        <f t="shared" si="17"/>
        <v>78</v>
      </c>
      <c r="DU20" s="43">
        <f t="shared" si="18"/>
        <v>86</v>
      </c>
      <c r="DV20" s="26">
        <v>120.0</v>
      </c>
      <c r="DW20" s="33">
        <v>1.291666667</v>
      </c>
      <c r="DX20" s="44">
        <f t="shared" si="20"/>
        <v>1.3071895424836601</v>
      </c>
    </row>
    <row r="21" spans="1:128" ht="15.75" customHeight="1">
      <c r="A21" s="26">
        <v>15</v>
      </c>
      <c r="B21" s="26" t="s">
        <v>358</v>
      </c>
      <c r="C21" s="26" t="s">
        <v>359</v>
      </c>
      <c r="D21" s="27" t="s">
        <v>23</v>
      </c>
      <c r="E21" s="26">
        <v>106</v>
      </c>
      <c r="F21" s="26">
        <v>25</v>
      </c>
      <c r="G21" s="26">
        <v>25</v>
      </c>
      <c r="H21" s="26">
        <v>23</v>
      </c>
      <c r="I21" s="26">
        <v>2</v>
      </c>
      <c r="J21" s="28">
        <v>66</v>
      </c>
      <c r="K21" s="26">
        <v>47</v>
      </c>
      <c r="L21" s="26">
        <v>47</v>
      </c>
      <c r="M21" s="26">
        <v>38</v>
      </c>
      <c r="N21" s="26">
        <v>8</v>
      </c>
      <c r="O21" s="28">
        <v>8</v>
      </c>
      <c r="P21" s="26">
        <v>38</v>
      </c>
      <c r="Q21" s="26">
        <v>5</v>
      </c>
      <c r="R21" s="26">
        <v>3</v>
      </c>
      <c r="S21" s="27">
        <v>36</v>
      </c>
      <c r="T21" s="26">
        <f t="shared" si="0"/>
        <v>180</v>
      </c>
      <c r="U21" s="26">
        <f t="shared" si="1"/>
        <v>64</v>
      </c>
      <c r="V21" s="26">
        <f t="shared" si="2"/>
        <v>77</v>
      </c>
      <c r="W21" s="26">
        <v>100</v>
      </c>
      <c r="X21" s="29">
        <f t="shared" si="3"/>
        <v>1.8</v>
      </c>
      <c r="Y21" s="30">
        <v>88</v>
      </c>
      <c r="Z21" s="26">
        <v>28</v>
      </c>
      <c r="AA21" s="26">
        <v>28</v>
      </c>
      <c r="AB21" s="26">
        <v>25</v>
      </c>
      <c r="AC21" s="26">
        <v>3</v>
      </c>
      <c r="AD21" s="45">
        <v>46</v>
      </c>
      <c r="AE21" s="26">
        <v>47</v>
      </c>
      <c r="AF21" s="26">
        <v>34</v>
      </c>
      <c r="AG21" s="26">
        <v>25</v>
      </c>
      <c r="AH21" s="26">
        <v>22</v>
      </c>
      <c r="AI21" s="26">
        <v>55</v>
      </c>
      <c r="AJ21" s="26">
        <v>1</v>
      </c>
      <c r="AK21" s="26">
        <v>1</v>
      </c>
      <c r="AL21" s="26">
        <v>54</v>
      </c>
      <c r="AM21" s="26">
        <f t="shared" si="4"/>
        <v>134</v>
      </c>
      <c r="AN21" s="32">
        <f t="shared" si="5"/>
        <v>51</v>
      </c>
      <c r="AO21" s="32">
        <f t="shared" si="6"/>
        <v>63</v>
      </c>
      <c r="AP21" s="32">
        <v>110</v>
      </c>
      <c r="AQ21" s="33">
        <f t="shared" si="7"/>
        <v>1.2181818181818183</v>
      </c>
      <c r="AR21" s="29">
        <f t="shared" si="8"/>
        <v>-25.555555555555554</v>
      </c>
      <c r="AS21" s="26">
        <v>36</v>
      </c>
      <c r="AT21" s="26">
        <v>36</v>
      </c>
      <c r="AU21" s="26">
        <v>34</v>
      </c>
      <c r="AV21" s="26">
        <v>2</v>
      </c>
      <c r="AW21" s="26">
        <v>44</v>
      </c>
      <c r="AX21" s="26">
        <v>38</v>
      </c>
      <c r="AY21" s="26">
        <v>34</v>
      </c>
      <c r="AZ21" s="26">
        <v>10</v>
      </c>
      <c r="BA21" s="26">
        <v>52</v>
      </c>
      <c r="BB21" s="26">
        <v>7</v>
      </c>
      <c r="BC21" s="26">
        <v>3</v>
      </c>
      <c r="BD21" s="26">
        <v>41</v>
      </c>
      <c r="BE21" s="26">
        <v>41</v>
      </c>
      <c r="BF21" s="26">
        <v>1</v>
      </c>
      <c r="BG21" s="26">
        <v>1</v>
      </c>
      <c r="BH21" s="26">
        <v>40</v>
      </c>
      <c r="BI21" s="26">
        <v>0</v>
      </c>
      <c r="BJ21" s="26">
        <v>0</v>
      </c>
      <c r="BK21" s="26"/>
      <c r="BL21" s="27"/>
      <c r="BM21" s="34">
        <v>178</v>
      </c>
      <c r="BN21" s="26">
        <v>120</v>
      </c>
      <c r="BO21" s="35">
        <f t="shared" si="9"/>
        <v>72</v>
      </c>
      <c r="BP21" s="35">
        <f t="shared" si="10"/>
        <v>82</v>
      </c>
      <c r="BQ21" s="36">
        <f t="shared" si="11"/>
        <v>1.4833333333333334</v>
      </c>
      <c r="BR21" s="37">
        <f t="shared" si="12"/>
        <v>32.835820895522389</v>
      </c>
      <c r="BS21" s="26">
        <v>36</v>
      </c>
      <c r="BT21" s="26">
        <v>36</v>
      </c>
      <c r="BU21" s="26">
        <v>33</v>
      </c>
      <c r="BV21" s="26">
        <v>3</v>
      </c>
      <c r="BW21" s="26">
        <v>45</v>
      </c>
      <c r="BX21" s="26">
        <v>45</v>
      </c>
      <c r="BY21" s="26">
        <v>36</v>
      </c>
      <c r="BZ21" s="26">
        <v>9</v>
      </c>
      <c r="CA21" s="26">
        <v>51</v>
      </c>
      <c r="CB21" s="26">
        <v>4</v>
      </c>
      <c r="CC21" s="26">
        <v>2</v>
      </c>
      <c r="CD21" s="26">
        <v>48</v>
      </c>
      <c r="CE21" s="26">
        <v>48</v>
      </c>
      <c r="CF21" s="26">
        <v>1</v>
      </c>
      <c r="CG21" s="26">
        <v>1</v>
      </c>
      <c r="CH21" s="26">
        <v>47</v>
      </c>
      <c r="CI21" s="26">
        <v>48</v>
      </c>
      <c r="CJ21" s="26">
        <v>1</v>
      </c>
      <c r="CK21" s="26">
        <v>1</v>
      </c>
      <c r="CL21" s="26">
        <v>47</v>
      </c>
      <c r="CM21" s="26"/>
      <c r="CN21" s="26"/>
      <c r="CO21" s="27">
        <v>0</v>
      </c>
      <c r="CP21" s="34">
        <v>216</v>
      </c>
      <c r="CQ21" s="26">
        <f t="shared" si="13"/>
        <v>73</v>
      </c>
      <c r="CR21" s="26">
        <f t="shared" si="14"/>
        <v>87</v>
      </c>
      <c r="CS21" s="26">
        <v>120</v>
      </c>
      <c r="CT21" s="36">
        <f t="shared" si="15"/>
        <v>1.8</v>
      </c>
      <c r="CU21" s="38">
        <f t="shared" si="16"/>
        <v>21.348314606741571</v>
      </c>
      <c r="CV21" s="26">
        <v>36.0</v>
      </c>
      <c r="CW21" s="26">
        <v>36</v>
      </c>
      <c r="CX21" s="26">
        <v>33</v>
      </c>
      <c r="CY21" s="26">
        <v>3</v>
      </c>
      <c r="CZ21" s="26">
        <v>45.0</v>
      </c>
      <c r="DA21" s="26">
        <v>45</v>
      </c>
      <c r="DB21" s="26">
        <v>40</v>
      </c>
      <c r="DC21" s="26">
        <v>5</v>
      </c>
      <c r="DD21" s="26">
        <v>47.0</v>
      </c>
      <c r="DE21" s="26">
        <v>5</v>
      </c>
      <c r="DF21" s="26">
        <v>2</v>
      </c>
      <c r="DG21" s="26">
        <v>45</v>
      </c>
      <c r="DH21" s="26"/>
      <c r="DI21" s="39">
        <v>1</v>
      </c>
      <c r="DJ21" s="26">
        <v>0</v>
      </c>
      <c r="DK21" s="26"/>
      <c r="DL21" s="26">
        <v>53</v>
      </c>
      <c r="DM21" s="26">
        <v>0</v>
      </c>
      <c r="DN21" s="26">
        <v>0</v>
      </c>
      <c r="DO21" s="26"/>
      <c r="DP21" s="40">
        <v>0</v>
      </c>
      <c r="DQ21" s="41">
        <v>0</v>
      </c>
      <c r="DR21" s="27"/>
      <c r="DS21" s="42">
        <v>206</v>
      </c>
      <c r="DT21" s="43">
        <f t="shared" si="17"/>
        <v>75</v>
      </c>
      <c r="DU21" s="43">
        <f t="shared" si="18"/>
        <v>87</v>
      </c>
      <c r="DV21" s="26">
        <v>120.0</v>
      </c>
      <c r="DW21" s="33">
        <v>1.716666667</v>
      </c>
      <c r="DX21" s="44">
        <f t="shared" si="20"/>
        <v>-4.6296296296296298</v>
      </c>
    </row>
    <row r="22" spans="1:128" ht="15.75" customHeight="1">
      <c r="A22" s="56">
        <v>16</v>
      </c>
      <c r="B22" s="56" t="s">
        <v>371</v>
      </c>
      <c r="C22" s="56" t="s">
        <v>372</v>
      </c>
      <c r="D22" s="57" t="s">
        <v>23</v>
      </c>
      <c r="E22" s="56">
        <v>1219</v>
      </c>
      <c r="F22" s="56">
        <v>63</v>
      </c>
      <c r="G22" s="56">
        <v>68</v>
      </c>
      <c r="H22" s="56">
        <v>68</v>
      </c>
      <c r="I22" s="56">
        <v>-5</v>
      </c>
      <c r="J22" s="58">
        <v>2298</v>
      </c>
      <c r="K22" s="56">
        <v>112</v>
      </c>
      <c r="L22" s="56">
        <v>113</v>
      </c>
      <c r="M22" s="56">
        <v>107</v>
      </c>
      <c r="N22" s="56">
        <v>4</v>
      </c>
      <c r="O22" s="58">
        <v>575</v>
      </c>
      <c r="P22" s="56">
        <v>79</v>
      </c>
      <c r="Q22" s="56">
        <v>100</v>
      </c>
      <c r="R22" s="56">
        <v>83</v>
      </c>
      <c r="S22" s="57">
        <v>-8</v>
      </c>
      <c r="T22" s="56">
        <f t="shared" si="0"/>
        <v>4092</v>
      </c>
      <c r="U22" s="26">
        <f t="shared" si="1"/>
        <v>258</v>
      </c>
      <c r="V22" s="26">
        <f t="shared" si="2"/>
        <v>281</v>
      </c>
      <c r="W22" s="56">
        <v>250</v>
      </c>
      <c r="X22" s="59">
        <f t="shared" si="3"/>
        <v>16.367999999999999</v>
      </c>
      <c r="Y22" s="60">
        <v>1239</v>
      </c>
      <c r="Z22" s="56">
        <v>63</v>
      </c>
      <c r="AA22" s="56">
        <v>63</v>
      </c>
      <c r="AB22" s="56">
        <v>62</v>
      </c>
      <c r="AC22" s="56">
        <v>1</v>
      </c>
      <c r="AD22" s="61">
        <v>1971</v>
      </c>
      <c r="AE22" s="56">
        <v>101</v>
      </c>
      <c r="AF22" s="56">
        <v>101</v>
      </c>
      <c r="AG22" s="56">
        <v>95</v>
      </c>
      <c r="AH22" s="56">
        <v>6</v>
      </c>
      <c r="AI22" s="56">
        <v>89</v>
      </c>
      <c r="AJ22" s="56">
        <v>89</v>
      </c>
      <c r="AK22" s="56">
        <v>56</v>
      </c>
      <c r="AL22" s="56">
        <v>33</v>
      </c>
      <c r="AM22" s="56">
        <f t="shared" si="4"/>
        <v>3210</v>
      </c>
      <c r="AN22" s="32">
        <f t="shared" si="5"/>
        <v>213</v>
      </c>
      <c r="AO22" s="32">
        <f t="shared" si="6"/>
        <v>253</v>
      </c>
      <c r="AP22" s="62">
        <v>250</v>
      </c>
      <c r="AQ22" s="63">
        <f t="shared" si="7"/>
        <v>12.84</v>
      </c>
      <c r="AR22" s="59">
        <f t="shared" si="8"/>
        <v>-21.55425219941349</v>
      </c>
      <c r="AS22" s="56">
        <v>75</v>
      </c>
      <c r="AT22" s="56">
        <v>75</v>
      </c>
      <c r="AU22" s="56">
        <v>75</v>
      </c>
      <c r="AV22" s="56">
        <v>0</v>
      </c>
      <c r="AW22" s="56">
        <v>88</v>
      </c>
      <c r="AX22" s="56">
        <v>88</v>
      </c>
      <c r="AY22" s="56">
        <v>85</v>
      </c>
      <c r="AZ22" s="56">
        <v>3</v>
      </c>
      <c r="BA22" s="56">
        <v>90</v>
      </c>
      <c r="BB22" s="56">
        <v>90</v>
      </c>
      <c r="BC22" s="56">
        <v>70</v>
      </c>
      <c r="BD22" s="56">
        <v>18</v>
      </c>
      <c r="BE22" s="56">
        <v>18</v>
      </c>
      <c r="BF22" s="56">
        <v>8</v>
      </c>
      <c r="BG22" s="56">
        <v>8</v>
      </c>
      <c r="BH22" s="56">
        <v>10</v>
      </c>
      <c r="BI22" s="56">
        <v>21</v>
      </c>
      <c r="BJ22" s="56">
        <v>21</v>
      </c>
      <c r="BK22" s="56"/>
      <c r="BL22" s="57"/>
      <c r="BM22" s="64">
        <v>4317</v>
      </c>
      <c r="BN22" s="56">
        <v>250</v>
      </c>
      <c r="BO22" s="35">
        <f t="shared" si="9"/>
        <v>259</v>
      </c>
      <c r="BP22" s="35">
        <f t="shared" si="10"/>
        <v>282</v>
      </c>
      <c r="BQ22" s="65">
        <f t="shared" si="11"/>
        <v>17.268000000000001</v>
      </c>
      <c r="BR22" s="66">
        <f t="shared" si="12"/>
        <v>34.485981308411219</v>
      </c>
      <c r="BS22" s="56">
        <v>75</v>
      </c>
      <c r="BT22" s="56">
        <v>77</v>
      </c>
      <c r="BU22" s="56">
        <v>77</v>
      </c>
      <c r="BV22" s="56">
        <v>-2</v>
      </c>
      <c r="BW22" s="56">
        <v>88</v>
      </c>
      <c r="BX22" s="56">
        <v>88</v>
      </c>
      <c r="BY22" s="56">
        <v>86</v>
      </c>
      <c r="BZ22" s="56">
        <v>2</v>
      </c>
      <c r="CA22" s="56">
        <v>91</v>
      </c>
      <c r="CB22" s="56">
        <v>79</v>
      </c>
      <c r="CC22" s="56">
        <v>61</v>
      </c>
      <c r="CD22" s="56">
        <v>21</v>
      </c>
      <c r="CE22" s="56">
        <v>21</v>
      </c>
      <c r="CF22" s="56">
        <v>11</v>
      </c>
      <c r="CG22" s="56">
        <v>9</v>
      </c>
      <c r="CH22" s="56">
        <v>12</v>
      </c>
      <c r="CI22" s="56">
        <v>21</v>
      </c>
      <c r="CJ22" s="56">
        <v>23</v>
      </c>
      <c r="CK22" s="56">
        <v>21</v>
      </c>
      <c r="CL22" s="56">
        <v>0</v>
      </c>
      <c r="CM22" s="56"/>
      <c r="CN22" s="56"/>
      <c r="CO22" s="57">
        <v>0</v>
      </c>
      <c r="CP22" s="64">
        <v>4032</v>
      </c>
      <c r="CQ22" s="26">
        <f t="shared" si="13"/>
        <v>254</v>
      </c>
      <c r="CR22" s="26">
        <f t="shared" si="14"/>
        <v>278</v>
      </c>
      <c r="CS22" s="56">
        <v>250</v>
      </c>
      <c r="CT22" s="65">
        <f t="shared" si="15"/>
        <v>16.128</v>
      </c>
      <c r="CU22" s="68">
        <f t="shared" si="16"/>
        <v>-6.6018068102849199</v>
      </c>
      <c r="CV22" s="56">
        <v>75.0</v>
      </c>
      <c r="CW22" s="56">
        <v>75</v>
      </c>
      <c r="CX22" s="56">
        <v>75</v>
      </c>
      <c r="CY22" s="56">
        <v>0</v>
      </c>
      <c r="CZ22" s="56">
        <v>88.0</v>
      </c>
      <c r="DA22" s="56">
        <v>88</v>
      </c>
      <c r="DB22" s="56">
        <v>86</v>
      </c>
      <c r="DC22" s="56">
        <v>2</v>
      </c>
      <c r="DD22" s="56">
        <v>74.0</v>
      </c>
      <c r="DE22" s="56">
        <v>72</v>
      </c>
      <c r="DF22" s="56">
        <v>53</v>
      </c>
      <c r="DG22" s="56">
        <v>38</v>
      </c>
      <c r="DH22" s="56"/>
      <c r="DI22" s="39">
        <v>21</v>
      </c>
      <c r="DJ22" s="56">
        <v>17</v>
      </c>
      <c r="DK22" s="56"/>
      <c r="DL22" s="56">
        <v>40</v>
      </c>
      <c r="DM22" s="56">
        <v>23</v>
      </c>
      <c r="DN22" s="56">
        <v>19</v>
      </c>
      <c r="DO22" s="56"/>
      <c r="DP22" s="40">
        <v>0</v>
      </c>
      <c r="DQ22" s="41">
        <v>0</v>
      </c>
      <c r="DR22" s="27"/>
      <c r="DS22" s="69">
        <v>2003</v>
      </c>
      <c r="DT22" s="43">
        <f t="shared" si="17"/>
        <v>250</v>
      </c>
      <c r="DU22" s="43">
        <f t="shared" si="18"/>
        <v>279</v>
      </c>
      <c r="DV22" s="56">
        <v>250.0</v>
      </c>
      <c r="DW22" s="63">
        <v>8.012</v>
      </c>
      <c r="DX22" s="70">
        <f t="shared" si="20"/>
        <v>-50.32242063492064</v>
      </c>
    </row>
    <row r="23" spans="1:128" ht="15.75" customHeight="1">
      <c r="A23" s="26">
        <v>116</v>
      </c>
      <c r="B23" s="26" t="s">
        <v>387</v>
      </c>
      <c r="C23" s="26" t="s">
        <v>388</v>
      </c>
      <c r="D23" s="27" t="s">
        <v>23</v>
      </c>
      <c r="E23" s="26">
        <v>969</v>
      </c>
      <c r="F23" s="26">
        <v>40</v>
      </c>
      <c r="G23" s="26">
        <v>41</v>
      </c>
      <c r="H23" s="26">
        <v>41</v>
      </c>
      <c r="I23" s="26">
        <v>-1</v>
      </c>
      <c r="J23" s="28">
        <v>1179</v>
      </c>
      <c r="K23" s="26">
        <v>72</v>
      </c>
      <c r="L23" s="26">
        <v>72</v>
      </c>
      <c r="M23" s="26">
        <v>59</v>
      </c>
      <c r="N23" s="26">
        <v>6</v>
      </c>
      <c r="O23" s="28">
        <v>118</v>
      </c>
      <c r="P23" s="26">
        <v>54</v>
      </c>
      <c r="Q23" s="26">
        <v>54</v>
      </c>
      <c r="R23" s="26">
        <v>27</v>
      </c>
      <c r="S23" s="27">
        <v>33</v>
      </c>
      <c r="T23" s="26">
        <f t="shared" si="0"/>
        <v>2266</v>
      </c>
      <c r="U23" s="26">
        <f t="shared" si="1"/>
        <v>127</v>
      </c>
      <c r="V23" s="26">
        <f t="shared" si="2"/>
        <v>167</v>
      </c>
      <c r="W23" s="26">
        <v>160</v>
      </c>
      <c r="X23" s="29">
        <f t="shared" si="3"/>
        <v>14.1625</v>
      </c>
      <c r="Y23" s="30">
        <v>1099</v>
      </c>
      <c r="Z23" s="26">
        <v>50</v>
      </c>
      <c r="AA23" s="26">
        <v>50</v>
      </c>
      <c r="AB23" s="26">
        <v>48</v>
      </c>
      <c r="AC23" s="26">
        <v>2</v>
      </c>
      <c r="AD23" s="45">
        <v>1072</v>
      </c>
      <c r="AE23" s="26">
        <v>82</v>
      </c>
      <c r="AF23" s="26">
        <v>82</v>
      </c>
      <c r="AG23" s="26">
        <v>74</v>
      </c>
      <c r="AH23" s="26">
        <v>8</v>
      </c>
      <c r="AI23" s="26">
        <v>75</v>
      </c>
      <c r="AJ23" s="26">
        <v>75</v>
      </c>
      <c r="AK23" s="26">
        <v>42</v>
      </c>
      <c r="AL23" s="26">
        <v>33</v>
      </c>
      <c r="AM23" s="26">
        <f t="shared" si="4"/>
        <v>2171</v>
      </c>
      <c r="AN23" s="32">
        <f t="shared" si="5"/>
        <v>164</v>
      </c>
      <c r="AO23" s="32">
        <f t="shared" si="6"/>
        <v>207</v>
      </c>
      <c r="AP23" s="32">
        <v>200</v>
      </c>
      <c r="AQ23" s="33">
        <f t="shared" si="7"/>
        <v>10.855</v>
      </c>
      <c r="AR23" s="29">
        <f t="shared" si="8"/>
        <v>-4.1924095322153576</v>
      </c>
      <c r="AS23" s="26">
        <v>108</v>
      </c>
      <c r="AT23" s="26">
        <v>108</v>
      </c>
      <c r="AU23" s="26">
        <v>102</v>
      </c>
      <c r="AV23" s="26">
        <v>6</v>
      </c>
      <c r="AW23" s="26">
        <v>132</v>
      </c>
      <c r="AX23" s="26">
        <v>132</v>
      </c>
      <c r="AY23" s="26">
        <v>119</v>
      </c>
      <c r="AZ23" s="26">
        <v>13</v>
      </c>
      <c r="BA23" s="26">
        <v>139</v>
      </c>
      <c r="BB23" s="26">
        <v>139</v>
      </c>
      <c r="BC23" s="26">
        <v>65</v>
      </c>
      <c r="BD23" s="26">
        <v>67</v>
      </c>
      <c r="BE23" s="26">
        <v>67</v>
      </c>
      <c r="BF23" s="26">
        <v>6</v>
      </c>
      <c r="BG23" s="26">
        <v>6</v>
      </c>
      <c r="BH23" s="26">
        <v>61</v>
      </c>
      <c r="BI23" s="26">
        <v>5</v>
      </c>
      <c r="BJ23" s="26">
        <v>2</v>
      </c>
      <c r="BK23" s="26">
        <v>2</v>
      </c>
      <c r="BL23" s="27">
        <v>2</v>
      </c>
      <c r="BM23" s="34">
        <v>2845</v>
      </c>
      <c r="BN23" s="26">
        <v>360</v>
      </c>
      <c r="BO23" s="35">
        <f t="shared" si="9"/>
        <v>294</v>
      </c>
      <c r="BP23" s="35">
        <f t="shared" si="10"/>
        <v>392</v>
      </c>
      <c r="BQ23" s="36">
        <f t="shared" si="11"/>
        <v>7.9027777777777777</v>
      </c>
      <c r="BR23" s="37">
        <f t="shared" si="12"/>
        <v>31.045601105481346</v>
      </c>
      <c r="BS23" s="26">
        <v>108</v>
      </c>
      <c r="BT23" s="26">
        <v>108</v>
      </c>
      <c r="BU23" s="26">
        <v>99</v>
      </c>
      <c r="BV23" s="26">
        <v>9</v>
      </c>
      <c r="BW23" s="26">
        <v>135</v>
      </c>
      <c r="BX23" s="26">
        <v>135</v>
      </c>
      <c r="BY23" s="26">
        <v>120</v>
      </c>
      <c r="BZ23" s="26">
        <v>15</v>
      </c>
      <c r="CA23" s="26">
        <v>141</v>
      </c>
      <c r="CB23" s="26">
        <v>98</v>
      </c>
      <c r="CC23" s="26">
        <v>50</v>
      </c>
      <c r="CD23" s="26">
        <v>84</v>
      </c>
      <c r="CE23" s="26">
        <v>84</v>
      </c>
      <c r="CF23" s="26">
        <v>10</v>
      </c>
      <c r="CG23" s="26">
        <v>7</v>
      </c>
      <c r="CH23" s="26">
        <v>77</v>
      </c>
      <c r="CI23" s="26">
        <v>82</v>
      </c>
      <c r="CJ23" s="26">
        <v>18</v>
      </c>
      <c r="CK23" s="26">
        <v>4</v>
      </c>
      <c r="CL23" s="26">
        <v>78</v>
      </c>
      <c r="CM23" s="26">
        <v>2</v>
      </c>
      <c r="CN23" s="26"/>
      <c r="CO23" s="27">
        <v>2</v>
      </c>
      <c r="CP23" s="34">
        <v>2831</v>
      </c>
      <c r="CQ23" s="26">
        <f t="shared" si="13"/>
        <v>280</v>
      </c>
      <c r="CR23" s="26">
        <f t="shared" si="14"/>
        <v>371</v>
      </c>
      <c r="CS23" s="26">
        <v>360</v>
      </c>
      <c r="CT23" s="36">
        <f t="shared" si="15"/>
        <v>7.8638888888888889</v>
      </c>
      <c r="CU23" s="38">
        <f t="shared" si="16"/>
        <v>-0.49209138840070299</v>
      </c>
      <c r="CV23" s="26">
        <v>108.0</v>
      </c>
      <c r="CW23" s="26">
        <v>105</v>
      </c>
      <c r="CX23" s="26">
        <v>98</v>
      </c>
      <c r="CY23" s="26">
        <v>10</v>
      </c>
      <c r="CZ23" s="26">
        <v>136.0</v>
      </c>
      <c r="DA23" s="26">
        <v>136</v>
      </c>
      <c r="DB23" s="26">
        <v>116</v>
      </c>
      <c r="DC23" s="26">
        <v>20</v>
      </c>
      <c r="DD23" s="26">
        <v>130.0</v>
      </c>
      <c r="DE23" s="26">
        <v>97</v>
      </c>
      <c r="DF23" s="26">
        <v>56</v>
      </c>
      <c r="DG23" s="26">
        <v>90</v>
      </c>
      <c r="DH23" s="26"/>
      <c r="DI23" s="39">
        <v>20</v>
      </c>
      <c r="DJ23" s="26">
        <v>16</v>
      </c>
      <c r="DK23" s="26"/>
      <c r="DL23" s="26">
        <v>120</v>
      </c>
      <c r="DM23" s="26">
        <v>13</v>
      </c>
      <c r="DN23" s="26">
        <v>8</v>
      </c>
      <c r="DO23" s="26"/>
      <c r="DP23" s="46">
        <v>2</v>
      </c>
      <c r="DQ23" s="41">
        <v>1</v>
      </c>
      <c r="DR23" s="27"/>
      <c r="DS23" s="42">
        <v>1588</v>
      </c>
      <c r="DT23" s="43">
        <f t="shared" si="17"/>
        <v>295</v>
      </c>
      <c r="DU23" s="43">
        <f t="shared" si="18"/>
        <v>373</v>
      </c>
      <c r="DV23" s="26">
        <v>360.0</v>
      </c>
      <c r="DW23" s="33">
        <v>4.411111111</v>
      </c>
      <c r="DX23" s="44">
        <f t="shared" si="20"/>
        <v>-43.906746732603317</v>
      </c>
    </row>
    <row r="24" spans="1:128" ht="15.75" customHeight="1">
      <c r="A24" s="26">
        <v>18</v>
      </c>
      <c r="B24" s="26" t="s">
        <v>389</v>
      </c>
      <c r="C24" s="26" t="s">
        <v>390</v>
      </c>
      <c r="D24" s="27" t="s">
        <v>23</v>
      </c>
      <c r="E24" s="26">
        <v>532</v>
      </c>
      <c r="F24" s="26">
        <v>20</v>
      </c>
      <c r="G24" s="26">
        <v>27</v>
      </c>
      <c r="H24" s="26">
        <v>27</v>
      </c>
      <c r="I24" s="26">
        <v>-7</v>
      </c>
      <c r="J24" s="28">
        <v>880</v>
      </c>
      <c r="K24" s="26">
        <v>36</v>
      </c>
      <c r="L24" s="26">
        <v>36</v>
      </c>
      <c r="M24" s="26">
        <v>35</v>
      </c>
      <c r="N24" s="26">
        <v>1</v>
      </c>
      <c r="O24" s="28">
        <v>159</v>
      </c>
      <c r="P24" s="26">
        <v>25</v>
      </c>
      <c r="Q24" s="26">
        <v>30</v>
      </c>
      <c r="R24" s="26">
        <v>20</v>
      </c>
      <c r="S24" s="27">
        <v>-2</v>
      </c>
      <c r="T24" s="26">
        <f t="shared" si="0"/>
        <v>1571</v>
      </c>
      <c r="U24" s="26">
        <f t="shared" si="1"/>
        <v>82</v>
      </c>
      <c r="V24" s="26">
        <f t="shared" si="2"/>
        <v>93</v>
      </c>
      <c r="W24" s="26">
        <v>80</v>
      </c>
      <c r="X24" s="29">
        <f t="shared" si="3"/>
        <v>19.637499999999999</v>
      </c>
      <c r="Y24" s="30">
        <v>614</v>
      </c>
      <c r="Z24" s="26">
        <v>25</v>
      </c>
      <c r="AA24" s="26">
        <v>25</v>
      </c>
      <c r="AB24" s="26">
        <v>25</v>
      </c>
      <c r="AC24" s="26">
        <v>0</v>
      </c>
      <c r="AD24" s="45">
        <v>946</v>
      </c>
      <c r="AE24" s="26">
        <v>40</v>
      </c>
      <c r="AF24" s="26">
        <v>40</v>
      </c>
      <c r="AG24" s="26">
        <v>38</v>
      </c>
      <c r="AH24" s="26">
        <v>2</v>
      </c>
      <c r="AI24" s="26">
        <v>36</v>
      </c>
      <c r="AJ24" s="26">
        <v>36</v>
      </c>
      <c r="AK24" s="26">
        <v>20</v>
      </c>
      <c r="AL24" s="26">
        <v>16</v>
      </c>
      <c r="AM24" s="26">
        <f t="shared" si="4"/>
        <v>1560</v>
      </c>
      <c r="AN24" s="32">
        <f t="shared" si="5"/>
        <v>83</v>
      </c>
      <c r="AO24" s="32">
        <f t="shared" si="6"/>
        <v>101</v>
      </c>
      <c r="AP24" s="32">
        <v>100</v>
      </c>
      <c r="AQ24" s="33">
        <f t="shared" si="7"/>
        <v>15.6</v>
      </c>
      <c r="AR24" s="29">
        <f t="shared" si="8"/>
        <v>-0.70019096117122859</v>
      </c>
      <c r="AS24" s="26">
        <v>30</v>
      </c>
      <c r="AT24" s="26">
        <v>30</v>
      </c>
      <c r="AU24" s="26">
        <v>30</v>
      </c>
      <c r="AV24" s="26">
        <v>0</v>
      </c>
      <c r="AW24" s="26">
        <v>35</v>
      </c>
      <c r="AX24" s="26">
        <v>35</v>
      </c>
      <c r="AY24" s="26">
        <v>35</v>
      </c>
      <c r="AZ24" s="26">
        <v>0</v>
      </c>
      <c r="BA24" s="26">
        <v>35</v>
      </c>
      <c r="BB24" s="26">
        <v>35</v>
      </c>
      <c r="BC24" s="26">
        <v>17</v>
      </c>
      <c r="BD24" s="26">
        <v>18</v>
      </c>
      <c r="BE24" s="26">
        <v>18</v>
      </c>
      <c r="BF24" s="26">
        <v>6</v>
      </c>
      <c r="BG24" s="26">
        <v>5</v>
      </c>
      <c r="BH24" s="26">
        <v>13</v>
      </c>
      <c r="BI24" s="26">
        <v>19</v>
      </c>
      <c r="BJ24" s="26">
        <v>13</v>
      </c>
      <c r="BK24" s="26">
        <v>2</v>
      </c>
      <c r="BL24" s="27">
        <v>1</v>
      </c>
      <c r="BM24" s="34">
        <v>1941</v>
      </c>
      <c r="BN24" s="26">
        <v>100</v>
      </c>
      <c r="BO24" s="35">
        <f t="shared" si="9"/>
        <v>100</v>
      </c>
      <c r="BP24" s="35">
        <f t="shared" si="10"/>
        <v>127</v>
      </c>
      <c r="BQ24" s="36">
        <f t="shared" si="11"/>
        <v>19.41</v>
      </c>
      <c r="BR24" s="37">
        <f t="shared" si="12"/>
        <v>24.423076923076923</v>
      </c>
      <c r="BS24" s="26">
        <v>30</v>
      </c>
      <c r="BT24" s="26">
        <v>30</v>
      </c>
      <c r="BU24" s="26">
        <v>30</v>
      </c>
      <c r="BV24" s="26">
        <v>0</v>
      </c>
      <c r="BW24" s="26">
        <v>35</v>
      </c>
      <c r="BX24" s="26">
        <v>35</v>
      </c>
      <c r="BY24" s="26">
        <v>35</v>
      </c>
      <c r="BZ24" s="26">
        <v>0</v>
      </c>
      <c r="CA24" s="26">
        <v>36</v>
      </c>
      <c r="CB24" s="26">
        <v>29</v>
      </c>
      <c r="CC24" s="26">
        <v>22</v>
      </c>
      <c r="CD24" s="26">
        <v>8</v>
      </c>
      <c r="CE24" s="26">
        <v>8</v>
      </c>
      <c r="CF24" s="26">
        <v>6</v>
      </c>
      <c r="CG24" s="26">
        <v>6</v>
      </c>
      <c r="CH24" s="26">
        <v>2</v>
      </c>
      <c r="CI24" s="26">
        <v>8</v>
      </c>
      <c r="CJ24" s="26">
        <v>8</v>
      </c>
      <c r="CK24" s="26">
        <v>8</v>
      </c>
      <c r="CL24" s="26">
        <v>0</v>
      </c>
      <c r="CM24" s="26"/>
      <c r="CN24" s="26"/>
      <c r="CO24" s="27">
        <v>0</v>
      </c>
      <c r="CP24" s="34">
        <v>1956</v>
      </c>
      <c r="CQ24" s="26">
        <f t="shared" si="13"/>
        <v>101</v>
      </c>
      <c r="CR24" s="26">
        <f t="shared" si="14"/>
        <v>108</v>
      </c>
      <c r="CS24" s="26">
        <v>100</v>
      </c>
      <c r="CT24" s="36">
        <f t="shared" si="15"/>
        <v>19.559999999999999</v>
      </c>
      <c r="CU24" s="38">
        <f t="shared" si="16"/>
        <v>0.77279752704791349</v>
      </c>
      <c r="CV24" s="26">
        <v>30.0</v>
      </c>
      <c r="CW24" s="26">
        <v>30</v>
      </c>
      <c r="CX24" s="26">
        <v>30</v>
      </c>
      <c r="CY24" s="26">
        <v>0</v>
      </c>
      <c r="CZ24" s="26">
        <v>35.0</v>
      </c>
      <c r="DA24" s="26">
        <v>35</v>
      </c>
      <c r="DB24" s="26">
        <v>35</v>
      </c>
      <c r="DC24" s="26">
        <v>0</v>
      </c>
      <c r="DD24" s="26">
        <v>22.0</v>
      </c>
      <c r="DE24" s="26">
        <v>21</v>
      </c>
      <c r="DF24" s="26">
        <v>16</v>
      </c>
      <c r="DG24" s="26">
        <v>20</v>
      </c>
      <c r="DH24" s="26"/>
      <c r="DI24" s="39">
        <v>14</v>
      </c>
      <c r="DJ24" s="26">
        <v>14</v>
      </c>
      <c r="DK24" s="26"/>
      <c r="DL24" s="26">
        <v>20</v>
      </c>
      <c r="DM24" s="26">
        <v>7</v>
      </c>
      <c r="DN24" s="26">
        <v>5</v>
      </c>
      <c r="DO24" s="26"/>
      <c r="DP24" s="40">
        <v>0</v>
      </c>
      <c r="DQ24" s="41">
        <v>0</v>
      </c>
      <c r="DR24" s="27"/>
      <c r="DS24" s="42">
        <v>1204</v>
      </c>
      <c r="DT24" s="43">
        <f t="shared" si="17"/>
        <v>100</v>
      </c>
      <c r="DU24" s="43">
        <f t="shared" si="18"/>
        <v>107</v>
      </c>
      <c r="DV24" s="26">
        <v>100.0</v>
      </c>
      <c r="DW24" s="33">
        <v>12.04</v>
      </c>
      <c r="DX24" s="44">
        <f t="shared" si="20"/>
        <v>-38.445807770961146</v>
      </c>
    </row>
    <row r="25" spans="1:128" ht="15.75" customHeight="1">
      <c r="A25" s="26">
        <v>19</v>
      </c>
      <c r="B25" s="26" t="s">
        <v>394</v>
      </c>
      <c r="C25" s="26" t="s">
        <v>395</v>
      </c>
      <c r="D25" s="27" t="s">
        <v>23</v>
      </c>
      <c r="E25" s="26">
        <v>117</v>
      </c>
      <c r="F25" s="26">
        <v>23</v>
      </c>
      <c r="G25" s="26">
        <v>27</v>
      </c>
      <c r="H25" s="26">
        <v>27</v>
      </c>
      <c r="I25" s="26">
        <v>-4</v>
      </c>
      <c r="J25" s="28">
        <v>110</v>
      </c>
      <c r="K25" s="26">
        <v>40</v>
      </c>
      <c r="L25" s="26">
        <v>40</v>
      </c>
      <c r="M25" s="26">
        <v>33</v>
      </c>
      <c r="N25" s="26">
        <v>5</v>
      </c>
      <c r="O25" s="28">
        <v>21</v>
      </c>
      <c r="P25" s="26">
        <v>32</v>
      </c>
      <c r="Q25" s="26">
        <v>11</v>
      </c>
      <c r="R25" s="26">
        <v>7</v>
      </c>
      <c r="S25" s="27">
        <v>23</v>
      </c>
      <c r="T25" s="26">
        <f t="shared" si="0"/>
        <v>248</v>
      </c>
      <c r="U25" s="26">
        <f t="shared" si="1"/>
        <v>67</v>
      </c>
      <c r="V25" s="26">
        <f t="shared" si="2"/>
        <v>78</v>
      </c>
      <c r="W25" s="26">
        <v>90</v>
      </c>
      <c r="X25" s="29">
        <f t="shared" si="3"/>
        <v>2.7555555555555555</v>
      </c>
      <c r="Y25" s="30">
        <v>77</v>
      </c>
      <c r="Z25" s="26">
        <v>23</v>
      </c>
      <c r="AA25" s="26">
        <v>25</v>
      </c>
      <c r="AB25" s="26">
        <v>22</v>
      </c>
      <c r="AC25" s="26">
        <v>1</v>
      </c>
      <c r="AD25" s="45">
        <v>68</v>
      </c>
      <c r="AE25" s="26">
        <v>37</v>
      </c>
      <c r="AF25" s="26">
        <v>37</v>
      </c>
      <c r="AG25" s="26">
        <v>29</v>
      </c>
      <c r="AH25" s="26">
        <v>8</v>
      </c>
      <c r="AI25" s="26">
        <v>37</v>
      </c>
      <c r="AJ25" s="26">
        <v>5</v>
      </c>
      <c r="AK25" s="26">
        <v>3</v>
      </c>
      <c r="AL25" s="26">
        <v>34</v>
      </c>
      <c r="AM25" s="26">
        <f t="shared" si="4"/>
        <v>145</v>
      </c>
      <c r="AN25" s="32">
        <f t="shared" si="5"/>
        <v>54</v>
      </c>
      <c r="AO25" s="32">
        <f t="shared" si="6"/>
        <v>67</v>
      </c>
      <c r="AP25" s="32">
        <v>90</v>
      </c>
      <c r="AQ25" s="33">
        <f t="shared" si="7"/>
        <v>1.6111111111111112</v>
      </c>
      <c r="AR25" s="29">
        <f t="shared" si="8"/>
        <v>-41.532258064516128</v>
      </c>
      <c r="AS25" s="26">
        <v>36</v>
      </c>
      <c r="AT25" s="26">
        <v>36</v>
      </c>
      <c r="AU25" s="26">
        <v>33</v>
      </c>
      <c r="AV25" s="26">
        <v>3</v>
      </c>
      <c r="AW25" s="26">
        <v>45</v>
      </c>
      <c r="AX25" s="26">
        <v>32</v>
      </c>
      <c r="AY25" s="26">
        <v>27</v>
      </c>
      <c r="AZ25" s="26">
        <v>18</v>
      </c>
      <c r="BA25" s="26">
        <v>60</v>
      </c>
      <c r="BB25" s="26">
        <v>5</v>
      </c>
      <c r="BC25" s="26">
        <v>1</v>
      </c>
      <c r="BD25" s="26">
        <v>44</v>
      </c>
      <c r="BE25" s="26">
        <v>44</v>
      </c>
      <c r="BF25" s="26">
        <v>1</v>
      </c>
      <c r="BG25" s="26">
        <v>1</v>
      </c>
      <c r="BH25" s="26">
        <v>43</v>
      </c>
      <c r="BI25" s="26">
        <v>0</v>
      </c>
      <c r="BJ25" s="26">
        <v>0</v>
      </c>
      <c r="BK25" s="26"/>
      <c r="BL25" s="27"/>
      <c r="BM25" s="34">
        <v>159</v>
      </c>
      <c r="BN25" s="26">
        <v>120</v>
      </c>
      <c r="BO25" s="35">
        <f t="shared" si="9"/>
        <v>62</v>
      </c>
      <c r="BP25" s="35">
        <f t="shared" si="10"/>
        <v>74</v>
      </c>
      <c r="BQ25" s="36">
        <f t="shared" si="11"/>
        <v>1.325</v>
      </c>
      <c r="BR25" s="37">
        <f t="shared" si="12"/>
        <v>9.6551724137931032</v>
      </c>
      <c r="BS25" s="26">
        <v>24</v>
      </c>
      <c r="BT25" s="26">
        <v>24</v>
      </c>
      <c r="BU25" s="26">
        <v>24</v>
      </c>
      <c r="BV25" s="26">
        <v>0</v>
      </c>
      <c r="BW25" s="26">
        <v>28</v>
      </c>
      <c r="BX25" s="26">
        <v>28</v>
      </c>
      <c r="BY25" s="26">
        <v>25</v>
      </c>
      <c r="BZ25" s="26">
        <v>3</v>
      </c>
      <c r="CA25" s="26">
        <v>31</v>
      </c>
      <c r="CB25" s="26">
        <v>10</v>
      </c>
      <c r="CC25" s="26">
        <v>5</v>
      </c>
      <c r="CD25" s="26">
        <v>26</v>
      </c>
      <c r="CE25" s="26">
        <v>26</v>
      </c>
      <c r="CF25" s="26">
        <v>1</v>
      </c>
      <c r="CG25" s="26">
        <v>0</v>
      </c>
      <c r="CH25" s="26">
        <v>26</v>
      </c>
      <c r="CI25" s="26">
        <v>26</v>
      </c>
      <c r="CJ25" s="26">
        <v>0</v>
      </c>
      <c r="CK25" s="26">
        <v>0</v>
      </c>
      <c r="CL25" s="26">
        <v>26</v>
      </c>
      <c r="CM25" s="26">
        <v>1</v>
      </c>
      <c r="CN25" s="26">
        <v>1</v>
      </c>
      <c r="CO25" s="27">
        <v>0</v>
      </c>
      <c r="CP25" s="34">
        <v>186</v>
      </c>
      <c r="CQ25" s="26">
        <f t="shared" si="13"/>
        <v>55</v>
      </c>
      <c r="CR25" s="26">
        <f t="shared" si="14"/>
        <v>64</v>
      </c>
      <c r="CS25" s="26">
        <v>80</v>
      </c>
      <c r="CT25" s="36">
        <f t="shared" si="15"/>
        <v>2.3250000000000002</v>
      </c>
      <c r="CU25" s="38">
        <f t="shared" si="16"/>
        <v>16.981132075471699</v>
      </c>
      <c r="CV25" s="26">
        <v>24.0</v>
      </c>
      <c r="CW25" s="26">
        <v>24</v>
      </c>
      <c r="CX25" s="26">
        <v>22</v>
      </c>
      <c r="CY25" s="26">
        <v>2</v>
      </c>
      <c r="CZ25" s="26">
        <v>30.0</v>
      </c>
      <c r="DA25" s="26">
        <v>30</v>
      </c>
      <c r="DB25" s="26">
        <v>27</v>
      </c>
      <c r="DC25" s="26">
        <v>3</v>
      </c>
      <c r="DD25" s="26">
        <v>31.0</v>
      </c>
      <c r="DE25" s="26">
        <v>7</v>
      </c>
      <c r="DF25" s="26">
        <v>6</v>
      </c>
      <c r="DG25" s="26">
        <v>25</v>
      </c>
      <c r="DH25" s="26"/>
      <c r="DI25" s="39">
        <v>0</v>
      </c>
      <c r="DJ25" s="26">
        <v>0</v>
      </c>
      <c r="DK25" s="26"/>
      <c r="DL25" s="26">
        <v>30</v>
      </c>
      <c r="DM25" s="26">
        <v>1</v>
      </c>
      <c r="DN25" s="26">
        <v>1</v>
      </c>
      <c r="DO25" s="26"/>
      <c r="DP25" s="46">
        <v>0</v>
      </c>
      <c r="DQ25" s="41">
        <v>0</v>
      </c>
      <c r="DR25" s="27"/>
      <c r="DS25" s="42">
        <v>185</v>
      </c>
      <c r="DT25" s="43">
        <f t="shared" si="17"/>
        <v>56</v>
      </c>
      <c r="DU25" s="43">
        <f t="shared" si="18"/>
        <v>62</v>
      </c>
      <c r="DV25" s="26">
        <v>80.0</v>
      </c>
      <c r="DW25" s="33">
        <v>2.3125</v>
      </c>
      <c r="DX25" s="44">
        <f t="shared" si="20"/>
        <v>-0.53763440860215062</v>
      </c>
    </row>
    <row r="26" spans="1:128" ht="15.75" customHeight="1">
      <c r="A26" s="26">
        <v>20</v>
      </c>
      <c r="B26" s="26" t="s">
        <v>397</v>
      </c>
      <c r="C26" s="26" t="s">
        <v>398</v>
      </c>
      <c r="D26" s="27" t="s">
        <v>23</v>
      </c>
      <c r="E26" s="26">
        <v>33</v>
      </c>
      <c r="F26" s="26">
        <v>23</v>
      </c>
      <c r="G26" s="26">
        <v>27</v>
      </c>
      <c r="H26" s="26">
        <v>26</v>
      </c>
      <c r="I26" s="26">
        <v>-3</v>
      </c>
      <c r="J26" s="28">
        <v>35</v>
      </c>
      <c r="K26" s="26">
        <v>40</v>
      </c>
      <c r="L26" s="26">
        <v>22</v>
      </c>
      <c r="M26" s="26">
        <v>14</v>
      </c>
      <c r="N26" s="26">
        <v>24</v>
      </c>
      <c r="O26" s="28">
        <v>9</v>
      </c>
      <c r="P26" s="26">
        <v>51</v>
      </c>
      <c r="Q26" s="26">
        <v>2</v>
      </c>
      <c r="R26" s="26">
        <v>2</v>
      </c>
      <c r="S26" s="27">
        <v>48</v>
      </c>
      <c r="T26" s="26">
        <f t="shared" si="0"/>
        <v>77</v>
      </c>
      <c r="U26" s="26">
        <f t="shared" si="1"/>
        <v>42</v>
      </c>
      <c r="V26" s="26">
        <f t="shared" si="2"/>
        <v>51</v>
      </c>
      <c r="W26" s="26">
        <v>90</v>
      </c>
      <c r="X26" s="29">
        <f t="shared" si="3"/>
        <v>0.85555555555555551</v>
      </c>
      <c r="Y26" s="30">
        <v>28</v>
      </c>
      <c r="Z26" s="26">
        <v>23</v>
      </c>
      <c r="AA26" s="26">
        <v>20</v>
      </c>
      <c r="AB26" s="26">
        <v>13</v>
      </c>
      <c r="AC26" s="26">
        <v>10</v>
      </c>
      <c r="AD26" s="45">
        <v>34</v>
      </c>
      <c r="AE26" s="26">
        <v>46</v>
      </c>
      <c r="AF26" s="26">
        <v>27</v>
      </c>
      <c r="AG26" s="26">
        <v>23</v>
      </c>
      <c r="AH26" s="26">
        <v>23</v>
      </c>
      <c r="AI26" s="26">
        <v>45</v>
      </c>
      <c r="AJ26" s="26">
        <v>2</v>
      </c>
      <c r="AK26" s="26">
        <v>0</v>
      </c>
      <c r="AL26" s="26">
        <v>45</v>
      </c>
      <c r="AM26" s="26">
        <f t="shared" si="4"/>
        <v>62</v>
      </c>
      <c r="AN26" s="32">
        <f t="shared" si="5"/>
        <v>36</v>
      </c>
      <c r="AO26" s="32">
        <f t="shared" si="6"/>
        <v>49</v>
      </c>
      <c r="AP26" s="32">
        <v>90</v>
      </c>
      <c r="AQ26" s="33">
        <f t="shared" si="7"/>
        <v>0.68888888888888888</v>
      </c>
      <c r="AR26" s="29">
        <f t="shared" si="8"/>
        <v>-19.480519480519483</v>
      </c>
      <c r="AS26" s="26">
        <v>36</v>
      </c>
      <c r="AT26" s="26">
        <v>25</v>
      </c>
      <c r="AU26" s="26">
        <v>23</v>
      </c>
      <c r="AV26" s="26">
        <v>13</v>
      </c>
      <c r="AW26" s="26">
        <v>55</v>
      </c>
      <c r="AX26" s="26">
        <v>11</v>
      </c>
      <c r="AY26" s="26">
        <v>7</v>
      </c>
      <c r="AZ26" s="26">
        <v>48</v>
      </c>
      <c r="BA26" s="26">
        <v>90</v>
      </c>
      <c r="BB26" s="26">
        <v>1</v>
      </c>
      <c r="BC26" s="26">
        <v>1</v>
      </c>
      <c r="BD26" s="26">
        <v>54</v>
      </c>
      <c r="BE26" s="26">
        <v>54</v>
      </c>
      <c r="BF26" s="26">
        <v>0</v>
      </c>
      <c r="BG26" s="26">
        <v>0</v>
      </c>
      <c r="BH26" s="26">
        <v>54</v>
      </c>
      <c r="BI26" s="26">
        <v>0</v>
      </c>
      <c r="BJ26" s="26">
        <v>0</v>
      </c>
      <c r="BK26" s="26"/>
      <c r="BL26" s="27"/>
      <c r="BM26" s="34">
        <v>62</v>
      </c>
      <c r="BN26" s="26">
        <v>120</v>
      </c>
      <c r="BO26" s="35">
        <f t="shared" si="9"/>
        <v>31</v>
      </c>
      <c r="BP26" s="35">
        <f t="shared" si="10"/>
        <v>37</v>
      </c>
      <c r="BQ26" s="36">
        <f t="shared" si="11"/>
        <v>0.51666666666666672</v>
      </c>
      <c r="BR26" s="37">
        <f t="shared" si="12"/>
        <v>0</v>
      </c>
      <c r="BS26" s="26">
        <v>24</v>
      </c>
      <c r="BT26" s="26">
        <v>23</v>
      </c>
      <c r="BU26" s="26">
        <v>16</v>
      </c>
      <c r="BV26" s="26">
        <v>8</v>
      </c>
      <c r="BW26" s="26">
        <v>36</v>
      </c>
      <c r="BX26" s="26">
        <v>34</v>
      </c>
      <c r="BY26" s="26">
        <v>29</v>
      </c>
      <c r="BZ26" s="26">
        <v>7</v>
      </c>
      <c r="CA26" s="26">
        <v>35</v>
      </c>
      <c r="CB26" s="26">
        <v>1</v>
      </c>
      <c r="CC26" s="26">
        <v>0</v>
      </c>
      <c r="CD26" s="26">
        <v>35</v>
      </c>
      <c r="CE26" s="26">
        <v>35</v>
      </c>
      <c r="CF26" s="26">
        <v>1</v>
      </c>
      <c r="CG26" s="26">
        <v>0</v>
      </c>
      <c r="CH26" s="26">
        <v>35</v>
      </c>
      <c r="CI26" s="26">
        <v>35</v>
      </c>
      <c r="CJ26" s="26">
        <v>0</v>
      </c>
      <c r="CK26" s="26">
        <v>0</v>
      </c>
      <c r="CL26" s="26">
        <v>35</v>
      </c>
      <c r="CM26" s="26"/>
      <c r="CN26" s="26"/>
      <c r="CO26" s="27">
        <v>0</v>
      </c>
      <c r="CP26" s="34">
        <v>80</v>
      </c>
      <c r="CQ26" s="26">
        <f t="shared" si="13"/>
        <v>45</v>
      </c>
      <c r="CR26" s="26">
        <f t="shared" si="14"/>
        <v>59</v>
      </c>
      <c r="CS26" s="26">
        <v>80</v>
      </c>
      <c r="CT26" s="36">
        <f t="shared" si="15"/>
        <v>1</v>
      </c>
      <c r="CU26" s="38">
        <f t="shared" si="16"/>
        <v>29.032258064516132</v>
      </c>
      <c r="CV26" s="26">
        <v>24.0</v>
      </c>
      <c r="CW26" s="26">
        <v>23</v>
      </c>
      <c r="CX26" s="26">
        <v>19</v>
      </c>
      <c r="CY26" s="26">
        <v>5</v>
      </c>
      <c r="CZ26" s="26">
        <v>33.0</v>
      </c>
      <c r="DA26" s="26">
        <v>25</v>
      </c>
      <c r="DB26" s="26">
        <v>19</v>
      </c>
      <c r="DC26" s="26">
        <v>14</v>
      </c>
      <c r="DD26" s="26">
        <v>41.0</v>
      </c>
      <c r="DE26" s="26">
        <v>4</v>
      </c>
      <c r="DF26" s="26">
        <v>3</v>
      </c>
      <c r="DG26" s="26">
        <v>39</v>
      </c>
      <c r="DH26" s="26"/>
      <c r="DI26" s="39">
        <v>1</v>
      </c>
      <c r="DJ26" s="26">
        <v>1</v>
      </c>
      <c r="DK26" s="26"/>
      <c r="DL26" s="26">
        <v>58</v>
      </c>
      <c r="DM26" s="26">
        <v>0</v>
      </c>
      <c r="DN26" s="26">
        <v>0</v>
      </c>
      <c r="DO26" s="26"/>
      <c r="DP26" s="40">
        <v>0</v>
      </c>
      <c r="DQ26" s="41">
        <v>0</v>
      </c>
      <c r="DR26" s="27"/>
      <c r="DS26" s="42">
        <v>94</v>
      </c>
      <c r="DT26" s="43">
        <f t="shared" si="17"/>
        <v>42</v>
      </c>
      <c r="DU26" s="43">
        <f t="shared" si="18"/>
        <v>53</v>
      </c>
      <c r="DV26" s="26">
        <v>80.0</v>
      </c>
      <c r="DW26" s="33">
        <v>1.175</v>
      </c>
      <c r="DX26" s="44">
        <f t="shared" si="20"/>
        <v>17.5</v>
      </c>
    </row>
    <row r="27" spans="1:128" ht="15.75" customHeight="1">
      <c r="A27" s="26">
        <v>21</v>
      </c>
      <c r="B27" s="26" t="s">
        <v>404</v>
      </c>
      <c r="C27" s="26" t="s">
        <v>405</v>
      </c>
      <c r="D27" s="27" t="s">
        <v>23</v>
      </c>
      <c r="E27" s="26">
        <v>77</v>
      </c>
      <c r="F27" s="26">
        <v>23</v>
      </c>
      <c r="G27" s="26">
        <v>27</v>
      </c>
      <c r="H27" s="26">
        <v>27</v>
      </c>
      <c r="I27" s="26">
        <v>-4</v>
      </c>
      <c r="J27" s="28">
        <v>64</v>
      </c>
      <c r="K27" s="26">
        <v>40</v>
      </c>
      <c r="L27" s="26">
        <v>40</v>
      </c>
      <c r="M27" s="26">
        <v>33</v>
      </c>
      <c r="N27" s="26">
        <v>5</v>
      </c>
      <c r="O27" s="28">
        <v>17</v>
      </c>
      <c r="P27" s="26">
        <v>32</v>
      </c>
      <c r="Q27" s="26">
        <v>10</v>
      </c>
      <c r="R27" s="26">
        <v>5</v>
      </c>
      <c r="S27" s="27">
        <v>25</v>
      </c>
      <c r="T27" s="26">
        <f t="shared" si="0"/>
        <v>158</v>
      </c>
      <c r="U27" s="26">
        <f t="shared" si="1"/>
        <v>65</v>
      </c>
      <c r="V27" s="26">
        <f t="shared" si="2"/>
        <v>77</v>
      </c>
      <c r="W27" s="26">
        <v>90</v>
      </c>
      <c r="X27" s="29">
        <f t="shared" si="3"/>
        <v>1.7555555555555555</v>
      </c>
      <c r="Y27" s="30">
        <v>73</v>
      </c>
      <c r="Z27" s="26">
        <v>23</v>
      </c>
      <c r="AA27" s="26">
        <v>25</v>
      </c>
      <c r="AB27" s="26">
        <v>20</v>
      </c>
      <c r="AC27" s="26">
        <v>3</v>
      </c>
      <c r="AD27" s="45">
        <v>64</v>
      </c>
      <c r="AE27" s="26">
        <v>39</v>
      </c>
      <c r="AF27" s="26">
        <v>39</v>
      </c>
      <c r="AG27" s="26">
        <v>33</v>
      </c>
      <c r="AH27" s="26">
        <v>6</v>
      </c>
      <c r="AI27" s="26">
        <v>35</v>
      </c>
      <c r="AJ27" s="26">
        <v>9</v>
      </c>
      <c r="AK27" s="26">
        <v>5</v>
      </c>
      <c r="AL27" s="26">
        <v>30</v>
      </c>
      <c r="AM27" s="26">
        <f t="shared" si="4"/>
        <v>137</v>
      </c>
      <c r="AN27" s="32">
        <f t="shared" si="5"/>
        <v>58</v>
      </c>
      <c r="AO27" s="32">
        <f t="shared" si="6"/>
        <v>73</v>
      </c>
      <c r="AP27" s="32">
        <v>90</v>
      </c>
      <c r="AQ27" s="33">
        <f t="shared" si="7"/>
        <v>1.5222222222222221</v>
      </c>
      <c r="AR27" s="29">
        <f t="shared" si="8"/>
        <v>-13.291139240506327</v>
      </c>
      <c r="AS27" s="26">
        <v>36</v>
      </c>
      <c r="AT27" s="26">
        <v>36</v>
      </c>
      <c r="AU27" s="26">
        <v>36</v>
      </c>
      <c r="AV27" s="26">
        <v>0</v>
      </c>
      <c r="AW27" s="26">
        <v>42</v>
      </c>
      <c r="AX27" s="26">
        <v>42</v>
      </c>
      <c r="AY27" s="26">
        <v>32</v>
      </c>
      <c r="AZ27" s="26">
        <v>10</v>
      </c>
      <c r="BA27" s="26">
        <v>52</v>
      </c>
      <c r="BB27" s="26">
        <v>11</v>
      </c>
      <c r="BC27" s="26">
        <v>6</v>
      </c>
      <c r="BD27" s="26">
        <v>36</v>
      </c>
      <c r="BE27" s="26">
        <v>36</v>
      </c>
      <c r="BF27" s="26">
        <v>0</v>
      </c>
      <c r="BG27" s="26">
        <v>0</v>
      </c>
      <c r="BH27" s="26">
        <v>36</v>
      </c>
      <c r="BI27" s="26">
        <v>0</v>
      </c>
      <c r="BJ27" s="26">
        <v>0</v>
      </c>
      <c r="BK27" s="26"/>
      <c r="BL27" s="27"/>
      <c r="BM27" s="34">
        <v>164</v>
      </c>
      <c r="BN27" s="26">
        <v>120</v>
      </c>
      <c r="BO27" s="35">
        <f t="shared" si="9"/>
        <v>74</v>
      </c>
      <c r="BP27" s="35">
        <f t="shared" si="10"/>
        <v>89</v>
      </c>
      <c r="BQ27" s="36">
        <f t="shared" si="11"/>
        <v>1.3666666666666667</v>
      </c>
      <c r="BR27" s="37">
        <f t="shared" si="12"/>
        <v>19.708029197080293</v>
      </c>
      <c r="BS27" s="26">
        <v>24</v>
      </c>
      <c r="BT27" s="26">
        <v>24</v>
      </c>
      <c r="BU27" s="26">
        <v>22</v>
      </c>
      <c r="BV27" s="26">
        <v>2</v>
      </c>
      <c r="BW27" s="26">
        <v>30</v>
      </c>
      <c r="BX27" s="26">
        <v>30</v>
      </c>
      <c r="BY27" s="26">
        <v>24</v>
      </c>
      <c r="BZ27" s="26">
        <v>6</v>
      </c>
      <c r="CA27" s="26">
        <v>34</v>
      </c>
      <c r="CB27" s="26">
        <v>6</v>
      </c>
      <c r="CC27" s="26">
        <v>2</v>
      </c>
      <c r="CD27" s="26">
        <v>30</v>
      </c>
      <c r="CE27" s="26">
        <v>30</v>
      </c>
      <c r="CF27" s="26">
        <v>5</v>
      </c>
      <c r="CG27" s="26">
        <v>2</v>
      </c>
      <c r="CH27" s="26">
        <v>28</v>
      </c>
      <c r="CI27" s="26">
        <v>30</v>
      </c>
      <c r="CJ27" s="26">
        <v>2</v>
      </c>
      <c r="CK27" s="26">
        <v>2</v>
      </c>
      <c r="CL27" s="26">
        <v>28</v>
      </c>
      <c r="CM27" s="26"/>
      <c r="CN27" s="26"/>
      <c r="CO27" s="27">
        <v>0</v>
      </c>
      <c r="CP27" s="34">
        <v>221</v>
      </c>
      <c r="CQ27" s="26">
        <f t="shared" si="13"/>
        <v>52</v>
      </c>
      <c r="CR27" s="26">
        <f t="shared" si="14"/>
        <v>67</v>
      </c>
      <c r="CS27" s="26">
        <v>80</v>
      </c>
      <c r="CT27" s="36">
        <f t="shared" si="15"/>
        <v>2.7625000000000002</v>
      </c>
      <c r="CU27" s="38">
        <f t="shared" si="16"/>
        <v>34.756097560975604</v>
      </c>
      <c r="CV27" s="26">
        <v>24.0</v>
      </c>
      <c r="CW27" s="26">
        <v>24</v>
      </c>
      <c r="CX27" s="26">
        <v>23</v>
      </c>
      <c r="CY27" s="26">
        <v>1</v>
      </c>
      <c r="CZ27" s="26">
        <v>29.0</v>
      </c>
      <c r="DA27" s="26">
        <v>29</v>
      </c>
      <c r="DB27" s="26">
        <v>24</v>
      </c>
      <c r="DC27" s="26">
        <v>5</v>
      </c>
      <c r="DD27" s="26">
        <v>32.0</v>
      </c>
      <c r="DE27" s="26">
        <v>15</v>
      </c>
      <c r="DF27" s="26">
        <v>12</v>
      </c>
      <c r="DG27" s="26">
        <v>21</v>
      </c>
      <c r="DH27" s="26"/>
      <c r="DI27" s="39">
        <v>3</v>
      </c>
      <c r="DJ27" s="26">
        <v>1</v>
      </c>
      <c r="DK27" s="26"/>
      <c r="DL27" s="26">
        <v>27</v>
      </c>
      <c r="DM27" s="26">
        <v>3</v>
      </c>
      <c r="DN27" s="26">
        <v>1</v>
      </c>
      <c r="DO27" s="26"/>
      <c r="DP27" s="40">
        <v>0</v>
      </c>
      <c r="DQ27" s="41">
        <v>0</v>
      </c>
      <c r="DR27" s="27"/>
      <c r="DS27" s="42">
        <v>195</v>
      </c>
      <c r="DT27" s="43">
        <f t="shared" si="17"/>
        <v>61</v>
      </c>
      <c r="DU27" s="43">
        <f t="shared" si="18"/>
        <v>74</v>
      </c>
      <c r="DV27" s="26">
        <v>80.0</v>
      </c>
      <c r="DW27" s="33">
        <v>2.4375</v>
      </c>
      <c r="DX27" s="44">
        <f t="shared" si="20"/>
        <v>-11.76470588235294</v>
      </c>
    </row>
    <row r="28" spans="1:128" ht="15.75" customHeight="1">
      <c r="A28" s="26">
        <v>22</v>
      </c>
      <c r="B28" s="26" t="s">
        <v>406</v>
      </c>
      <c r="C28" s="26" t="s">
        <v>407</v>
      </c>
      <c r="D28" s="27" t="s">
        <v>23</v>
      </c>
      <c r="E28" s="26">
        <v>151</v>
      </c>
      <c r="F28" s="26">
        <v>23</v>
      </c>
      <c r="G28" s="26">
        <v>27</v>
      </c>
      <c r="H28" s="26">
        <v>26</v>
      </c>
      <c r="I28" s="26">
        <v>-3</v>
      </c>
      <c r="J28" s="28">
        <v>162</v>
      </c>
      <c r="K28" s="26">
        <v>40</v>
      </c>
      <c r="L28" s="26">
        <v>40</v>
      </c>
      <c r="M28" s="26">
        <v>31</v>
      </c>
      <c r="N28" s="26">
        <v>8</v>
      </c>
      <c r="O28" s="28">
        <v>61</v>
      </c>
      <c r="P28" s="26">
        <v>35</v>
      </c>
      <c r="Q28" s="26">
        <v>23</v>
      </c>
      <c r="R28" s="26">
        <v>13</v>
      </c>
      <c r="S28" s="27">
        <v>20</v>
      </c>
      <c r="T28" s="26">
        <f t="shared" si="0"/>
        <v>374</v>
      </c>
      <c r="U28" s="26">
        <f t="shared" si="1"/>
        <v>70</v>
      </c>
      <c r="V28" s="26">
        <f t="shared" si="2"/>
        <v>90</v>
      </c>
      <c r="W28" s="26">
        <v>90</v>
      </c>
      <c r="X28" s="29">
        <f t="shared" si="3"/>
        <v>4.1555555555555559</v>
      </c>
      <c r="Y28" s="30">
        <v>117</v>
      </c>
      <c r="Z28" s="26">
        <v>23</v>
      </c>
      <c r="AA28" s="26">
        <v>25</v>
      </c>
      <c r="AB28" s="26">
        <v>21</v>
      </c>
      <c r="AC28" s="26">
        <v>2</v>
      </c>
      <c r="AD28" s="45">
        <v>97</v>
      </c>
      <c r="AE28" s="26">
        <v>38</v>
      </c>
      <c r="AF28" s="26">
        <v>38</v>
      </c>
      <c r="AG28" s="26">
        <v>29</v>
      </c>
      <c r="AH28" s="26">
        <v>9</v>
      </c>
      <c r="AI28" s="26">
        <v>36</v>
      </c>
      <c r="AJ28" s="26">
        <v>18</v>
      </c>
      <c r="AK28" s="26">
        <v>11</v>
      </c>
      <c r="AL28" s="26">
        <v>25</v>
      </c>
      <c r="AM28" s="26">
        <f t="shared" si="4"/>
        <v>214</v>
      </c>
      <c r="AN28" s="32">
        <f t="shared" si="5"/>
        <v>61</v>
      </c>
      <c r="AO28" s="32">
        <f t="shared" si="6"/>
        <v>81</v>
      </c>
      <c r="AP28" s="32">
        <v>90</v>
      </c>
      <c r="AQ28" s="33">
        <f t="shared" si="7"/>
        <v>2.3777777777777778</v>
      </c>
      <c r="AR28" s="29">
        <f t="shared" si="8"/>
        <v>-42.780748663101605</v>
      </c>
      <c r="AS28" s="26">
        <v>36</v>
      </c>
      <c r="AT28" s="26">
        <v>36</v>
      </c>
      <c r="AU28" s="26">
        <v>36</v>
      </c>
      <c r="AV28" s="26">
        <v>0</v>
      </c>
      <c r="AW28" s="26">
        <v>42</v>
      </c>
      <c r="AX28" s="26">
        <v>42</v>
      </c>
      <c r="AY28" s="26">
        <v>32</v>
      </c>
      <c r="AZ28" s="26">
        <v>10</v>
      </c>
      <c r="BA28" s="26">
        <v>52</v>
      </c>
      <c r="BB28" s="26">
        <v>28</v>
      </c>
      <c r="BC28" s="26">
        <v>14</v>
      </c>
      <c r="BD28" s="26">
        <v>28</v>
      </c>
      <c r="BE28" s="26">
        <v>28</v>
      </c>
      <c r="BF28" s="26">
        <v>0</v>
      </c>
      <c r="BG28" s="26">
        <v>0</v>
      </c>
      <c r="BH28" s="26">
        <v>28</v>
      </c>
      <c r="BI28" s="26">
        <v>0</v>
      </c>
      <c r="BJ28" s="26">
        <v>0</v>
      </c>
      <c r="BK28" s="26"/>
      <c r="BL28" s="27"/>
      <c r="BM28" s="34">
        <v>318</v>
      </c>
      <c r="BN28" s="26">
        <v>120</v>
      </c>
      <c r="BO28" s="35">
        <f t="shared" si="9"/>
        <v>82</v>
      </c>
      <c r="BP28" s="35">
        <f t="shared" si="10"/>
        <v>106</v>
      </c>
      <c r="BQ28" s="36">
        <f t="shared" si="11"/>
        <v>2.65</v>
      </c>
      <c r="BR28" s="37">
        <f t="shared" si="12"/>
        <v>48.598130841121495</v>
      </c>
      <c r="BS28" s="26">
        <v>36</v>
      </c>
      <c r="BT28" s="26">
        <v>36</v>
      </c>
      <c r="BU28" s="26">
        <v>31</v>
      </c>
      <c r="BV28" s="26">
        <v>5</v>
      </c>
      <c r="BW28" s="26">
        <v>47</v>
      </c>
      <c r="BX28" s="26">
        <v>46</v>
      </c>
      <c r="BY28" s="26">
        <v>36</v>
      </c>
      <c r="BZ28" s="26">
        <v>11</v>
      </c>
      <c r="CA28" s="26">
        <v>53</v>
      </c>
      <c r="CB28" s="26">
        <v>15</v>
      </c>
      <c r="CC28" s="26">
        <v>5</v>
      </c>
      <c r="CD28" s="26">
        <v>48</v>
      </c>
      <c r="CE28" s="26">
        <v>48</v>
      </c>
      <c r="CF28" s="26">
        <v>2</v>
      </c>
      <c r="CG28" s="26">
        <v>0</v>
      </c>
      <c r="CH28" s="26">
        <v>48</v>
      </c>
      <c r="CI28" s="26">
        <v>48</v>
      </c>
      <c r="CJ28" s="26">
        <v>2</v>
      </c>
      <c r="CK28" s="26">
        <v>1</v>
      </c>
      <c r="CL28" s="26">
        <v>47</v>
      </c>
      <c r="CM28" s="26"/>
      <c r="CN28" s="26"/>
      <c r="CO28" s="27">
        <v>0</v>
      </c>
      <c r="CP28" s="34">
        <v>340</v>
      </c>
      <c r="CQ28" s="26">
        <f t="shared" si="13"/>
        <v>73</v>
      </c>
      <c r="CR28" s="26">
        <f t="shared" si="14"/>
        <v>101</v>
      </c>
      <c r="CS28" s="26">
        <v>120</v>
      </c>
      <c r="CT28" s="36">
        <f t="shared" si="15"/>
        <v>2.8333333333333335</v>
      </c>
      <c r="CU28" s="38">
        <f t="shared" si="16"/>
        <v>6.9182389937106921</v>
      </c>
      <c r="CV28" s="26">
        <v>24.0</v>
      </c>
      <c r="CW28" s="26">
        <v>24</v>
      </c>
      <c r="CX28" s="26">
        <v>24</v>
      </c>
      <c r="CY28" s="26">
        <v>0</v>
      </c>
      <c r="CZ28" s="26">
        <v>28.0</v>
      </c>
      <c r="DA28" s="26">
        <v>28</v>
      </c>
      <c r="DB28" s="26">
        <v>20</v>
      </c>
      <c r="DC28" s="26">
        <v>8</v>
      </c>
      <c r="DD28" s="26">
        <v>46.0</v>
      </c>
      <c r="DE28" s="26">
        <v>24</v>
      </c>
      <c r="DF28" s="26">
        <v>17</v>
      </c>
      <c r="DG28" s="26">
        <v>33</v>
      </c>
      <c r="DH28" s="26"/>
      <c r="DI28" s="39">
        <v>6</v>
      </c>
      <c r="DJ28" s="26">
        <v>4</v>
      </c>
      <c r="DK28" s="26"/>
      <c r="DL28" s="26">
        <v>41</v>
      </c>
      <c r="DM28" s="26">
        <v>4</v>
      </c>
      <c r="DN28" s="26">
        <v>3</v>
      </c>
      <c r="DO28" s="26"/>
      <c r="DP28" s="40">
        <v>0</v>
      </c>
      <c r="DQ28" s="41">
        <v>0</v>
      </c>
      <c r="DR28" s="27"/>
      <c r="DS28" s="42">
        <v>485</v>
      </c>
      <c r="DT28" s="43">
        <f t="shared" si="17"/>
        <v>68</v>
      </c>
      <c r="DU28" s="43">
        <f t="shared" si="18"/>
        <v>86</v>
      </c>
      <c r="DV28" s="26">
        <v>80.0</v>
      </c>
      <c r="DW28" s="33">
        <v>6.0625</v>
      </c>
      <c r="DX28" s="44">
        <f t="shared" si="20"/>
        <v>42.647058823529413</v>
      </c>
    </row>
    <row r="29" spans="1:128" ht="15.75" customHeight="1">
      <c r="A29" s="26">
        <v>23</v>
      </c>
      <c r="B29" s="26" t="s">
        <v>409</v>
      </c>
      <c r="C29" s="26" t="s">
        <v>410</v>
      </c>
      <c r="D29" s="27" t="s">
        <v>23</v>
      </c>
      <c r="E29" s="26">
        <v>121</v>
      </c>
      <c r="F29" s="26">
        <v>45</v>
      </c>
      <c r="G29" s="26">
        <v>39</v>
      </c>
      <c r="H29" s="26">
        <v>36</v>
      </c>
      <c r="I29" s="26">
        <v>9</v>
      </c>
      <c r="J29" s="28">
        <v>153</v>
      </c>
      <c r="K29" s="26">
        <v>90</v>
      </c>
      <c r="L29" s="26">
        <v>90</v>
      </c>
      <c r="M29" s="26">
        <v>70</v>
      </c>
      <c r="N29" s="26">
        <v>18</v>
      </c>
      <c r="O29" s="28">
        <v>42</v>
      </c>
      <c r="P29" s="26">
        <v>72</v>
      </c>
      <c r="Q29" s="26">
        <v>26</v>
      </c>
      <c r="R29" s="26">
        <v>13</v>
      </c>
      <c r="S29" s="27">
        <v>61</v>
      </c>
      <c r="T29" s="26">
        <f t="shared" si="0"/>
        <v>316</v>
      </c>
      <c r="U29" s="26">
        <f t="shared" si="1"/>
        <v>119</v>
      </c>
      <c r="V29" s="26">
        <f t="shared" si="2"/>
        <v>155</v>
      </c>
      <c r="W29" s="26">
        <v>180</v>
      </c>
      <c r="X29" s="29">
        <f t="shared" si="3"/>
        <v>1.7555555555555555</v>
      </c>
      <c r="Y29" s="30">
        <v>151</v>
      </c>
      <c r="Z29" s="26">
        <v>45</v>
      </c>
      <c r="AA29" s="26">
        <v>45</v>
      </c>
      <c r="AB29" s="26">
        <v>37</v>
      </c>
      <c r="AC29" s="26">
        <v>8</v>
      </c>
      <c r="AD29" s="45">
        <v>188</v>
      </c>
      <c r="AE29" s="26">
        <v>80</v>
      </c>
      <c r="AF29" s="26">
        <v>80</v>
      </c>
      <c r="AG29" s="26">
        <v>64</v>
      </c>
      <c r="AH29" s="26">
        <v>16</v>
      </c>
      <c r="AI29" s="26">
        <v>77</v>
      </c>
      <c r="AJ29" s="26">
        <v>28</v>
      </c>
      <c r="AK29" s="26">
        <v>23</v>
      </c>
      <c r="AL29" s="26">
        <v>54</v>
      </c>
      <c r="AM29" s="26">
        <f t="shared" si="4"/>
        <v>339</v>
      </c>
      <c r="AN29" s="32">
        <f t="shared" si="5"/>
        <v>124</v>
      </c>
      <c r="AO29" s="32">
        <f t="shared" si="6"/>
        <v>153</v>
      </c>
      <c r="AP29" s="32">
        <v>180</v>
      </c>
      <c r="AQ29" s="33">
        <f t="shared" si="7"/>
        <v>1.8833333333333333</v>
      </c>
      <c r="AR29" s="29">
        <f t="shared" si="8"/>
        <v>7.2784810126582276</v>
      </c>
      <c r="AS29" s="26">
        <v>48</v>
      </c>
      <c r="AT29" s="26">
        <v>48</v>
      </c>
      <c r="AU29" s="26">
        <v>46</v>
      </c>
      <c r="AV29" s="26">
        <v>2</v>
      </c>
      <c r="AW29" s="26">
        <v>58</v>
      </c>
      <c r="AX29" s="26">
        <v>58</v>
      </c>
      <c r="AY29" s="26">
        <v>45</v>
      </c>
      <c r="AZ29" s="26">
        <v>13</v>
      </c>
      <c r="BA29" s="26">
        <v>69</v>
      </c>
      <c r="BB29" s="26">
        <v>22</v>
      </c>
      <c r="BC29" s="26">
        <v>13</v>
      </c>
      <c r="BD29" s="26">
        <v>45</v>
      </c>
      <c r="BE29" s="26">
        <v>45</v>
      </c>
      <c r="BF29" s="26">
        <v>0</v>
      </c>
      <c r="BG29" s="26">
        <v>0</v>
      </c>
      <c r="BH29" s="26">
        <v>45</v>
      </c>
      <c r="BI29" s="26">
        <v>0</v>
      </c>
      <c r="BJ29" s="26">
        <v>0</v>
      </c>
      <c r="BK29" s="26"/>
      <c r="BL29" s="27"/>
      <c r="BM29" s="34">
        <v>335</v>
      </c>
      <c r="BN29" s="26">
        <v>160</v>
      </c>
      <c r="BO29" s="35">
        <f t="shared" si="9"/>
        <v>104</v>
      </c>
      <c r="BP29" s="35">
        <f t="shared" si="10"/>
        <v>128</v>
      </c>
      <c r="BQ29" s="36">
        <f t="shared" si="11"/>
        <v>2.09375</v>
      </c>
      <c r="BR29" s="37">
        <f t="shared" si="12"/>
        <v>-1.1799410029498525</v>
      </c>
      <c r="BS29" s="26">
        <v>48</v>
      </c>
      <c r="BT29" s="26">
        <v>48</v>
      </c>
      <c r="BU29" s="26">
        <v>41</v>
      </c>
      <c r="BV29" s="26">
        <v>7</v>
      </c>
      <c r="BW29" s="26">
        <v>63</v>
      </c>
      <c r="BX29" s="26">
        <v>63</v>
      </c>
      <c r="BY29" s="26">
        <v>52</v>
      </c>
      <c r="BZ29" s="26">
        <v>11</v>
      </c>
      <c r="CA29" s="26">
        <v>67</v>
      </c>
      <c r="CB29" s="26">
        <v>20</v>
      </c>
      <c r="CC29" s="26">
        <v>11</v>
      </c>
      <c r="CD29" s="26">
        <v>56</v>
      </c>
      <c r="CE29" s="26">
        <v>56</v>
      </c>
      <c r="CF29" s="26">
        <v>0</v>
      </c>
      <c r="CG29" s="26">
        <v>0</v>
      </c>
      <c r="CH29" s="26">
        <v>56</v>
      </c>
      <c r="CI29" s="26">
        <v>56</v>
      </c>
      <c r="CJ29" s="26">
        <v>5</v>
      </c>
      <c r="CK29" s="26">
        <v>1</v>
      </c>
      <c r="CL29" s="26">
        <v>55</v>
      </c>
      <c r="CM29" s="26"/>
      <c r="CN29" s="26"/>
      <c r="CO29" s="27">
        <v>0</v>
      </c>
      <c r="CP29" s="34">
        <v>348</v>
      </c>
      <c r="CQ29" s="26">
        <f t="shared" si="13"/>
        <v>105</v>
      </c>
      <c r="CR29" s="26">
        <f t="shared" si="14"/>
        <v>136</v>
      </c>
      <c r="CS29" s="26">
        <v>160</v>
      </c>
      <c r="CT29" s="36">
        <f t="shared" si="15"/>
        <v>2.1749999999999998</v>
      </c>
      <c r="CU29" s="38">
        <f t="shared" si="16"/>
        <v>3.8805970149253728</v>
      </c>
      <c r="CV29" s="26">
        <v>48.0</v>
      </c>
      <c r="CW29" s="26">
        <v>46</v>
      </c>
      <c r="CX29" s="26">
        <v>42</v>
      </c>
      <c r="CY29" s="26">
        <v>6</v>
      </c>
      <c r="CZ29" s="26">
        <v>62.0</v>
      </c>
      <c r="DA29" s="26">
        <v>62</v>
      </c>
      <c r="DB29" s="26">
        <v>50</v>
      </c>
      <c r="DC29" s="26">
        <v>12</v>
      </c>
      <c r="DD29" s="26">
        <v>67.0</v>
      </c>
      <c r="DE29" s="26">
        <v>24</v>
      </c>
      <c r="DF29" s="26">
        <v>18</v>
      </c>
      <c r="DG29" s="26">
        <v>50</v>
      </c>
      <c r="DH29" s="26"/>
      <c r="DI29" s="39">
        <v>1</v>
      </c>
      <c r="DJ29" s="26">
        <v>1</v>
      </c>
      <c r="DK29" s="26"/>
      <c r="DL29" s="26">
        <v>68</v>
      </c>
      <c r="DM29" s="26">
        <v>1</v>
      </c>
      <c r="DN29" s="26">
        <v>1</v>
      </c>
      <c r="DO29" s="26"/>
      <c r="DP29" s="40">
        <v>2</v>
      </c>
      <c r="DQ29" s="41">
        <v>1</v>
      </c>
      <c r="DR29" s="27"/>
      <c r="DS29" s="42">
        <v>302</v>
      </c>
      <c r="DT29" s="43">
        <f t="shared" si="17"/>
        <v>113</v>
      </c>
      <c r="DU29" s="43">
        <f t="shared" si="18"/>
        <v>136</v>
      </c>
      <c r="DV29" s="26">
        <v>160.0</v>
      </c>
      <c r="DW29" s="33">
        <v>1.8875</v>
      </c>
      <c r="DX29" s="44">
        <f t="shared" si="20"/>
        <v>-13.218390804597702</v>
      </c>
    </row>
    <row r="30" spans="1:128" ht="15.75" customHeight="1">
      <c r="A30" s="26">
        <v>24</v>
      </c>
      <c r="B30" s="26" t="s">
        <v>411</v>
      </c>
      <c r="C30" s="26" t="s">
        <v>412</v>
      </c>
      <c r="D30" s="27" t="s">
        <v>23</v>
      </c>
      <c r="E30" s="26">
        <v>68</v>
      </c>
      <c r="F30" s="26">
        <v>45</v>
      </c>
      <c r="G30" s="26">
        <v>38</v>
      </c>
      <c r="H30" s="26">
        <v>34</v>
      </c>
      <c r="I30" s="26">
        <v>11</v>
      </c>
      <c r="J30" s="28">
        <v>106</v>
      </c>
      <c r="K30" s="26">
        <v>92</v>
      </c>
      <c r="L30" s="26">
        <v>72</v>
      </c>
      <c r="M30" s="26">
        <v>54</v>
      </c>
      <c r="N30" s="26">
        <v>35</v>
      </c>
      <c r="O30" s="28">
        <v>14</v>
      </c>
      <c r="P30" s="26">
        <v>89</v>
      </c>
      <c r="Q30" s="26">
        <v>5</v>
      </c>
      <c r="R30" s="26">
        <v>2</v>
      </c>
      <c r="S30" s="27">
        <v>90</v>
      </c>
      <c r="T30" s="26">
        <f t="shared" si="0"/>
        <v>188</v>
      </c>
      <c r="U30" s="26">
        <f t="shared" si="1"/>
        <v>90</v>
      </c>
      <c r="V30" s="26">
        <f t="shared" si="2"/>
        <v>115</v>
      </c>
      <c r="W30" s="26">
        <v>180</v>
      </c>
      <c r="X30" s="29">
        <f t="shared" si="3"/>
        <v>1.0444444444444445</v>
      </c>
      <c r="Y30" s="30">
        <v>73</v>
      </c>
      <c r="Z30" s="26">
        <v>45</v>
      </c>
      <c r="AA30" s="26">
        <v>45</v>
      </c>
      <c r="AB30" s="26">
        <v>35</v>
      </c>
      <c r="AC30" s="26">
        <v>10</v>
      </c>
      <c r="AD30" s="45">
        <v>96</v>
      </c>
      <c r="AE30" s="26">
        <v>82</v>
      </c>
      <c r="AF30" s="26">
        <v>70</v>
      </c>
      <c r="AG30" s="26">
        <v>55</v>
      </c>
      <c r="AH30" s="26">
        <v>27</v>
      </c>
      <c r="AI30" s="26">
        <v>83</v>
      </c>
      <c r="AJ30" s="26">
        <v>8</v>
      </c>
      <c r="AK30" s="26">
        <v>4</v>
      </c>
      <c r="AL30" s="26">
        <v>79</v>
      </c>
      <c r="AM30" s="26">
        <f t="shared" si="4"/>
        <v>169</v>
      </c>
      <c r="AN30" s="32">
        <f t="shared" si="5"/>
        <v>94</v>
      </c>
      <c r="AO30" s="32">
        <f t="shared" si="6"/>
        <v>123</v>
      </c>
      <c r="AP30" s="32">
        <v>180</v>
      </c>
      <c r="AQ30" s="33">
        <f t="shared" si="7"/>
        <v>0.93888888888888888</v>
      </c>
      <c r="AR30" s="29">
        <f t="shared" si="8"/>
        <v>-10.106382978723403</v>
      </c>
      <c r="AS30" s="26">
        <v>48</v>
      </c>
      <c r="AT30" s="26">
        <v>48</v>
      </c>
      <c r="AU30" s="26">
        <v>39</v>
      </c>
      <c r="AV30" s="26">
        <v>9</v>
      </c>
      <c r="AW30" s="26">
        <v>65</v>
      </c>
      <c r="AX30" s="26">
        <v>54</v>
      </c>
      <c r="AY30" s="26">
        <v>43</v>
      </c>
      <c r="AZ30" s="26">
        <v>22</v>
      </c>
      <c r="BA30" s="26">
        <v>78</v>
      </c>
      <c r="BB30" s="26">
        <v>3</v>
      </c>
      <c r="BC30" s="26">
        <v>2</v>
      </c>
      <c r="BD30" s="26">
        <v>63</v>
      </c>
      <c r="BE30" s="26">
        <v>63</v>
      </c>
      <c r="BF30" s="26">
        <v>0</v>
      </c>
      <c r="BG30" s="26">
        <v>0</v>
      </c>
      <c r="BH30" s="26">
        <v>63</v>
      </c>
      <c r="BI30" s="26">
        <v>0</v>
      </c>
      <c r="BJ30" s="26">
        <v>0</v>
      </c>
      <c r="BK30" s="26"/>
      <c r="BL30" s="27"/>
      <c r="BM30" s="34">
        <v>164</v>
      </c>
      <c r="BN30" s="26">
        <v>160</v>
      </c>
      <c r="BO30" s="35">
        <f t="shared" si="9"/>
        <v>84</v>
      </c>
      <c r="BP30" s="35">
        <f t="shared" si="10"/>
        <v>105</v>
      </c>
      <c r="BQ30" s="36">
        <f t="shared" si="11"/>
        <v>1.0249999999999999</v>
      </c>
      <c r="BR30" s="37">
        <f t="shared" si="12"/>
        <v>-2.9585798816568047</v>
      </c>
      <c r="BS30" s="26">
        <v>48</v>
      </c>
      <c r="BT30" s="26">
        <v>48</v>
      </c>
      <c r="BU30" s="26">
        <v>37</v>
      </c>
      <c r="BV30" s="26">
        <v>11</v>
      </c>
      <c r="BW30" s="26">
        <v>67</v>
      </c>
      <c r="BX30" s="26">
        <v>67</v>
      </c>
      <c r="BY30" s="26">
        <v>55</v>
      </c>
      <c r="BZ30" s="26">
        <v>12</v>
      </c>
      <c r="CA30" s="26">
        <v>68</v>
      </c>
      <c r="CB30" s="26">
        <v>6</v>
      </c>
      <c r="CC30" s="26">
        <v>6</v>
      </c>
      <c r="CD30" s="26">
        <v>62</v>
      </c>
      <c r="CE30" s="26">
        <v>62</v>
      </c>
      <c r="CF30" s="26"/>
      <c r="CG30" s="26">
        <v>0</v>
      </c>
      <c r="CH30" s="26">
        <v>62</v>
      </c>
      <c r="CI30" s="26">
        <v>62</v>
      </c>
      <c r="CJ30" s="26">
        <v>0</v>
      </c>
      <c r="CK30" s="26">
        <v>0</v>
      </c>
      <c r="CL30" s="26">
        <v>62</v>
      </c>
      <c r="CM30" s="26"/>
      <c r="CN30" s="26"/>
      <c r="CO30" s="27">
        <v>0</v>
      </c>
      <c r="CP30" s="34">
        <v>186</v>
      </c>
      <c r="CQ30" s="26">
        <f t="shared" si="13"/>
        <v>98</v>
      </c>
      <c r="CR30" s="26">
        <f t="shared" si="14"/>
        <v>121</v>
      </c>
      <c r="CS30" s="26">
        <v>160</v>
      </c>
      <c r="CT30" s="36">
        <f t="shared" si="15"/>
        <v>1.1625000000000001</v>
      </c>
      <c r="CU30" s="38">
        <f t="shared" si="16"/>
        <v>13.414634146341465</v>
      </c>
      <c r="CV30" s="26">
        <v>48.0</v>
      </c>
      <c r="CW30" s="26">
        <v>38</v>
      </c>
      <c r="CX30" s="26">
        <v>34</v>
      </c>
      <c r="CY30" s="26">
        <v>14</v>
      </c>
      <c r="CZ30" s="26">
        <v>70.0</v>
      </c>
      <c r="DA30" s="26">
        <v>69</v>
      </c>
      <c r="DB30" s="26">
        <v>53</v>
      </c>
      <c r="DC30" s="26">
        <v>17</v>
      </c>
      <c r="DD30" s="26">
        <v>73.0</v>
      </c>
      <c r="DE30" s="26">
        <v>5</v>
      </c>
      <c r="DF30" s="26">
        <v>3</v>
      </c>
      <c r="DG30" s="26">
        <v>70</v>
      </c>
      <c r="DH30" s="26"/>
      <c r="DI30" s="39">
        <v>0</v>
      </c>
      <c r="DJ30" s="26">
        <v>0</v>
      </c>
      <c r="DK30" s="26"/>
      <c r="DL30" s="26">
        <v>101</v>
      </c>
      <c r="DM30" s="26">
        <v>0</v>
      </c>
      <c r="DN30" s="26">
        <v>0</v>
      </c>
      <c r="DO30" s="26"/>
      <c r="DP30" s="40">
        <v>0</v>
      </c>
      <c r="DQ30" s="41">
        <v>0</v>
      </c>
      <c r="DR30" s="27"/>
      <c r="DS30" s="42">
        <v>145</v>
      </c>
      <c r="DT30" s="43">
        <f t="shared" si="17"/>
        <v>90</v>
      </c>
      <c r="DU30" s="43">
        <f t="shared" si="18"/>
        <v>112</v>
      </c>
      <c r="DV30" s="26">
        <v>160.0</v>
      </c>
      <c r="DW30" s="33">
        <v>0.90625</v>
      </c>
      <c r="DX30" s="44">
        <f t="shared" si="20"/>
        <v>-22.043010752688172</v>
      </c>
    </row>
    <row r="31" spans="1:128" ht="15.75" customHeight="1">
      <c r="A31" s="26">
        <v>25</v>
      </c>
      <c r="B31" s="26" t="s">
        <v>413</v>
      </c>
      <c r="C31" s="26" t="s">
        <v>414</v>
      </c>
      <c r="D31" s="27" t="s">
        <v>23</v>
      </c>
      <c r="E31" s="26">
        <v>252</v>
      </c>
      <c r="F31" s="26">
        <v>30</v>
      </c>
      <c r="G31" s="26">
        <v>30</v>
      </c>
      <c r="H31" s="26">
        <v>29</v>
      </c>
      <c r="I31" s="26">
        <v>1</v>
      </c>
      <c r="J31" s="28">
        <v>350</v>
      </c>
      <c r="K31" s="26">
        <v>54</v>
      </c>
      <c r="L31" s="26">
        <v>55</v>
      </c>
      <c r="M31" s="26">
        <v>48</v>
      </c>
      <c r="N31" s="26">
        <v>3</v>
      </c>
      <c r="O31" s="28">
        <v>58</v>
      </c>
      <c r="P31" s="26">
        <v>39</v>
      </c>
      <c r="Q31" s="26">
        <v>30</v>
      </c>
      <c r="R31" s="26">
        <v>17</v>
      </c>
      <c r="S31" s="27">
        <v>26</v>
      </c>
      <c r="T31" s="26">
        <f t="shared" si="0"/>
        <v>660</v>
      </c>
      <c r="U31" s="26">
        <f t="shared" si="1"/>
        <v>94</v>
      </c>
      <c r="V31" s="26">
        <f t="shared" si="2"/>
        <v>115</v>
      </c>
      <c r="W31" s="26">
        <v>120</v>
      </c>
      <c r="X31" s="29">
        <f t="shared" si="3"/>
        <v>5.5</v>
      </c>
      <c r="Y31" s="30">
        <v>290</v>
      </c>
      <c r="Z31" s="26">
        <v>23</v>
      </c>
      <c r="AA31" s="26">
        <v>23</v>
      </c>
      <c r="AB31" s="26">
        <v>22</v>
      </c>
      <c r="AC31" s="26">
        <v>1</v>
      </c>
      <c r="AD31" s="45">
        <v>367</v>
      </c>
      <c r="AE31" s="26">
        <v>37</v>
      </c>
      <c r="AF31" s="26">
        <v>37</v>
      </c>
      <c r="AG31" s="26">
        <v>30</v>
      </c>
      <c r="AH31" s="26">
        <v>7</v>
      </c>
      <c r="AI31" s="26">
        <v>35</v>
      </c>
      <c r="AJ31" s="26">
        <v>28</v>
      </c>
      <c r="AK31" s="26">
        <v>9</v>
      </c>
      <c r="AL31" s="26">
        <v>26</v>
      </c>
      <c r="AM31" s="26">
        <f t="shared" si="4"/>
        <v>657</v>
      </c>
      <c r="AN31" s="32">
        <f t="shared" si="5"/>
        <v>61</v>
      </c>
      <c r="AO31" s="32">
        <f t="shared" si="6"/>
        <v>88</v>
      </c>
      <c r="AP31" s="32">
        <v>90</v>
      </c>
      <c r="AQ31" s="33">
        <f t="shared" si="7"/>
        <v>7.3</v>
      </c>
      <c r="AR31" s="29">
        <f t="shared" si="8"/>
        <v>-0.45454545454545453</v>
      </c>
      <c r="AS31" s="26">
        <v>36</v>
      </c>
      <c r="AT31" s="26">
        <v>36</v>
      </c>
      <c r="AU31" s="26">
        <v>33</v>
      </c>
      <c r="AV31" s="26">
        <v>3</v>
      </c>
      <c r="AW31" s="26">
        <v>45</v>
      </c>
      <c r="AX31" s="26">
        <v>45</v>
      </c>
      <c r="AY31" s="26">
        <v>44</v>
      </c>
      <c r="AZ31" s="26">
        <v>1</v>
      </c>
      <c r="BA31" s="26">
        <v>43</v>
      </c>
      <c r="BB31" s="26">
        <v>43</v>
      </c>
      <c r="BC31" s="26">
        <v>23</v>
      </c>
      <c r="BD31" s="26">
        <v>22</v>
      </c>
      <c r="BE31" s="26">
        <v>22</v>
      </c>
      <c r="BF31" s="26">
        <v>6</v>
      </c>
      <c r="BG31" s="26">
        <v>6</v>
      </c>
      <c r="BH31" s="26">
        <v>16</v>
      </c>
      <c r="BI31" s="26">
        <v>0</v>
      </c>
      <c r="BJ31" s="26">
        <v>0</v>
      </c>
      <c r="BK31" s="26"/>
      <c r="BL31" s="27"/>
      <c r="BM31" s="34">
        <v>952</v>
      </c>
      <c r="BN31" s="26">
        <v>120</v>
      </c>
      <c r="BO31" s="35">
        <f t="shared" si="9"/>
        <v>106</v>
      </c>
      <c r="BP31" s="35">
        <f t="shared" si="10"/>
        <v>130</v>
      </c>
      <c r="BQ31" s="36">
        <f t="shared" si="11"/>
        <v>7.9333333333333336</v>
      </c>
      <c r="BR31" s="37">
        <f t="shared" si="12"/>
        <v>44.901065449010652</v>
      </c>
      <c r="BS31" s="26">
        <v>36</v>
      </c>
      <c r="BT31" s="26">
        <v>36</v>
      </c>
      <c r="BU31" s="26">
        <v>35</v>
      </c>
      <c r="BV31" s="26">
        <v>1</v>
      </c>
      <c r="BW31" s="26">
        <v>43</v>
      </c>
      <c r="BX31" s="26">
        <v>43</v>
      </c>
      <c r="BY31" s="26">
        <v>37</v>
      </c>
      <c r="BZ31" s="26">
        <v>6</v>
      </c>
      <c r="CA31" s="26">
        <v>48</v>
      </c>
      <c r="CB31" s="26">
        <v>46</v>
      </c>
      <c r="CC31" s="26">
        <v>23</v>
      </c>
      <c r="CD31" s="26">
        <v>23</v>
      </c>
      <c r="CE31" s="26">
        <v>23</v>
      </c>
      <c r="CF31" s="26">
        <v>2</v>
      </c>
      <c r="CG31" s="26">
        <v>2</v>
      </c>
      <c r="CH31" s="26">
        <v>21</v>
      </c>
      <c r="CI31" s="26">
        <v>23</v>
      </c>
      <c r="CJ31" s="26">
        <v>4</v>
      </c>
      <c r="CK31" s="26">
        <v>1</v>
      </c>
      <c r="CL31" s="26">
        <v>22</v>
      </c>
      <c r="CM31" s="26"/>
      <c r="CN31" s="26"/>
      <c r="CO31" s="27">
        <v>0</v>
      </c>
      <c r="CP31" s="34">
        <v>1141</v>
      </c>
      <c r="CQ31" s="26">
        <f t="shared" si="13"/>
        <v>98</v>
      </c>
      <c r="CR31" s="26">
        <f t="shared" si="14"/>
        <v>131</v>
      </c>
      <c r="CS31" s="26">
        <v>120</v>
      </c>
      <c r="CT31" s="36">
        <f t="shared" si="15"/>
        <v>9.5083333333333329</v>
      </c>
      <c r="CU31" s="38">
        <f t="shared" si="16"/>
        <v>19.852941176470587</v>
      </c>
      <c r="CV31" s="26">
        <v>36.0</v>
      </c>
      <c r="CW31" s="26">
        <v>36</v>
      </c>
      <c r="CX31" s="26">
        <v>34</v>
      </c>
      <c r="CY31" s="26">
        <v>2</v>
      </c>
      <c r="CZ31" s="26">
        <v>44.0</v>
      </c>
      <c r="DA31" s="26">
        <v>44</v>
      </c>
      <c r="DB31" s="26">
        <v>42</v>
      </c>
      <c r="DC31" s="26">
        <v>2</v>
      </c>
      <c r="DD31" s="26">
        <v>38.0</v>
      </c>
      <c r="DE31" s="26">
        <v>38</v>
      </c>
      <c r="DF31" s="26">
        <v>22</v>
      </c>
      <c r="DG31" s="26">
        <v>22</v>
      </c>
      <c r="DH31" s="26"/>
      <c r="DI31" s="39">
        <v>8</v>
      </c>
      <c r="DJ31" s="26">
        <v>6</v>
      </c>
      <c r="DK31" s="26"/>
      <c r="DL31" s="26">
        <v>26</v>
      </c>
      <c r="DM31" s="26">
        <v>10</v>
      </c>
      <c r="DN31" s="26">
        <v>5</v>
      </c>
      <c r="DO31" s="26"/>
      <c r="DP31" s="40">
        <v>0</v>
      </c>
      <c r="DQ31" s="41">
        <v>0</v>
      </c>
      <c r="DR31" s="27"/>
      <c r="DS31" s="42">
        <v>1052</v>
      </c>
      <c r="DT31" s="43">
        <f t="shared" si="17"/>
        <v>109</v>
      </c>
      <c r="DU31" s="43">
        <f t="shared" si="18"/>
        <v>136</v>
      </c>
      <c r="DV31" s="26">
        <v>120.0</v>
      </c>
      <c r="DW31" s="33">
        <v>8.766666667</v>
      </c>
      <c r="DX31" s="44">
        <f t="shared" si="20"/>
        <v>-7.8001752848378612</v>
      </c>
    </row>
    <row r="32" spans="1:128" ht="15.75" customHeight="1">
      <c r="A32" s="26">
        <v>26</v>
      </c>
      <c r="B32" s="26" t="s">
        <v>415</v>
      </c>
      <c r="C32" s="26" t="s">
        <v>416</v>
      </c>
      <c r="D32" s="27" t="s">
        <v>23</v>
      </c>
      <c r="E32" s="26">
        <v>831</v>
      </c>
      <c r="F32" s="26">
        <v>23</v>
      </c>
      <c r="G32" s="26">
        <v>27</v>
      </c>
      <c r="H32" s="26">
        <v>27</v>
      </c>
      <c r="I32" s="26">
        <v>-4</v>
      </c>
      <c r="J32" s="28">
        <v>1160</v>
      </c>
      <c r="K32" s="26">
        <v>40</v>
      </c>
      <c r="L32" s="26">
        <v>40</v>
      </c>
      <c r="M32" s="26">
        <v>34</v>
      </c>
      <c r="N32" s="26">
        <v>4</v>
      </c>
      <c r="O32" s="28">
        <v>209</v>
      </c>
      <c r="P32" s="26">
        <v>31</v>
      </c>
      <c r="Q32" s="26">
        <v>39</v>
      </c>
      <c r="R32" s="26">
        <v>28</v>
      </c>
      <c r="S32" s="27">
        <v>1</v>
      </c>
      <c r="T32" s="26">
        <f t="shared" si="0"/>
        <v>2200</v>
      </c>
      <c r="U32" s="26">
        <f t="shared" si="1"/>
        <v>89</v>
      </c>
      <c r="V32" s="26">
        <f t="shared" si="2"/>
        <v>106</v>
      </c>
      <c r="W32" s="26">
        <v>90</v>
      </c>
      <c r="X32" s="29">
        <f t="shared" si="3"/>
        <v>24.444444444444443</v>
      </c>
      <c r="Y32" s="30">
        <v>842</v>
      </c>
      <c r="Z32" s="26">
        <v>23</v>
      </c>
      <c r="AA32" s="26">
        <v>25</v>
      </c>
      <c r="AB32" s="26">
        <v>24</v>
      </c>
      <c r="AC32" s="26">
        <v>-1</v>
      </c>
      <c r="AD32" s="45">
        <v>1108</v>
      </c>
      <c r="AE32" s="26">
        <v>36</v>
      </c>
      <c r="AF32" s="26">
        <v>36</v>
      </c>
      <c r="AG32" s="26">
        <v>36</v>
      </c>
      <c r="AH32" s="26">
        <v>0</v>
      </c>
      <c r="AI32" s="26">
        <v>30</v>
      </c>
      <c r="AJ32" s="26">
        <v>30</v>
      </c>
      <c r="AK32" s="26">
        <v>18</v>
      </c>
      <c r="AL32" s="26">
        <v>12</v>
      </c>
      <c r="AM32" s="26">
        <f t="shared" si="4"/>
        <v>1950</v>
      </c>
      <c r="AN32" s="32">
        <f t="shared" si="5"/>
        <v>78</v>
      </c>
      <c r="AO32" s="32">
        <f t="shared" si="6"/>
        <v>91</v>
      </c>
      <c r="AP32" s="32">
        <v>90</v>
      </c>
      <c r="AQ32" s="33">
        <f t="shared" si="7"/>
        <v>21.666666666666668</v>
      </c>
      <c r="AR32" s="29">
        <f t="shared" si="8"/>
        <v>-11.363636363636363</v>
      </c>
      <c r="AS32" s="26">
        <v>36</v>
      </c>
      <c r="AT32" s="26">
        <v>36</v>
      </c>
      <c r="AU32" s="26">
        <v>36</v>
      </c>
      <c r="AV32" s="26">
        <v>0</v>
      </c>
      <c r="AW32" s="26">
        <v>42</v>
      </c>
      <c r="AX32" s="26">
        <v>42</v>
      </c>
      <c r="AY32" s="26">
        <v>40</v>
      </c>
      <c r="AZ32" s="26">
        <v>2</v>
      </c>
      <c r="BA32" s="26">
        <v>44</v>
      </c>
      <c r="BB32" s="26">
        <v>44</v>
      </c>
      <c r="BC32" s="26">
        <v>30</v>
      </c>
      <c r="BD32" s="26">
        <v>12</v>
      </c>
      <c r="BE32" s="26">
        <v>12</v>
      </c>
      <c r="BF32" s="26">
        <v>5</v>
      </c>
      <c r="BG32" s="26">
        <v>5</v>
      </c>
      <c r="BH32" s="26">
        <v>7</v>
      </c>
      <c r="BI32" s="26">
        <v>7</v>
      </c>
      <c r="BJ32" s="26">
        <v>4</v>
      </c>
      <c r="BK32" s="26"/>
      <c r="BL32" s="27"/>
      <c r="BM32" s="34">
        <v>2591</v>
      </c>
      <c r="BN32" s="26">
        <v>120</v>
      </c>
      <c r="BO32" s="35">
        <f t="shared" si="9"/>
        <v>115</v>
      </c>
      <c r="BP32" s="35">
        <f t="shared" si="10"/>
        <v>134</v>
      </c>
      <c r="BQ32" s="36">
        <f t="shared" si="11"/>
        <v>21.591666666666665</v>
      </c>
      <c r="BR32" s="37">
        <f t="shared" si="12"/>
        <v>32.871794871794876</v>
      </c>
      <c r="BS32" s="26">
        <v>36</v>
      </c>
      <c r="BT32" s="26">
        <v>36</v>
      </c>
      <c r="BU32" s="26">
        <v>35</v>
      </c>
      <c r="BV32" s="26">
        <v>1</v>
      </c>
      <c r="BW32" s="26">
        <v>43</v>
      </c>
      <c r="BX32" s="26">
        <v>43</v>
      </c>
      <c r="BY32" s="26">
        <v>41</v>
      </c>
      <c r="BZ32" s="26">
        <v>2</v>
      </c>
      <c r="CA32" s="26">
        <v>44</v>
      </c>
      <c r="CB32" s="26">
        <v>41</v>
      </c>
      <c r="CC32" s="26">
        <v>31</v>
      </c>
      <c r="CD32" s="26">
        <v>10</v>
      </c>
      <c r="CE32" s="26">
        <v>10</v>
      </c>
      <c r="CF32" s="26">
        <v>7</v>
      </c>
      <c r="CG32" s="26">
        <v>3</v>
      </c>
      <c r="CH32" s="26">
        <v>7</v>
      </c>
      <c r="CI32" s="26">
        <v>10</v>
      </c>
      <c r="CJ32" s="26">
        <v>8</v>
      </c>
      <c r="CK32" s="26">
        <v>6</v>
      </c>
      <c r="CL32" s="26">
        <v>4</v>
      </c>
      <c r="CM32" s="26"/>
      <c r="CN32" s="26"/>
      <c r="CO32" s="27">
        <v>0</v>
      </c>
      <c r="CP32" s="34">
        <v>2595</v>
      </c>
      <c r="CQ32" s="26">
        <f t="shared" si="13"/>
        <v>116</v>
      </c>
      <c r="CR32" s="26">
        <f t="shared" si="14"/>
        <v>135</v>
      </c>
      <c r="CS32" s="26">
        <v>120</v>
      </c>
      <c r="CT32" s="36">
        <f t="shared" si="15"/>
        <v>21.625</v>
      </c>
      <c r="CU32" s="38">
        <f t="shared" si="16"/>
        <v>0.15438054805094559</v>
      </c>
      <c r="CV32" s="26">
        <v>36.0</v>
      </c>
      <c r="CW32" s="26">
        <v>36</v>
      </c>
      <c r="CX32" s="26">
        <v>36</v>
      </c>
      <c r="CY32" s="26">
        <v>0</v>
      </c>
      <c r="CZ32" s="26">
        <v>42.0</v>
      </c>
      <c r="DA32" s="26">
        <v>42</v>
      </c>
      <c r="DB32" s="26">
        <v>41</v>
      </c>
      <c r="DC32" s="26">
        <v>1</v>
      </c>
      <c r="DD32" s="26">
        <v>38.0</v>
      </c>
      <c r="DE32" s="26">
        <v>38</v>
      </c>
      <c r="DF32" s="26">
        <v>32</v>
      </c>
      <c r="DG32" s="26">
        <v>11</v>
      </c>
      <c r="DH32" s="26"/>
      <c r="DI32" s="39">
        <v>10</v>
      </c>
      <c r="DJ32" s="26">
        <v>5</v>
      </c>
      <c r="DK32" s="26"/>
      <c r="DL32" s="26">
        <v>12</v>
      </c>
      <c r="DM32" s="26">
        <v>4</v>
      </c>
      <c r="DN32" s="26">
        <v>3</v>
      </c>
      <c r="DO32" s="26"/>
      <c r="DP32" s="40">
        <v>0</v>
      </c>
      <c r="DQ32" s="41">
        <v>0</v>
      </c>
      <c r="DR32" s="27"/>
      <c r="DS32" s="42">
        <v>2174</v>
      </c>
      <c r="DT32" s="43">
        <f t="shared" si="17"/>
        <v>117</v>
      </c>
      <c r="DU32" s="43">
        <f t="shared" si="18"/>
        <v>130</v>
      </c>
      <c r="DV32" s="26">
        <v>120.0</v>
      </c>
      <c r="DW32" s="33">
        <v>18.11666667</v>
      </c>
      <c r="DX32" s="44">
        <f t="shared" si="20"/>
        <v>-16.223506743737957</v>
      </c>
    </row>
    <row r="33" spans="1:128" ht="15.75" customHeight="1">
      <c r="A33" s="26">
        <v>27</v>
      </c>
      <c r="B33" s="26" t="s">
        <v>417</v>
      </c>
      <c r="C33" s="26" t="s">
        <v>418</v>
      </c>
      <c r="D33" s="27" t="s">
        <v>23</v>
      </c>
      <c r="E33" s="26">
        <v>1066</v>
      </c>
      <c r="F33" s="26">
        <v>15</v>
      </c>
      <c r="G33" s="26">
        <v>17</v>
      </c>
      <c r="H33" s="26">
        <v>17</v>
      </c>
      <c r="I33" s="26">
        <v>-2</v>
      </c>
      <c r="J33" s="28">
        <v>1563</v>
      </c>
      <c r="K33" s="26">
        <v>27</v>
      </c>
      <c r="L33" s="26">
        <v>27</v>
      </c>
      <c r="M33" s="26">
        <v>23</v>
      </c>
      <c r="N33" s="26">
        <v>2</v>
      </c>
      <c r="O33" s="28">
        <v>417</v>
      </c>
      <c r="P33" s="26">
        <v>20</v>
      </c>
      <c r="Q33" s="26">
        <v>28</v>
      </c>
      <c r="R33" s="26">
        <v>19</v>
      </c>
      <c r="S33" s="27">
        <v>1</v>
      </c>
      <c r="T33" s="26">
        <f t="shared" si="0"/>
        <v>3046</v>
      </c>
      <c r="U33" s="26">
        <f t="shared" si="1"/>
        <v>59</v>
      </c>
      <c r="V33" s="26">
        <f t="shared" si="2"/>
        <v>72</v>
      </c>
      <c r="W33" s="26">
        <v>60</v>
      </c>
      <c r="X33" s="29">
        <f t="shared" si="3"/>
        <v>50.766666666666666</v>
      </c>
      <c r="Y33" s="30">
        <v>1268</v>
      </c>
      <c r="Z33" s="26">
        <v>15</v>
      </c>
      <c r="AA33" s="26">
        <v>18</v>
      </c>
      <c r="AB33" s="26">
        <v>18</v>
      </c>
      <c r="AC33" s="26">
        <v>-3</v>
      </c>
      <c r="AD33" s="45">
        <v>1439</v>
      </c>
      <c r="AE33" s="26">
        <v>24</v>
      </c>
      <c r="AF33" s="26">
        <v>24</v>
      </c>
      <c r="AG33" s="26">
        <v>23</v>
      </c>
      <c r="AH33" s="26">
        <v>1</v>
      </c>
      <c r="AI33" s="26">
        <v>19</v>
      </c>
      <c r="AJ33" s="26">
        <v>19</v>
      </c>
      <c r="AK33" s="26">
        <v>11</v>
      </c>
      <c r="AL33" s="26">
        <v>8</v>
      </c>
      <c r="AM33" s="26">
        <f t="shared" si="4"/>
        <v>2707</v>
      </c>
      <c r="AN33" s="32">
        <f t="shared" si="5"/>
        <v>52</v>
      </c>
      <c r="AO33" s="32">
        <f t="shared" si="6"/>
        <v>61</v>
      </c>
      <c r="AP33" s="32">
        <v>60</v>
      </c>
      <c r="AQ33" s="33">
        <f t="shared" si="7"/>
        <v>45.116666666666667</v>
      </c>
      <c r="AR33" s="29">
        <f t="shared" si="8"/>
        <v>-11.129349967170059</v>
      </c>
      <c r="AS33" s="26">
        <v>24</v>
      </c>
      <c r="AT33" s="26">
        <v>24</v>
      </c>
      <c r="AU33" s="26">
        <v>24</v>
      </c>
      <c r="AV33" s="26">
        <v>0</v>
      </c>
      <c r="AW33" s="26">
        <v>28</v>
      </c>
      <c r="AX33" s="26">
        <v>28</v>
      </c>
      <c r="AY33" s="26">
        <v>25</v>
      </c>
      <c r="AZ33" s="26">
        <v>3</v>
      </c>
      <c r="BA33" s="26">
        <v>31</v>
      </c>
      <c r="BB33" s="26">
        <v>31</v>
      </c>
      <c r="BC33" s="26">
        <v>24</v>
      </c>
      <c r="BD33" s="26">
        <v>4</v>
      </c>
      <c r="BE33" s="26">
        <v>4</v>
      </c>
      <c r="BF33" s="26">
        <v>5</v>
      </c>
      <c r="BG33" s="26">
        <v>5</v>
      </c>
      <c r="BH33" s="26">
        <v>-1</v>
      </c>
      <c r="BI33" s="26">
        <v>9</v>
      </c>
      <c r="BJ33" s="26">
        <v>5</v>
      </c>
      <c r="BK33" s="26">
        <v>1</v>
      </c>
      <c r="BL33" s="27"/>
      <c r="BM33" s="34">
        <v>3588</v>
      </c>
      <c r="BN33" s="26">
        <v>80</v>
      </c>
      <c r="BO33" s="35">
        <f t="shared" si="9"/>
        <v>83</v>
      </c>
      <c r="BP33" s="35">
        <f t="shared" si="10"/>
        <v>98</v>
      </c>
      <c r="BQ33" s="36">
        <f t="shared" si="11"/>
        <v>44.85</v>
      </c>
      <c r="BR33" s="37">
        <f t="shared" si="12"/>
        <v>32.545253047654235</v>
      </c>
      <c r="BS33" s="26">
        <v>24</v>
      </c>
      <c r="BT33" s="26">
        <v>24</v>
      </c>
      <c r="BU33" s="26">
        <v>24</v>
      </c>
      <c r="BV33" s="26">
        <v>0</v>
      </c>
      <c r="BW33" s="26">
        <v>28</v>
      </c>
      <c r="BX33" s="26">
        <v>28</v>
      </c>
      <c r="BY33" s="26">
        <v>26</v>
      </c>
      <c r="BZ33" s="26">
        <v>2</v>
      </c>
      <c r="CA33" s="26">
        <v>30</v>
      </c>
      <c r="CB33" s="26">
        <v>26</v>
      </c>
      <c r="CC33" s="26">
        <v>19</v>
      </c>
      <c r="CD33" s="26">
        <v>6</v>
      </c>
      <c r="CE33" s="26">
        <v>6</v>
      </c>
      <c r="CF33" s="26">
        <v>6</v>
      </c>
      <c r="CG33" s="26">
        <v>5</v>
      </c>
      <c r="CH33" s="26">
        <v>1</v>
      </c>
      <c r="CI33" s="26">
        <v>5</v>
      </c>
      <c r="CJ33" s="26">
        <v>9</v>
      </c>
      <c r="CK33" s="26">
        <v>8</v>
      </c>
      <c r="CL33" s="26">
        <v>-3</v>
      </c>
      <c r="CM33" s="26">
        <v>1</v>
      </c>
      <c r="CN33" s="26"/>
      <c r="CO33" s="27">
        <v>1</v>
      </c>
      <c r="CP33" s="34">
        <v>3231</v>
      </c>
      <c r="CQ33" s="26">
        <f t="shared" si="13"/>
        <v>82</v>
      </c>
      <c r="CR33" s="26">
        <f t="shared" si="14"/>
        <v>94</v>
      </c>
      <c r="CS33" s="26">
        <v>80</v>
      </c>
      <c r="CT33" s="36">
        <f t="shared" si="15"/>
        <v>40.387500000000003</v>
      </c>
      <c r="CU33" s="38">
        <f t="shared" si="16"/>
        <v>-9.9498327759197327</v>
      </c>
      <c r="CV33" s="26">
        <v>27.0</v>
      </c>
      <c r="CW33" s="26">
        <v>27</v>
      </c>
      <c r="CX33" s="26">
        <v>27</v>
      </c>
      <c r="CY33" s="26">
        <v>0</v>
      </c>
      <c r="CZ33" s="26">
        <v>32.0</v>
      </c>
      <c r="DA33" s="26">
        <v>32</v>
      </c>
      <c r="DB33" s="26">
        <v>30</v>
      </c>
      <c r="DC33" s="26">
        <v>2</v>
      </c>
      <c r="DD33" s="26">
        <v>20.0</v>
      </c>
      <c r="DE33" s="26">
        <v>22</v>
      </c>
      <c r="DF33" s="26">
        <v>12</v>
      </c>
      <c r="DG33" s="26">
        <v>18</v>
      </c>
      <c r="DH33" s="26"/>
      <c r="DI33" s="39">
        <v>11</v>
      </c>
      <c r="DJ33" s="26">
        <v>10</v>
      </c>
      <c r="DK33" s="26"/>
      <c r="DL33" s="26">
        <v>20</v>
      </c>
      <c r="DM33" s="26">
        <v>10</v>
      </c>
      <c r="DN33" s="26">
        <v>10</v>
      </c>
      <c r="DO33" s="26"/>
      <c r="DP33" s="46">
        <v>0</v>
      </c>
      <c r="DQ33" s="41">
        <v>0</v>
      </c>
      <c r="DR33" s="27"/>
      <c r="DS33" s="42">
        <v>3526</v>
      </c>
      <c r="DT33" s="43">
        <f t="shared" si="17"/>
        <v>89</v>
      </c>
      <c r="DU33" s="43">
        <f t="shared" si="18"/>
        <v>102</v>
      </c>
      <c r="DV33" s="26">
        <v>90.0</v>
      </c>
      <c r="DW33" s="33">
        <v>39.17777778</v>
      </c>
      <c r="DX33" s="44">
        <f t="shared" si="20"/>
        <v>9.1303002166511913</v>
      </c>
    </row>
    <row r="34" spans="1:128" ht="15.75" customHeight="1">
      <c r="A34" s="26">
        <v>28</v>
      </c>
      <c r="B34" s="26" t="s">
        <v>419</v>
      </c>
      <c r="C34" s="26" t="s">
        <v>420</v>
      </c>
      <c r="D34" s="27" t="s">
        <v>23</v>
      </c>
      <c r="E34" s="26">
        <v>96</v>
      </c>
      <c r="F34" s="26">
        <v>23</v>
      </c>
      <c r="G34" s="26">
        <v>23</v>
      </c>
      <c r="H34" s="26">
        <v>22</v>
      </c>
      <c r="I34" s="26">
        <v>1</v>
      </c>
      <c r="J34" s="28">
        <v>84</v>
      </c>
      <c r="K34" s="26">
        <v>41</v>
      </c>
      <c r="L34" s="26">
        <v>41</v>
      </c>
      <c r="M34" s="26">
        <v>35</v>
      </c>
      <c r="N34" s="26">
        <v>3</v>
      </c>
      <c r="O34" s="28">
        <v>6</v>
      </c>
      <c r="P34" s="26">
        <v>30</v>
      </c>
      <c r="Q34" s="26">
        <v>5</v>
      </c>
      <c r="R34" s="26">
        <v>2</v>
      </c>
      <c r="S34" s="27">
        <v>31</v>
      </c>
      <c r="T34" s="26">
        <f t="shared" si="0"/>
        <v>186</v>
      </c>
      <c r="U34" s="26">
        <f t="shared" si="1"/>
        <v>59</v>
      </c>
      <c r="V34" s="26">
        <f t="shared" si="2"/>
        <v>69</v>
      </c>
      <c r="W34" s="26">
        <v>90</v>
      </c>
      <c r="X34" s="29">
        <f t="shared" si="3"/>
        <v>2.0666666666666669</v>
      </c>
      <c r="Y34" s="30">
        <v>67</v>
      </c>
      <c r="Z34" s="26">
        <v>23</v>
      </c>
      <c r="AA34" s="26">
        <v>23</v>
      </c>
      <c r="AB34" s="26">
        <v>22</v>
      </c>
      <c r="AC34" s="26">
        <v>1</v>
      </c>
      <c r="AD34" s="45">
        <v>81</v>
      </c>
      <c r="AE34" s="26">
        <v>37</v>
      </c>
      <c r="AF34" s="26">
        <v>37</v>
      </c>
      <c r="AG34" s="26">
        <v>33</v>
      </c>
      <c r="AH34" s="26">
        <v>4</v>
      </c>
      <c r="AI34" s="26">
        <v>35</v>
      </c>
      <c r="AJ34" s="26">
        <v>2</v>
      </c>
      <c r="AK34" s="26">
        <v>1</v>
      </c>
      <c r="AL34" s="26">
        <v>34</v>
      </c>
      <c r="AM34" s="26">
        <f t="shared" si="4"/>
        <v>148</v>
      </c>
      <c r="AN34" s="32">
        <f t="shared" si="5"/>
        <v>56</v>
      </c>
      <c r="AO34" s="32">
        <f t="shared" si="6"/>
        <v>62</v>
      </c>
      <c r="AP34" s="32">
        <v>90</v>
      </c>
      <c r="AQ34" s="33">
        <f t="shared" si="7"/>
        <v>1.6444444444444444</v>
      </c>
      <c r="AR34" s="29">
        <f t="shared" si="8"/>
        <v>-20.43010752688172</v>
      </c>
      <c r="AS34" s="26">
        <v>36</v>
      </c>
      <c r="AT34" s="26">
        <v>36</v>
      </c>
      <c r="AU34" s="26">
        <v>35</v>
      </c>
      <c r="AV34" s="26">
        <v>1</v>
      </c>
      <c r="AW34" s="26">
        <v>43</v>
      </c>
      <c r="AX34" s="26">
        <v>43</v>
      </c>
      <c r="AY34" s="26">
        <v>39</v>
      </c>
      <c r="AZ34" s="26">
        <v>4</v>
      </c>
      <c r="BA34" s="26">
        <v>46</v>
      </c>
      <c r="BB34" s="26">
        <v>5</v>
      </c>
      <c r="BC34" s="26">
        <v>0</v>
      </c>
      <c r="BD34" s="26">
        <v>43</v>
      </c>
      <c r="BE34" s="26">
        <v>43</v>
      </c>
      <c r="BF34" s="26">
        <v>0</v>
      </c>
      <c r="BG34" s="26">
        <v>0</v>
      </c>
      <c r="BH34" s="26">
        <v>43</v>
      </c>
      <c r="BI34" s="26">
        <v>0</v>
      </c>
      <c r="BJ34" s="26">
        <v>0</v>
      </c>
      <c r="BK34" s="26"/>
      <c r="BL34" s="27"/>
      <c r="BM34" s="34">
        <v>180</v>
      </c>
      <c r="BN34" s="26">
        <v>120</v>
      </c>
      <c r="BO34" s="35">
        <f t="shared" si="9"/>
        <v>74</v>
      </c>
      <c r="BP34" s="35">
        <f t="shared" si="10"/>
        <v>84</v>
      </c>
      <c r="BQ34" s="36">
        <f t="shared" si="11"/>
        <v>1.5</v>
      </c>
      <c r="BR34" s="37">
        <f t="shared" si="12"/>
        <v>21.621621621621621</v>
      </c>
      <c r="BS34" s="26">
        <v>24</v>
      </c>
      <c r="BT34" s="26">
        <v>24</v>
      </c>
      <c r="BU34" s="26">
        <v>24</v>
      </c>
      <c r="BV34" s="26">
        <v>0</v>
      </c>
      <c r="BW34" s="26">
        <v>28</v>
      </c>
      <c r="BX34" s="26">
        <v>28</v>
      </c>
      <c r="BY34" s="26">
        <v>25</v>
      </c>
      <c r="BZ34" s="26">
        <v>3</v>
      </c>
      <c r="CA34" s="26">
        <v>31</v>
      </c>
      <c r="CB34" s="26">
        <v>2</v>
      </c>
      <c r="CC34" s="26">
        <v>1</v>
      </c>
      <c r="CD34" s="26">
        <v>29</v>
      </c>
      <c r="CE34" s="26">
        <v>29</v>
      </c>
      <c r="CF34" s="26">
        <v>1</v>
      </c>
      <c r="CG34" s="26">
        <v>1</v>
      </c>
      <c r="CH34" s="26">
        <v>28</v>
      </c>
      <c r="CI34" s="26">
        <v>29</v>
      </c>
      <c r="CJ34" s="26">
        <v>0</v>
      </c>
      <c r="CK34" s="26">
        <v>0</v>
      </c>
      <c r="CL34" s="26">
        <v>29</v>
      </c>
      <c r="CM34" s="26"/>
      <c r="CN34" s="26"/>
      <c r="CO34" s="27">
        <v>0</v>
      </c>
      <c r="CP34" s="34">
        <v>211</v>
      </c>
      <c r="CQ34" s="26">
        <f t="shared" si="13"/>
        <v>51</v>
      </c>
      <c r="CR34" s="26">
        <f t="shared" si="14"/>
        <v>55</v>
      </c>
      <c r="CS34" s="26">
        <v>80</v>
      </c>
      <c r="CT34" s="36">
        <f t="shared" si="15"/>
        <v>2.6375000000000002</v>
      </c>
      <c r="CU34" s="38">
        <f t="shared" si="16"/>
        <v>17.222222222222221</v>
      </c>
      <c r="CV34" s="26">
        <v>24.0</v>
      </c>
      <c r="CW34" s="26">
        <v>23</v>
      </c>
      <c r="CX34" s="26">
        <v>23</v>
      </c>
      <c r="CY34" s="26">
        <v>1</v>
      </c>
      <c r="CZ34" s="26">
        <v>29.0</v>
      </c>
      <c r="DA34" s="26">
        <v>29</v>
      </c>
      <c r="DB34" s="26">
        <v>26</v>
      </c>
      <c r="DC34" s="26">
        <v>3</v>
      </c>
      <c r="DD34" s="26">
        <v>29.0</v>
      </c>
      <c r="DE34" s="26">
        <v>0</v>
      </c>
      <c r="DF34" s="26">
        <v>0</v>
      </c>
      <c r="DG34" s="26">
        <v>31</v>
      </c>
      <c r="DH34" s="26"/>
      <c r="DI34" s="39">
        <v>3</v>
      </c>
      <c r="DJ34" s="26">
        <v>2</v>
      </c>
      <c r="DK34" s="26"/>
      <c r="DL34" s="26">
        <v>35</v>
      </c>
      <c r="DM34" s="26">
        <v>0</v>
      </c>
      <c r="DN34" s="26">
        <v>0</v>
      </c>
      <c r="DO34" s="26"/>
      <c r="DP34" s="40">
        <v>0</v>
      </c>
      <c r="DQ34" s="41">
        <v>0</v>
      </c>
      <c r="DR34" s="27"/>
      <c r="DS34" s="42">
        <v>209</v>
      </c>
      <c r="DT34" s="43">
        <f t="shared" si="17"/>
        <v>51</v>
      </c>
      <c r="DU34" s="43">
        <f t="shared" si="18"/>
        <v>55</v>
      </c>
      <c r="DV34" s="26">
        <v>80.0</v>
      </c>
      <c r="DW34" s="33">
        <v>2.6125</v>
      </c>
      <c r="DX34" s="44">
        <f t="shared" si="20"/>
        <v>-0.94786729857819907</v>
      </c>
    </row>
    <row r="35" spans="1:128" ht="15.75" customHeight="1">
      <c r="A35" s="26">
        <v>29</v>
      </c>
      <c r="B35" s="26" t="s">
        <v>421</v>
      </c>
      <c r="C35" s="26" t="s">
        <v>422</v>
      </c>
      <c r="D35" s="27" t="s">
        <v>23</v>
      </c>
      <c r="E35" s="26">
        <v>253</v>
      </c>
      <c r="F35" s="26">
        <v>20</v>
      </c>
      <c r="G35" s="26">
        <v>21</v>
      </c>
      <c r="H35" s="26">
        <v>20</v>
      </c>
      <c r="I35" s="26">
        <v>0</v>
      </c>
      <c r="J35" s="28">
        <v>528</v>
      </c>
      <c r="K35" s="26">
        <v>36</v>
      </c>
      <c r="L35" s="26">
        <v>36</v>
      </c>
      <c r="M35" s="26">
        <v>33</v>
      </c>
      <c r="N35" s="26">
        <v>3</v>
      </c>
      <c r="O35" s="28">
        <v>64</v>
      </c>
      <c r="P35" s="26">
        <v>27</v>
      </c>
      <c r="Q35" s="26">
        <v>28</v>
      </c>
      <c r="R35" s="26">
        <v>23</v>
      </c>
      <c r="S35" s="27">
        <v>4</v>
      </c>
      <c r="T35" s="26">
        <f t="shared" si="0"/>
        <v>845</v>
      </c>
      <c r="U35" s="26">
        <f t="shared" si="1"/>
        <v>76</v>
      </c>
      <c r="V35" s="26">
        <f t="shared" si="2"/>
        <v>85</v>
      </c>
      <c r="W35" s="26">
        <v>80</v>
      </c>
      <c r="X35" s="29">
        <f t="shared" si="3"/>
        <v>10.5625</v>
      </c>
      <c r="Y35" s="30">
        <v>445</v>
      </c>
      <c r="Z35" s="26">
        <v>23</v>
      </c>
      <c r="AA35" s="26">
        <v>23</v>
      </c>
      <c r="AB35" s="26">
        <v>23</v>
      </c>
      <c r="AC35" s="26">
        <v>0</v>
      </c>
      <c r="AD35" s="45">
        <v>641</v>
      </c>
      <c r="AE35" s="26">
        <v>36</v>
      </c>
      <c r="AF35" s="26">
        <v>36</v>
      </c>
      <c r="AG35" s="26">
        <v>34</v>
      </c>
      <c r="AH35" s="26">
        <v>2</v>
      </c>
      <c r="AI35" s="26">
        <v>32</v>
      </c>
      <c r="AJ35" s="26">
        <v>32</v>
      </c>
      <c r="AK35" s="26">
        <v>18</v>
      </c>
      <c r="AL35" s="26">
        <v>14</v>
      </c>
      <c r="AM35" s="26">
        <f t="shared" si="4"/>
        <v>1086</v>
      </c>
      <c r="AN35" s="32">
        <f t="shared" si="5"/>
        <v>75</v>
      </c>
      <c r="AO35" s="32">
        <f t="shared" si="6"/>
        <v>91</v>
      </c>
      <c r="AP35" s="32">
        <v>90</v>
      </c>
      <c r="AQ35" s="33">
        <f t="shared" si="7"/>
        <v>12.066666666666666</v>
      </c>
      <c r="AR35" s="29">
        <f t="shared" si="8"/>
        <v>28.520710059171599</v>
      </c>
      <c r="AS35" s="26">
        <v>36</v>
      </c>
      <c r="AT35" s="26">
        <v>36</v>
      </c>
      <c r="AU35" s="26">
        <v>35</v>
      </c>
      <c r="AV35" s="26">
        <v>1</v>
      </c>
      <c r="AW35" s="26">
        <v>43</v>
      </c>
      <c r="AX35" s="26">
        <v>43</v>
      </c>
      <c r="AY35" s="26">
        <v>40</v>
      </c>
      <c r="AZ35" s="26">
        <v>3</v>
      </c>
      <c r="BA35" s="26">
        <v>45</v>
      </c>
      <c r="BB35" s="26">
        <v>45</v>
      </c>
      <c r="BC35" s="26">
        <v>27</v>
      </c>
      <c r="BD35" s="26">
        <v>16</v>
      </c>
      <c r="BE35" s="26">
        <v>16</v>
      </c>
      <c r="BF35" s="26">
        <v>4</v>
      </c>
      <c r="BG35" s="26">
        <v>4</v>
      </c>
      <c r="BH35" s="26">
        <v>12</v>
      </c>
      <c r="BI35" s="26">
        <v>2</v>
      </c>
      <c r="BJ35" s="26">
        <v>2</v>
      </c>
      <c r="BK35" s="26">
        <v>2</v>
      </c>
      <c r="BL35" s="27">
        <v>1</v>
      </c>
      <c r="BM35" s="34">
        <v>1650</v>
      </c>
      <c r="BN35" s="26">
        <v>120</v>
      </c>
      <c r="BO35" s="35">
        <f t="shared" si="9"/>
        <v>108</v>
      </c>
      <c r="BP35" s="35">
        <f t="shared" si="10"/>
        <v>132</v>
      </c>
      <c r="BQ35" s="36">
        <f t="shared" si="11"/>
        <v>13.75</v>
      </c>
      <c r="BR35" s="37">
        <f t="shared" si="12"/>
        <v>51.933701657458563</v>
      </c>
      <c r="BS35" s="26">
        <v>36</v>
      </c>
      <c r="BT35" s="26">
        <v>36</v>
      </c>
      <c r="BU35" s="26">
        <v>35</v>
      </c>
      <c r="BV35" s="26">
        <v>1</v>
      </c>
      <c r="BW35" s="26">
        <v>43</v>
      </c>
      <c r="BX35" s="26">
        <v>43</v>
      </c>
      <c r="BY35" s="26">
        <v>44</v>
      </c>
      <c r="BZ35" s="26">
        <v>-1</v>
      </c>
      <c r="CA35" s="26">
        <v>41</v>
      </c>
      <c r="CB35" s="26">
        <v>36</v>
      </c>
      <c r="CC35" s="26">
        <v>26</v>
      </c>
      <c r="CD35" s="26">
        <v>10</v>
      </c>
      <c r="CE35" s="26">
        <v>10</v>
      </c>
      <c r="CF35" s="26">
        <v>7</v>
      </c>
      <c r="CG35" s="26">
        <v>5</v>
      </c>
      <c r="CH35" s="26">
        <v>5</v>
      </c>
      <c r="CI35" s="26">
        <v>10</v>
      </c>
      <c r="CJ35" s="26">
        <v>8</v>
      </c>
      <c r="CK35" s="26">
        <v>3</v>
      </c>
      <c r="CL35" s="26">
        <v>7</v>
      </c>
      <c r="CM35" s="26"/>
      <c r="CN35" s="26"/>
      <c r="CO35" s="27">
        <v>0</v>
      </c>
      <c r="CP35" s="34">
        <v>1813</v>
      </c>
      <c r="CQ35" s="26">
        <f t="shared" si="13"/>
        <v>113</v>
      </c>
      <c r="CR35" s="26">
        <f t="shared" si="14"/>
        <v>130</v>
      </c>
      <c r="CS35" s="26">
        <v>120</v>
      </c>
      <c r="CT35" s="36">
        <f t="shared" si="15"/>
        <v>15.108333333333333</v>
      </c>
      <c r="CU35" s="38">
        <f t="shared" si="16"/>
        <v>9.8787878787878789</v>
      </c>
      <c r="CV35" s="26">
        <v>36.0</v>
      </c>
      <c r="CW35" s="26">
        <v>36</v>
      </c>
      <c r="CX35" s="26">
        <v>36</v>
      </c>
      <c r="CY35" s="26">
        <v>0</v>
      </c>
      <c r="CZ35" s="26">
        <v>42.0</v>
      </c>
      <c r="DA35" s="26">
        <v>42</v>
      </c>
      <c r="DB35" s="26">
        <v>41</v>
      </c>
      <c r="DC35" s="26">
        <v>1</v>
      </c>
      <c r="DD35" s="26">
        <v>38.0</v>
      </c>
      <c r="DE35" s="26">
        <v>38</v>
      </c>
      <c r="DF35" s="26">
        <v>27</v>
      </c>
      <c r="DG35" s="26">
        <v>16</v>
      </c>
      <c r="DH35" s="26"/>
      <c r="DI35" s="39">
        <v>11</v>
      </c>
      <c r="DJ35" s="26">
        <v>5</v>
      </c>
      <c r="DK35" s="26"/>
      <c r="DL35" s="26">
        <v>17</v>
      </c>
      <c r="DM35" s="26">
        <v>11</v>
      </c>
      <c r="DN35" s="26">
        <v>9</v>
      </c>
      <c r="DO35" s="26"/>
      <c r="DP35" s="40">
        <v>0</v>
      </c>
      <c r="DQ35" s="41">
        <v>0</v>
      </c>
      <c r="DR35" s="27"/>
      <c r="DS35" s="42">
        <v>1735</v>
      </c>
      <c r="DT35" s="43">
        <f t="shared" si="17"/>
        <v>118</v>
      </c>
      <c r="DU35" s="43">
        <f t="shared" si="18"/>
        <v>138</v>
      </c>
      <c r="DV35" s="26">
        <v>120.0</v>
      </c>
      <c r="DW35" s="33">
        <v>14.45833333</v>
      </c>
      <c r="DX35" s="44">
        <f t="shared" si="20"/>
        <v>-4.3022614451185879</v>
      </c>
    </row>
    <row r="36" spans="1:128" ht="15.75" customHeight="1">
      <c r="A36" s="26">
        <v>30</v>
      </c>
      <c r="B36" s="26" t="s">
        <v>423</v>
      </c>
      <c r="C36" s="26" t="s">
        <v>424</v>
      </c>
      <c r="D36" s="27" t="s">
        <v>23</v>
      </c>
      <c r="E36" s="26">
        <v>292</v>
      </c>
      <c r="F36" s="26">
        <v>23</v>
      </c>
      <c r="G36" s="26">
        <v>27</v>
      </c>
      <c r="H36" s="26">
        <v>27</v>
      </c>
      <c r="I36" s="26">
        <v>-4</v>
      </c>
      <c r="J36" s="28">
        <v>276</v>
      </c>
      <c r="K36" s="26">
        <v>40</v>
      </c>
      <c r="L36" s="26">
        <v>40</v>
      </c>
      <c r="M36" s="26">
        <v>34</v>
      </c>
      <c r="N36" s="26">
        <v>4</v>
      </c>
      <c r="O36" s="28">
        <v>95</v>
      </c>
      <c r="P36" s="26">
        <v>31</v>
      </c>
      <c r="Q36" s="26">
        <v>35</v>
      </c>
      <c r="R36" s="26">
        <v>27</v>
      </c>
      <c r="S36" s="27">
        <v>2</v>
      </c>
      <c r="T36" s="26">
        <f t="shared" si="0"/>
        <v>663</v>
      </c>
      <c r="U36" s="26">
        <f t="shared" si="1"/>
        <v>88</v>
      </c>
      <c r="V36" s="26">
        <f t="shared" si="2"/>
        <v>102</v>
      </c>
      <c r="W36" s="26">
        <v>90</v>
      </c>
      <c r="X36" s="29">
        <f t="shared" si="3"/>
        <v>7.3666666666666663</v>
      </c>
      <c r="Y36" s="30">
        <v>277</v>
      </c>
      <c r="Z36" s="26">
        <v>23</v>
      </c>
      <c r="AA36" s="26">
        <v>25</v>
      </c>
      <c r="AB36" s="26">
        <v>25</v>
      </c>
      <c r="AC36" s="26">
        <v>-2</v>
      </c>
      <c r="AD36" s="45">
        <v>250</v>
      </c>
      <c r="AE36" s="26">
        <v>36</v>
      </c>
      <c r="AF36" s="26">
        <v>36</v>
      </c>
      <c r="AG36" s="26">
        <v>35</v>
      </c>
      <c r="AH36" s="26">
        <v>1</v>
      </c>
      <c r="AI36" s="26">
        <v>29</v>
      </c>
      <c r="AJ36" s="26">
        <v>29</v>
      </c>
      <c r="AK36" s="26">
        <v>28</v>
      </c>
      <c r="AL36" s="26">
        <v>1</v>
      </c>
      <c r="AM36" s="26">
        <f t="shared" si="4"/>
        <v>527</v>
      </c>
      <c r="AN36" s="32">
        <f t="shared" si="5"/>
        <v>88</v>
      </c>
      <c r="AO36" s="32">
        <f t="shared" si="6"/>
        <v>90</v>
      </c>
      <c r="AP36" s="32">
        <v>90</v>
      </c>
      <c r="AQ36" s="33">
        <f t="shared" si="7"/>
        <v>5.8555555555555552</v>
      </c>
      <c r="AR36" s="29">
        <f t="shared" si="8"/>
        <v>-20.512820512820511</v>
      </c>
      <c r="AS36" s="26">
        <v>36</v>
      </c>
      <c r="AT36" s="26">
        <v>36</v>
      </c>
      <c r="AU36" s="26">
        <v>36</v>
      </c>
      <c r="AV36" s="26">
        <v>0</v>
      </c>
      <c r="AW36" s="26">
        <v>42</v>
      </c>
      <c r="AX36" s="26">
        <v>42</v>
      </c>
      <c r="AY36" s="26">
        <v>40</v>
      </c>
      <c r="AZ36" s="26">
        <v>2</v>
      </c>
      <c r="BA36" s="26">
        <v>44</v>
      </c>
      <c r="BB36" s="26">
        <v>44</v>
      </c>
      <c r="BC36" s="26">
        <v>35</v>
      </c>
      <c r="BD36" s="26">
        <v>7</v>
      </c>
      <c r="BE36" s="26">
        <v>7</v>
      </c>
      <c r="BF36" s="26">
        <v>3</v>
      </c>
      <c r="BG36" s="26">
        <v>2</v>
      </c>
      <c r="BH36" s="26">
        <v>5</v>
      </c>
      <c r="BI36" s="26">
        <v>0</v>
      </c>
      <c r="BJ36" s="26">
        <v>0</v>
      </c>
      <c r="BK36" s="26"/>
      <c r="BL36" s="27"/>
      <c r="BM36" s="34">
        <v>582</v>
      </c>
      <c r="BN36" s="26">
        <v>120</v>
      </c>
      <c r="BO36" s="35">
        <f t="shared" si="9"/>
        <v>113</v>
      </c>
      <c r="BP36" s="35">
        <f t="shared" si="10"/>
        <v>125</v>
      </c>
      <c r="BQ36" s="36">
        <f t="shared" si="11"/>
        <v>4.8499999999999996</v>
      </c>
      <c r="BR36" s="37">
        <f t="shared" si="12"/>
        <v>10.436432637571158</v>
      </c>
      <c r="BS36" s="26">
        <v>36</v>
      </c>
      <c r="BT36" s="26">
        <v>36</v>
      </c>
      <c r="BU36" s="26">
        <v>36</v>
      </c>
      <c r="BV36" s="26">
        <v>0</v>
      </c>
      <c r="BW36" s="26">
        <v>42</v>
      </c>
      <c r="BX36" s="26">
        <v>42</v>
      </c>
      <c r="BY36" s="26">
        <v>39</v>
      </c>
      <c r="BZ36" s="26">
        <v>3</v>
      </c>
      <c r="CA36" s="26">
        <v>45</v>
      </c>
      <c r="CB36" s="26">
        <v>43</v>
      </c>
      <c r="CC36" s="26">
        <v>36</v>
      </c>
      <c r="CD36" s="26">
        <v>8</v>
      </c>
      <c r="CE36" s="26">
        <v>8</v>
      </c>
      <c r="CF36" s="26">
        <v>1</v>
      </c>
      <c r="CG36" s="26">
        <v>1</v>
      </c>
      <c r="CH36" s="26">
        <v>7</v>
      </c>
      <c r="CI36" s="26">
        <v>8</v>
      </c>
      <c r="CJ36" s="26">
        <v>0</v>
      </c>
      <c r="CK36" s="26">
        <v>0</v>
      </c>
      <c r="CL36" s="26">
        <v>8</v>
      </c>
      <c r="CM36" s="26"/>
      <c r="CN36" s="26"/>
      <c r="CO36" s="27">
        <v>0</v>
      </c>
      <c r="CP36" s="34">
        <v>615</v>
      </c>
      <c r="CQ36" s="26">
        <f t="shared" si="13"/>
        <v>112</v>
      </c>
      <c r="CR36" s="26">
        <f t="shared" si="14"/>
        <v>122</v>
      </c>
      <c r="CS36" s="26">
        <v>120</v>
      </c>
      <c r="CT36" s="36">
        <f t="shared" si="15"/>
        <v>5.125</v>
      </c>
      <c r="CU36" s="38">
        <f t="shared" si="16"/>
        <v>5.6701030927835054</v>
      </c>
      <c r="CV36" s="26">
        <v>36.0</v>
      </c>
      <c r="CW36" s="26">
        <v>36</v>
      </c>
      <c r="CX36" s="26">
        <v>36</v>
      </c>
      <c r="CY36" s="26">
        <v>0</v>
      </c>
      <c r="CZ36" s="26">
        <v>42.0</v>
      </c>
      <c r="DA36" s="26">
        <v>42</v>
      </c>
      <c r="DB36" s="26">
        <v>35</v>
      </c>
      <c r="DC36" s="26">
        <v>7</v>
      </c>
      <c r="DD36" s="26">
        <v>48.0</v>
      </c>
      <c r="DE36" s="26">
        <v>42</v>
      </c>
      <c r="DF36" s="26">
        <v>34</v>
      </c>
      <c r="DG36" s="26">
        <v>15</v>
      </c>
      <c r="DH36" s="26"/>
      <c r="DI36" s="39">
        <v>5</v>
      </c>
      <c r="DJ36" s="26">
        <v>1</v>
      </c>
      <c r="DK36" s="26"/>
      <c r="DL36" s="26">
        <v>22</v>
      </c>
      <c r="DM36" s="26">
        <v>2</v>
      </c>
      <c r="DN36" s="26">
        <v>1</v>
      </c>
      <c r="DO36" s="26"/>
      <c r="DP36" s="40">
        <v>0</v>
      </c>
      <c r="DQ36" s="41">
        <v>0</v>
      </c>
      <c r="DR36" s="27"/>
      <c r="DS36" s="42">
        <v>537</v>
      </c>
      <c r="DT36" s="43">
        <f t="shared" si="17"/>
        <v>107</v>
      </c>
      <c r="DU36" s="43">
        <f t="shared" si="18"/>
        <v>127</v>
      </c>
      <c r="DV36" s="26">
        <v>120.0</v>
      </c>
      <c r="DW36" s="33">
        <v>4.475</v>
      </c>
      <c r="DX36" s="44">
        <f t="shared" si="20"/>
        <v>-12.682926829268293</v>
      </c>
    </row>
    <row r="37" spans="1:128" ht="15.75" customHeight="1">
      <c r="A37" s="26">
        <v>31</v>
      </c>
      <c r="B37" s="26" t="s">
        <v>425</v>
      </c>
      <c r="C37" s="26" t="s">
        <v>426</v>
      </c>
      <c r="D37" s="27" t="s">
        <v>23</v>
      </c>
      <c r="E37" s="26">
        <v>59</v>
      </c>
      <c r="F37" s="26">
        <v>30</v>
      </c>
      <c r="G37" s="26">
        <v>28</v>
      </c>
      <c r="H37" s="26">
        <v>26</v>
      </c>
      <c r="I37" s="26">
        <v>4</v>
      </c>
      <c r="J37" s="28">
        <v>80</v>
      </c>
      <c r="K37" s="26">
        <v>58</v>
      </c>
      <c r="L37" s="26">
        <v>58</v>
      </c>
      <c r="M37" s="26">
        <v>51</v>
      </c>
      <c r="N37" s="26">
        <v>4</v>
      </c>
      <c r="O37" s="28">
        <v>14</v>
      </c>
      <c r="P37" s="26">
        <v>40</v>
      </c>
      <c r="Q37" s="26">
        <v>8</v>
      </c>
      <c r="R37" s="26">
        <v>3</v>
      </c>
      <c r="S37" s="27">
        <v>40</v>
      </c>
      <c r="T37" s="26">
        <f t="shared" si="0"/>
        <v>153</v>
      </c>
      <c r="U37" s="26">
        <f t="shared" si="1"/>
        <v>80</v>
      </c>
      <c r="V37" s="26">
        <f t="shared" si="2"/>
        <v>94</v>
      </c>
      <c r="W37" s="26">
        <v>120</v>
      </c>
      <c r="X37" s="29">
        <f t="shared" si="3"/>
        <v>1.2749999999999999</v>
      </c>
      <c r="Y37" s="30">
        <v>61</v>
      </c>
      <c r="Z37" s="26">
        <v>38</v>
      </c>
      <c r="AA37" s="26">
        <v>38</v>
      </c>
      <c r="AB37" s="26">
        <v>30</v>
      </c>
      <c r="AC37" s="26">
        <v>8</v>
      </c>
      <c r="AD37" s="45">
        <v>80</v>
      </c>
      <c r="AE37" s="26">
        <v>68</v>
      </c>
      <c r="AF37" s="26">
        <v>64</v>
      </c>
      <c r="AG37" s="26">
        <v>51</v>
      </c>
      <c r="AH37" s="26">
        <v>17</v>
      </c>
      <c r="AI37" s="26">
        <v>61</v>
      </c>
      <c r="AJ37" s="26">
        <v>6</v>
      </c>
      <c r="AK37" s="26">
        <v>2</v>
      </c>
      <c r="AL37" s="26">
        <v>59</v>
      </c>
      <c r="AM37" s="26">
        <f t="shared" si="4"/>
        <v>141</v>
      </c>
      <c r="AN37" s="32">
        <f t="shared" si="5"/>
        <v>83</v>
      </c>
      <c r="AO37" s="32">
        <f t="shared" si="6"/>
        <v>108</v>
      </c>
      <c r="AP37" s="32">
        <v>150</v>
      </c>
      <c r="AQ37" s="33">
        <f t="shared" si="7"/>
        <v>0.94</v>
      </c>
      <c r="AR37" s="29">
        <f t="shared" si="8"/>
        <v>-7.8431372549019605</v>
      </c>
      <c r="AS37" s="26">
        <v>36</v>
      </c>
      <c r="AT37" s="26">
        <v>36</v>
      </c>
      <c r="AU37" s="26">
        <v>26</v>
      </c>
      <c r="AV37" s="26">
        <v>10</v>
      </c>
      <c r="AW37" s="26">
        <v>52</v>
      </c>
      <c r="AX37" s="26">
        <v>52</v>
      </c>
      <c r="AY37" s="26">
        <v>35</v>
      </c>
      <c r="AZ37" s="26">
        <v>17</v>
      </c>
      <c r="BA37" s="26">
        <v>59</v>
      </c>
      <c r="BB37" s="26">
        <v>6</v>
      </c>
      <c r="BC37" s="26">
        <v>1</v>
      </c>
      <c r="BD37" s="26">
        <v>51</v>
      </c>
      <c r="BE37" s="26">
        <v>51</v>
      </c>
      <c r="BF37" s="26">
        <v>0</v>
      </c>
      <c r="BG37" s="26">
        <v>0</v>
      </c>
      <c r="BH37" s="26">
        <v>51</v>
      </c>
      <c r="BI37" s="26">
        <v>0</v>
      </c>
      <c r="BJ37" s="26">
        <v>0</v>
      </c>
      <c r="BK37" s="26"/>
      <c r="BL37" s="27"/>
      <c r="BM37" s="34">
        <v>145</v>
      </c>
      <c r="BN37" s="26">
        <v>120</v>
      </c>
      <c r="BO37" s="35">
        <f t="shared" si="9"/>
        <v>62</v>
      </c>
      <c r="BP37" s="35">
        <f t="shared" si="10"/>
        <v>94</v>
      </c>
      <c r="BQ37" s="36">
        <f t="shared" si="11"/>
        <v>1.2083333333333333</v>
      </c>
      <c r="BR37" s="37">
        <f t="shared" si="12"/>
        <v>2.8368794326241136</v>
      </c>
      <c r="BS37" s="26">
        <v>36</v>
      </c>
      <c r="BT37" s="26">
        <v>36</v>
      </c>
      <c r="BU37" s="26">
        <v>29</v>
      </c>
      <c r="BV37" s="26">
        <v>7</v>
      </c>
      <c r="BW37" s="26">
        <v>49</v>
      </c>
      <c r="BX37" s="26">
        <v>49</v>
      </c>
      <c r="BY37" s="26">
        <v>41</v>
      </c>
      <c r="BZ37" s="26">
        <v>8</v>
      </c>
      <c r="CA37" s="26">
        <v>50</v>
      </c>
      <c r="CB37" s="26">
        <v>3</v>
      </c>
      <c r="CC37" s="26">
        <v>0</v>
      </c>
      <c r="CD37" s="26">
        <v>50</v>
      </c>
      <c r="CE37" s="26">
        <v>50</v>
      </c>
      <c r="CF37" s="26"/>
      <c r="CG37" s="26">
        <v>0</v>
      </c>
      <c r="CH37" s="26">
        <v>50</v>
      </c>
      <c r="CI37" s="26">
        <v>50</v>
      </c>
      <c r="CJ37" s="26">
        <v>0</v>
      </c>
      <c r="CK37" s="26">
        <v>0</v>
      </c>
      <c r="CL37" s="26">
        <v>50</v>
      </c>
      <c r="CM37" s="26">
        <v>1</v>
      </c>
      <c r="CN37" s="26">
        <v>1</v>
      </c>
      <c r="CO37" s="27">
        <v>0</v>
      </c>
      <c r="CP37" s="34">
        <v>140</v>
      </c>
      <c r="CQ37" s="26">
        <f t="shared" si="13"/>
        <v>71</v>
      </c>
      <c r="CR37" s="26">
        <f t="shared" si="14"/>
        <v>89</v>
      </c>
      <c r="CS37" s="26">
        <v>120</v>
      </c>
      <c r="CT37" s="36">
        <f t="shared" si="15"/>
        <v>1.1666666666666667</v>
      </c>
      <c r="CU37" s="38">
        <f t="shared" si="16"/>
        <v>-3.4482758620689653</v>
      </c>
      <c r="CV37" s="26">
        <v>36.0</v>
      </c>
      <c r="CW37" s="26">
        <v>23</v>
      </c>
      <c r="CX37" s="26">
        <v>19</v>
      </c>
      <c r="CY37" s="26">
        <v>17</v>
      </c>
      <c r="CZ37" s="26">
        <v>59.0</v>
      </c>
      <c r="DA37" s="26">
        <v>59</v>
      </c>
      <c r="DB37" s="26">
        <v>46</v>
      </c>
      <c r="DC37" s="26">
        <v>13</v>
      </c>
      <c r="DD37" s="26">
        <v>55.0</v>
      </c>
      <c r="DE37" s="26">
        <v>6</v>
      </c>
      <c r="DF37" s="26">
        <v>2</v>
      </c>
      <c r="DG37" s="26">
        <v>53</v>
      </c>
      <c r="DH37" s="26"/>
      <c r="DI37" s="39">
        <v>0</v>
      </c>
      <c r="DJ37" s="26">
        <v>0</v>
      </c>
      <c r="DK37" s="26"/>
      <c r="DL37" s="26">
        <v>83</v>
      </c>
      <c r="DM37" s="26">
        <v>0</v>
      </c>
      <c r="DN37" s="26">
        <v>0</v>
      </c>
      <c r="DO37" s="26"/>
      <c r="DP37" s="76">
        <v>0</v>
      </c>
      <c r="DQ37" s="41">
        <v>0</v>
      </c>
      <c r="DR37" s="27"/>
      <c r="DS37" s="42">
        <v>129</v>
      </c>
      <c r="DT37" s="43">
        <f t="shared" si="17"/>
        <v>67</v>
      </c>
      <c r="DU37" s="43">
        <f t="shared" si="18"/>
        <v>88</v>
      </c>
      <c r="DV37" s="26">
        <v>120.0</v>
      </c>
      <c r="DW37" s="33">
        <v>1.075</v>
      </c>
      <c r="DX37" s="44">
        <f t="shared" si="20"/>
        <v>-7.8571428571428568</v>
      </c>
    </row>
    <row r="38" spans="1:128" ht="15.75" customHeight="1">
      <c r="A38" s="26">
        <v>32</v>
      </c>
      <c r="B38" s="26" t="s">
        <v>427</v>
      </c>
      <c r="C38" s="26" t="s">
        <v>428</v>
      </c>
      <c r="D38" s="27" t="s">
        <v>23</v>
      </c>
      <c r="E38" s="26">
        <v>75</v>
      </c>
      <c r="F38" s="26">
        <v>20</v>
      </c>
      <c r="G38" s="26">
        <v>20</v>
      </c>
      <c r="H38" s="26">
        <v>19</v>
      </c>
      <c r="I38" s="26">
        <v>1</v>
      </c>
      <c r="J38" s="28">
        <v>87</v>
      </c>
      <c r="K38" s="26">
        <v>36</v>
      </c>
      <c r="L38" s="26">
        <v>36</v>
      </c>
      <c r="M38" s="26">
        <v>33</v>
      </c>
      <c r="N38" s="26">
        <v>1</v>
      </c>
      <c r="O38" s="28">
        <v>16</v>
      </c>
      <c r="P38" s="26">
        <v>25</v>
      </c>
      <c r="Q38" s="26">
        <v>11</v>
      </c>
      <c r="R38" s="26">
        <v>3</v>
      </c>
      <c r="S38" s="27">
        <v>25</v>
      </c>
      <c r="T38" s="26">
        <f t="shared" si="0"/>
        <v>178</v>
      </c>
      <c r="U38" s="26">
        <f t="shared" si="1"/>
        <v>55</v>
      </c>
      <c r="V38" s="26">
        <f t="shared" si="2"/>
        <v>67</v>
      </c>
      <c r="W38" s="26">
        <v>80</v>
      </c>
      <c r="X38" s="29">
        <f t="shared" si="3"/>
        <v>2.2250000000000001</v>
      </c>
      <c r="Y38" s="30">
        <v>82</v>
      </c>
      <c r="Z38" s="26">
        <v>23</v>
      </c>
      <c r="AA38" s="26">
        <v>23</v>
      </c>
      <c r="AB38" s="26">
        <v>17</v>
      </c>
      <c r="AC38" s="26">
        <v>6</v>
      </c>
      <c r="AD38" s="45">
        <v>103</v>
      </c>
      <c r="AE38" s="26">
        <v>42</v>
      </c>
      <c r="AF38" s="26">
        <v>42</v>
      </c>
      <c r="AG38" s="26">
        <v>34</v>
      </c>
      <c r="AH38" s="26">
        <v>8</v>
      </c>
      <c r="AI38" s="26">
        <v>36</v>
      </c>
      <c r="AJ38" s="26">
        <v>12</v>
      </c>
      <c r="AK38" s="26">
        <v>5</v>
      </c>
      <c r="AL38" s="26">
        <v>31</v>
      </c>
      <c r="AM38" s="26">
        <f t="shared" si="4"/>
        <v>185</v>
      </c>
      <c r="AN38" s="32">
        <f t="shared" si="5"/>
        <v>56</v>
      </c>
      <c r="AO38" s="32">
        <f t="shared" si="6"/>
        <v>77</v>
      </c>
      <c r="AP38" s="32">
        <v>90</v>
      </c>
      <c r="AQ38" s="33">
        <f t="shared" si="7"/>
        <v>2.0555555555555554</v>
      </c>
      <c r="AR38" s="29">
        <f t="shared" si="8"/>
        <v>3.9325842696629212</v>
      </c>
      <c r="AS38" s="26">
        <v>36</v>
      </c>
      <c r="AT38" s="26">
        <v>36</v>
      </c>
      <c r="AU38" s="26">
        <v>33</v>
      </c>
      <c r="AV38" s="26">
        <v>3</v>
      </c>
      <c r="AW38" s="26">
        <v>45</v>
      </c>
      <c r="AX38" s="26">
        <v>45</v>
      </c>
      <c r="AY38" s="26">
        <v>41</v>
      </c>
      <c r="AZ38" s="26">
        <v>4</v>
      </c>
      <c r="BA38" s="26">
        <v>46</v>
      </c>
      <c r="BB38" s="26">
        <v>6</v>
      </c>
      <c r="BC38" s="26">
        <v>2</v>
      </c>
      <c r="BD38" s="26">
        <v>43</v>
      </c>
      <c r="BE38" s="26">
        <v>43</v>
      </c>
      <c r="BF38" s="26">
        <v>0</v>
      </c>
      <c r="BG38" s="26">
        <v>0</v>
      </c>
      <c r="BH38" s="26">
        <v>43</v>
      </c>
      <c r="BI38" s="26">
        <v>0</v>
      </c>
      <c r="BJ38" s="26">
        <v>0</v>
      </c>
      <c r="BK38" s="26"/>
      <c r="BL38" s="27"/>
      <c r="BM38" s="34">
        <v>177</v>
      </c>
      <c r="BN38" s="26">
        <v>120</v>
      </c>
      <c r="BO38" s="35">
        <f t="shared" si="9"/>
        <v>76</v>
      </c>
      <c r="BP38" s="35">
        <f t="shared" si="10"/>
        <v>87</v>
      </c>
      <c r="BQ38" s="36">
        <f t="shared" si="11"/>
        <v>1.4750000000000001</v>
      </c>
      <c r="BR38" s="37">
        <f t="shared" si="12"/>
        <v>-4.3243243243243246</v>
      </c>
      <c r="BS38" s="26">
        <v>36</v>
      </c>
      <c r="BT38" s="26">
        <v>36</v>
      </c>
      <c r="BU38" s="26">
        <v>27</v>
      </c>
      <c r="BV38" s="26">
        <v>9</v>
      </c>
      <c r="BW38" s="26">
        <v>51</v>
      </c>
      <c r="BX38" s="26">
        <v>51</v>
      </c>
      <c r="BY38" s="26">
        <v>45</v>
      </c>
      <c r="BZ38" s="26">
        <v>6</v>
      </c>
      <c r="CA38" s="26">
        <v>48</v>
      </c>
      <c r="CB38" s="26">
        <v>5</v>
      </c>
      <c r="CC38" s="26">
        <v>4</v>
      </c>
      <c r="CD38" s="26">
        <v>44</v>
      </c>
      <c r="CE38" s="26">
        <v>44</v>
      </c>
      <c r="CF38" s="26">
        <v>1</v>
      </c>
      <c r="CG38" s="26">
        <v>0</v>
      </c>
      <c r="CH38" s="26">
        <v>44</v>
      </c>
      <c r="CI38" s="26">
        <v>44</v>
      </c>
      <c r="CJ38" s="26">
        <v>1</v>
      </c>
      <c r="CK38" s="26">
        <v>0</v>
      </c>
      <c r="CL38" s="26">
        <v>44</v>
      </c>
      <c r="CM38" s="26"/>
      <c r="CN38" s="26"/>
      <c r="CO38" s="27">
        <v>0</v>
      </c>
      <c r="CP38" s="34">
        <v>167</v>
      </c>
      <c r="CQ38" s="26">
        <f t="shared" si="13"/>
        <v>76</v>
      </c>
      <c r="CR38" s="26">
        <f t="shared" si="14"/>
        <v>94</v>
      </c>
      <c r="CS38" s="26">
        <v>120</v>
      </c>
      <c r="CT38" s="36">
        <f t="shared" si="15"/>
        <v>1.3916666666666666</v>
      </c>
      <c r="CU38" s="38">
        <f t="shared" si="16"/>
        <v>-5.6497175141242941</v>
      </c>
      <c r="CV38" s="26">
        <v>36.0</v>
      </c>
      <c r="CW38" s="26">
        <v>36</v>
      </c>
      <c r="CX38" s="26">
        <v>34</v>
      </c>
      <c r="CY38" s="26">
        <v>2</v>
      </c>
      <c r="CZ38" s="26">
        <v>44.0</v>
      </c>
      <c r="DA38" s="26">
        <v>44</v>
      </c>
      <c r="DB38" s="26">
        <v>39</v>
      </c>
      <c r="DC38" s="26">
        <v>5</v>
      </c>
      <c r="DD38" s="26">
        <v>47.0</v>
      </c>
      <c r="DE38" s="26">
        <v>6</v>
      </c>
      <c r="DF38" s="26">
        <v>5</v>
      </c>
      <c r="DG38" s="26">
        <v>42</v>
      </c>
      <c r="DH38" s="26"/>
      <c r="DI38" s="39">
        <v>0</v>
      </c>
      <c r="DJ38" s="26">
        <v>0</v>
      </c>
      <c r="DK38" s="26"/>
      <c r="DL38" s="26">
        <v>49</v>
      </c>
      <c r="DM38" s="26">
        <v>0</v>
      </c>
      <c r="DN38" s="26">
        <v>0</v>
      </c>
      <c r="DO38" s="26"/>
      <c r="DP38" s="40">
        <v>0</v>
      </c>
      <c r="DQ38" s="41">
        <v>0</v>
      </c>
      <c r="DR38" s="27"/>
      <c r="DS38" s="42">
        <v>195</v>
      </c>
      <c r="DT38" s="43">
        <f t="shared" si="17"/>
        <v>78</v>
      </c>
      <c r="DU38" s="43">
        <f t="shared" si="18"/>
        <v>86</v>
      </c>
      <c r="DV38" s="26">
        <v>120.0</v>
      </c>
      <c r="DW38" s="33">
        <v>1.625</v>
      </c>
      <c r="DX38" s="44">
        <f t="shared" si="20"/>
        <v>16.766467065868262</v>
      </c>
    </row>
    <row r="39" spans="1:128" ht="15.75" customHeight="1">
      <c r="A39" s="26">
        <v>33</v>
      </c>
      <c r="B39" s="26" t="s">
        <v>429</v>
      </c>
      <c r="C39" s="26" t="s">
        <v>430</v>
      </c>
      <c r="D39" s="27" t="s">
        <v>23</v>
      </c>
      <c r="E39" s="26">
        <v>101</v>
      </c>
      <c r="F39" s="26">
        <v>20</v>
      </c>
      <c r="G39" s="26">
        <v>22</v>
      </c>
      <c r="H39" s="26">
        <v>22</v>
      </c>
      <c r="I39" s="26">
        <v>-2</v>
      </c>
      <c r="J39" s="28">
        <v>123</v>
      </c>
      <c r="K39" s="26">
        <v>36</v>
      </c>
      <c r="L39" s="26">
        <v>36</v>
      </c>
      <c r="M39" s="26">
        <v>34</v>
      </c>
      <c r="N39" s="26">
        <v>2</v>
      </c>
      <c r="O39" s="28">
        <v>17</v>
      </c>
      <c r="P39" s="26">
        <v>26</v>
      </c>
      <c r="Q39" s="26">
        <v>13</v>
      </c>
      <c r="R39" s="26">
        <v>7</v>
      </c>
      <c r="S39" s="27">
        <v>17</v>
      </c>
      <c r="T39" s="26">
        <f t="shared" si="0"/>
        <v>241</v>
      </c>
      <c r="U39" s="26">
        <f t="shared" si="1"/>
        <v>63</v>
      </c>
      <c r="V39" s="26">
        <f t="shared" si="2"/>
        <v>71</v>
      </c>
      <c r="W39" s="26">
        <v>80</v>
      </c>
      <c r="X39" s="29">
        <f t="shared" si="3"/>
        <v>3.0125000000000002</v>
      </c>
      <c r="Y39" s="30">
        <v>88</v>
      </c>
      <c r="Z39" s="26">
        <v>20</v>
      </c>
      <c r="AA39" s="26">
        <v>20</v>
      </c>
      <c r="AB39" s="26">
        <v>19</v>
      </c>
      <c r="AC39" s="26">
        <v>1</v>
      </c>
      <c r="AD39" s="45">
        <v>140</v>
      </c>
      <c r="AE39" s="26">
        <v>33</v>
      </c>
      <c r="AF39" s="26">
        <v>33</v>
      </c>
      <c r="AG39" s="26">
        <v>31</v>
      </c>
      <c r="AH39" s="26">
        <v>2</v>
      </c>
      <c r="AI39" s="26">
        <v>30</v>
      </c>
      <c r="AJ39" s="26">
        <v>14</v>
      </c>
      <c r="AK39" s="26">
        <v>9</v>
      </c>
      <c r="AL39" s="26">
        <v>21</v>
      </c>
      <c r="AM39" s="26">
        <f t="shared" si="4"/>
        <v>228</v>
      </c>
      <c r="AN39" s="32">
        <f t="shared" si="5"/>
        <v>59</v>
      </c>
      <c r="AO39" s="32">
        <f t="shared" si="6"/>
        <v>67</v>
      </c>
      <c r="AP39" s="32">
        <v>80</v>
      </c>
      <c r="AQ39" s="33">
        <f t="shared" si="7"/>
        <v>2.85</v>
      </c>
      <c r="AR39" s="29">
        <f t="shared" si="8"/>
        <v>-5.394190871369295</v>
      </c>
      <c r="AS39" s="26">
        <v>24</v>
      </c>
      <c r="AT39" s="26">
        <v>24</v>
      </c>
      <c r="AU39" s="26">
        <v>23</v>
      </c>
      <c r="AV39" s="26">
        <v>1</v>
      </c>
      <c r="AW39" s="26">
        <v>29</v>
      </c>
      <c r="AX39" s="26">
        <v>29</v>
      </c>
      <c r="AY39" s="26">
        <v>26</v>
      </c>
      <c r="AZ39" s="26">
        <v>3</v>
      </c>
      <c r="BA39" s="26">
        <v>31</v>
      </c>
      <c r="BB39" s="26">
        <v>20</v>
      </c>
      <c r="BC39" s="26">
        <v>16</v>
      </c>
      <c r="BD39" s="26">
        <v>13</v>
      </c>
      <c r="BE39" s="26">
        <v>13</v>
      </c>
      <c r="BF39" s="26">
        <v>3</v>
      </c>
      <c r="BG39" s="26">
        <v>3</v>
      </c>
      <c r="BH39" s="26">
        <v>10</v>
      </c>
      <c r="BI39" s="26">
        <v>0</v>
      </c>
      <c r="BJ39" s="26">
        <v>0</v>
      </c>
      <c r="BK39" s="26"/>
      <c r="BL39" s="27"/>
      <c r="BM39" s="34">
        <v>410</v>
      </c>
      <c r="BN39" s="26">
        <v>80</v>
      </c>
      <c r="BO39" s="35">
        <f t="shared" si="9"/>
        <v>68</v>
      </c>
      <c r="BP39" s="35">
        <f t="shared" si="10"/>
        <v>76</v>
      </c>
      <c r="BQ39" s="36">
        <f t="shared" si="11"/>
        <v>5.125</v>
      </c>
      <c r="BR39" s="37">
        <f t="shared" si="12"/>
        <v>79.824561403508781</v>
      </c>
      <c r="BS39" s="26">
        <v>24</v>
      </c>
      <c r="BT39" s="26">
        <v>24</v>
      </c>
      <c r="BU39" s="26">
        <v>24</v>
      </c>
      <c r="BV39" s="26">
        <v>0</v>
      </c>
      <c r="BW39" s="26">
        <v>28</v>
      </c>
      <c r="BX39" s="26">
        <v>28</v>
      </c>
      <c r="BY39" s="26">
        <v>28</v>
      </c>
      <c r="BZ39" s="26">
        <v>0</v>
      </c>
      <c r="CA39" s="26">
        <v>28</v>
      </c>
      <c r="CB39" s="26">
        <v>27</v>
      </c>
      <c r="CC39" s="26">
        <v>21</v>
      </c>
      <c r="CD39" s="26">
        <v>6</v>
      </c>
      <c r="CE39" s="26">
        <v>6</v>
      </c>
      <c r="CF39" s="26">
        <v>1</v>
      </c>
      <c r="CG39" s="26">
        <v>1</v>
      </c>
      <c r="CH39" s="26">
        <v>5</v>
      </c>
      <c r="CI39" s="26">
        <v>6</v>
      </c>
      <c r="CJ39" s="26">
        <v>1</v>
      </c>
      <c r="CK39" s="26">
        <v>0</v>
      </c>
      <c r="CL39" s="26">
        <v>6</v>
      </c>
      <c r="CM39" s="26"/>
      <c r="CN39" s="26"/>
      <c r="CO39" s="27">
        <v>0</v>
      </c>
      <c r="CP39" s="34">
        <v>524</v>
      </c>
      <c r="CQ39" s="26">
        <f t="shared" si="13"/>
        <v>74</v>
      </c>
      <c r="CR39" s="26">
        <f t="shared" si="14"/>
        <v>81</v>
      </c>
      <c r="CS39" s="26">
        <v>80</v>
      </c>
      <c r="CT39" s="36">
        <f t="shared" si="15"/>
        <v>6.55</v>
      </c>
      <c r="CU39" s="38">
        <f t="shared" si="16"/>
        <v>27.804878048780491</v>
      </c>
      <c r="CV39" s="26">
        <v>24.0</v>
      </c>
      <c r="CW39" s="26">
        <v>24</v>
      </c>
      <c r="CX39" s="26">
        <v>24</v>
      </c>
      <c r="CY39" s="26">
        <v>0</v>
      </c>
      <c r="CZ39" s="26">
        <v>28.0</v>
      </c>
      <c r="DA39" s="26">
        <v>28</v>
      </c>
      <c r="DB39" s="26">
        <v>24</v>
      </c>
      <c r="DC39" s="26">
        <v>4</v>
      </c>
      <c r="DD39" s="26">
        <v>30.0</v>
      </c>
      <c r="DE39" s="26">
        <v>29</v>
      </c>
      <c r="DF39" s="26">
        <v>26</v>
      </c>
      <c r="DG39" s="26">
        <v>6</v>
      </c>
      <c r="DH39" s="26"/>
      <c r="DI39" s="39">
        <v>7</v>
      </c>
      <c r="DJ39" s="26">
        <v>2</v>
      </c>
      <c r="DK39" s="26"/>
      <c r="DL39" s="26">
        <v>10</v>
      </c>
      <c r="DM39" s="26">
        <v>2</v>
      </c>
      <c r="DN39" s="26">
        <v>2</v>
      </c>
      <c r="DO39" s="26"/>
      <c r="DP39" s="40">
        <v>0</v>
      </c>
      <c r="DQ39" s="41">
        <v>0</v>
      </c>
      <c r="DR39" s="27"/>
      <c r="DS39" s="42">
        <v>470</v>
      </c>
      <c r="DT39" s="43">
        <f t="shared" si="17"/>
        <v>78</v>
      </c>
      <c r="DU39" s="43">
        <f t="shared" si="18"/>
        <v>90</v>
      </c>
      <c r="DV39" s="26">
        <v>80.0</v>
      </c>
      <c r="DW39" s="33">
        <v>5.875</v>
      </c>
      <c r="DX39" s="44">
        <f t="shared" si="20"/>
        <v>-10.305343511450381</v>
      </c>
    </row>
    <row r="40" spans="1:128" ht="15.75" customHeight="1">
      <c r="A40" s="26">
        <v>34</v>
      </c>
      <c r="B40" s="26" t="s">
        <v>431</v>
      </c>
      <c r="C40" s="26" t="s">
        <v>432</v>
      </c>
      <c r="D40" s="27" t="s">
        <v>23</v>
      </c>
      <c r="E40" s="26">
        <v>5</v>
      </c>
      <c r="F40" s="26">
        <v>13</v>
      </c>
      <c r="G40" s="26">
        <v>4</v>
      </c>
      <c r="H40" s="26">
        <v>4</v>
      </c>
      <c r="I40" s="26">
        <v>9</v>
      </c>
      <c r="J40" s="28">
        <v>13</v>
      </c>
      <c r="K40" s="26">
        <v>31</v>
      </c>
      <c r="L40" s="26">
        <v>8</v>
      </c>
      <c r="M40" s="26">
        <v>4</v>
      </c>
      <c r="N40" s="26">
        <v>26</v>
      </c>
      <c r="O40" s="28">
        <v>3</v>
      </c>
      <c r="P40" s="26">
        <v>41</v>
      </c>
      <c r="Q40" s="26">
        <v>2</v>
      </c>
      <c r="R40" s="26">
        <v>1</v>
      </c>
      <c r="S40" s="27">
        <v>41</v>
      </c>
      <c r="T40" s="26">
        <f t="shared" si="0"/>
        <v>21</v>
      </c>
      <c r="U40" s="26">
        <f t="shared" si="1"/>
        <v>9</v>
      </c>
      <c r="V40" s="26">
        <f t="shared" si="2"/>
        <v>14</v>
      </c>
      <c r="W40" s="26">
        <v>50</v>
      </c>
      <c r="X40" s="29">
        <f t="shared" si="3"/>
        <v>0.42</v>
      </c>
      <c r="Y40" s="30">
        <v>11</v>
      </c>
      <c r="Z40" s="26">
        <v>10</v>
      </c>
      <c r="AA40" s="26">
        <v>6</v>
      </c>
      <c r="AB40" s="26">
        <v>4</v>
      </c>
      <c r="AC40" s="26">
        <v>6</v>
      </c>
      <c r="AD40" s="45">
        <v>25</v>
      </c>
      <c r="AE40" s="26">
        <v>22</v>
      </c>
      <c r="AF40" s="26">
        <v>18</v>
      </c>
      <c r="AG40" s="26">
        <v>12</v>
      </c>
      <c r="AH40" s="26">
        <v>10</v>
      </c>
      <c r="AI40" s="26">
        <v>20</v>
      </c>
      <c r="AJ40" s="26">
        <v>2</v>
      </c>
      <c r="AK40" s="26">
        <v>1</v>
      </c>
      <c r="AL40" s="26">
        <v>19</v>
      </c>
      <c r="AM40" s="26">
        <f t="shared" si="4"/>
        <v>36</v>
      </c>
      <c r="AN40" s="32">
        <f t="shared" si="5"/>
        <v>17</v>
      </c>
      <c r="AO40" s="32">
        <f t="shared" si="6"/>
        <v>26</v>
      </c>
      <c r="AP40" s="32">
        <v>40</v>
      </c>
      <c r="AQ40" s="33">
        <f t="shared" si="7"/>
        <v>0.9</v>
      </c>
      <c r="AR40" s="29">
        <f t="shared" si="8"/>
        <v>71.428571428571431</v>
      </c>
      <c r="AS40" s="26">
        <v>12</v>
      </c>
      <c r="AT40" s="26">
        <v>8</v>
      </c>
      <c r="AU40" s="26">
        <v>5</v>
      </c>
      <c r="AV40" s="26">
        <v>7</v>
      </c>
      <c r="AW40" s="26">
        <v>21</v>
      </c>
      <c r="AX40" s="26">
        <v>12</v>
      </c>
      <c r="AY40" s="26">
        <v>8</v>
      </c>
      <c r="AZ40" s="26">
        <v>13</v>
      </c>
      <c r="BA40" s="26">
        <v>27</v>
      </c>
      <c r="BB40" s="26">
        <v>0</v>
      </c>
      <c r="BC40" s="26">
        <v>0</v>
      </c>
      <c r="BD40" s="26">
        <v>21</v>
      </c>
      <c r="BE40" s="26">
        <v>21</v>
      </c>
      <c r="BF40" s="26">
        <v>0</v>
      </c>
      <c r="BG40" s="26">
        <v>0</v>
      </c>
      <c r="BH40" s="26">
        <v>21</v>
      </c>
      <c r="BI40" s="26">
        <v>0</v>
      </c>
      <c r="BJ40" s="26">
        <v>0</v>
      </c>
      <c r="BK40" s="26"/>
      <c r="BL40" s="27"/>
      <c r="BM40" s="34">
        <v>41</v>
      </c>
      <c r="BN40" s="26">
        <v>40</v>
      </c>
      <c r="BO40" s="35">
        <f t="shared" si="9"/>
        <v>13</v>
      </c>
      <c r="BP40" s="35">
        <f t="shared" si="10"/>
        <v>20</v>
      </c>
      <c r="BQ40" s="36">
        <f t="shared" si="11"/>
        <v>1.0249999999999999</v>
      </c>
      <c r="BR40" s="37">
        <f t="shared" si="12"/>
        <v>13.888888888888889</v>
      </c>
      <c r="BS40" s="26">
        <v>12</v>
      </c>
      <c r="BT40" s="26">
        <v>9</v>
      </c>
      <c r="BU40" s="26">
        <v>4</v>
      </c>
      <c r="BV40" s="26">
        <v>8</v>
      </c>
      <c r="BW40" s="26">
        <v>22</v>
      </c>
      <c r="BX40" s="26">
        <v>12</v>
      </c>
      <c r="BY40" s="26">
        <v>9</v>
      </c>
      <c r="BZ40" s="26">
        <v>13</v>
      </c>
      <c r="CA40" s="26">
        <v>27</v>
      </c>
      <c r="CB40" s="26">
        <v>0</v>
      </c>
      <c r="CC40" s="26">
        <v>0</v>
      </c>
      <c r="CD40" s="26">
        <v>27</v>
      </c>
      <c r="CE40" s="26">
        <v>27</v>
      </c>
      <c r="CF40" s="26"/>
      <c r="CG40" s="26">
        <v>0</v>
      </c>
      <c r="CH40" s="26">
        <v>27</v>
      </c>
      <c r="CI40" s="26">
        <v>27</v>
      </c>
      <c r="CJ40" s="26">
        <v>0</v>
      </c>
      <c r="CK40" s="26">
        <v>0</v>
      </c>
      <c r="CL40" s="26">
        <v>27</v>
      </c>
      <c r="CM40" s="26"/>
      <c r="CN40" s="26"/>
      <c r="CO40" s="27">
        <v>0</v>
      </c>
      <c r="CP40" s="34">
        <v>30</v>
      </c>
      <c r="CQ40" s="26">
        <f t="shared" si="13"/>
        <v>13</v>
      </c>
      <c r="CR40" s="26">
        <f t="shared" si="14"/>
        <v>21</v>
      </c>
      <c r="CS40" s="26">
        <v>40</v>
      </c>
      <c r="CT40" s="36">
        <f t="shared" si="15"/>
        <v>0.75</v>
      </c>
      <c r="CU40" s="38">
        <f t="shared" si="16"/>
        <v>-26.829268292682929</v>
      </c>
      <c r="CV40" s="26">
        <v>12.0</v>
      </c>
      <c r="CW40" s="26">
        <v>5</v>
      </c>
      <c r="CX40" s="26">
        <v>3</v>
      </c>
      <c r="CY40" s="26">
        <v>9</v>
      </c>
      <c r="CZ40" s="26">
        <v>23.0</v>
      </c>
      <c r="DA40" s="26">
        <v>6</v>
      </c>
      <c r="DB40" s="26">
        <v>3</v>
      </c>
      <c r="DC40" s="26">
        <v>20</v>
      </c>
      <c r="DD40" s="26">
        <v>34.0</v>
      </c>
      <c r="DE40" s="26">
        <v>0</v>
      </c>
      <c r="DF40" s="26">
        <v>0</v>
      </c>
      <c r="DG40" s="26">
        <v>34</v>
      </c>
      <c r="DH40" s="26"/>
      <c r="DI40" s="39">
        <v>0</v>
      </c>
      <c r="DJ40" s="26">
        <v>0</v>
      </c>
      <c r="DK40" s="26"/>
      <c r="DL40" s="26">
        <v>63</v>
      </c>
      <c r="DM40" s="26">
        <v>0</v>
      </c>
      <c r="DN40" s="26">
        <v>0</v>
      </c>
      <c r="DO40" s="26"/>
      <c r="DP40" s="40">
        <v>0</v>
      </c>
      <c r="DQ40" s="41">
        <v>0</v>
      </c>
      <c r="DR40" s="27"/>
      <c r="DS40" s="42">
        <v>21</v>
      </c>
      <c r="DT40" s="43">
        <f t="shared" si="17"/>
        <v>6</v>
      </c>
      <c r="DU40" s="43">
        <f t="shared" si="18"/>
        <v>11</v>
      </c>
      <c r="DV40" s="26">
        <v>40.0</v>
      </c>
      <c r="DW40" s="33">
        <v>0.525</v>
      </c>
      <c r="DX40" s="44">
        <f t="shared" si="20"/>
        <v>-30</v>
      </c>
    </row>
    <row r="41" spans="1:128" ht="15.75" customHeight="1">
      <c r="A41" s="26">
        <v>35</v>
      </c>
      <c r="B41" s="26" t="s">
        <v>433</v>
      </c>
      <c r="C41" s="26" t="s">
        <v>434</v>
      </c>
      <c r="D41" s="27" t="s">
        <v>23</v>
      </c>
      <c r="E41" s="26">
        <v>1</v>
      </c>
      <c r="F41" s="26">
        <v>10</v>
      </c>
      <c r="G41" s="26">
        <v>1</v>
      </c>
      <c r="H41" s="26">
        <v>1</v>
      </c>
      <c r="I41" s="26">
        <v>9</v>
      </c>
      <c r="J41" s="28">
        <v>10</v>
      </c>
      <c r="K41" s="26">
        <v>27</v>
      </c>
      <c r="L41" s="26">
        <v>4</v>
      </c>
      <c r="M41" s="26">
        <v>0</v>
      </c>
      <c r="N41" s="26">
        <v>27</v>
      </c>
      <c r="O41" s="28">
        <v>2</v>
      </c>
      <c r="P41" s="26">
        <v>39</v>
      </c>
      <c r="Q41" s="26">
        <v>1</v>
      </c>
      <c r="R41" s="26">
        <v>1</v>
      </c>
      <c r="S41" s="27">
        <v>38</v>
      </c>
      <c r="T41" s="26">
        <f t="shared" si="0"/>
        <v>13</v>
      </c>
      <c r="U41" s="26">
        <f t="shared" si="1"/>
        <v>2</v>
      </c>
      <c r="V41" s="26">
        <f t="shared" si="2"/>
        <v>6</v>
      </c>
      <c r="W41" s="26">
        <v>40</v>
      </c>
      <c r="X41" s="29">
        <f t="shared" si="3"/>
        <v>0.32500000000000001</v>
      </c>
      <c r="Y41" s="30">
        <v>16</v>
      </c>
      <c r="Z41" s="26">
        <v>13</v>
      </c>
      <c r="AA41" s="26">
        <v>10</v>
      </c>
      <c r="AB41" s="26">
        <v>9</v>
      </c>
      <c r="AC41" s="26">
        <v>4</v>
      </c>
      <c r="AD41" s="45">
        <v>7</v>
      </c>
      <c r="AE41" s="26">
        <v>24</v>
      </c>
      <c r="AF41" s="26">
        <v>5</v>
      </c>
      <c r="AG41" s="26">
        <v>4</v>
      </c>
      <c r="AH41" s="26">
        <v>20</v>
      </c>
      <c r="AI41" s="26">
        <v>25</v>
      </c>
      <c r="AJ41" s="26">
        <v>0</v>
      </c>
      <c r="AK41" s="26">
        <v>0</v>
      </c>
      <c r="AL41" s="26">
        <v>25</v>
      </c>
      <c r="AM41" s="26">
        <f t="shared" si="4"/>
        <v>23</v>
      </c>
      <c r="AN41" s="32">
        <f t="shared" si="5"/>
        <v>13</v>
      </c>
      <c r="AO41" s="32">
        <f t="shared" si="6"/>
        <v>15</v>
      </c>
      <c r="AP41" s="32">
        <v>50</v>
      </c>
      <c r="AQ41" s="33">
        <f t="shared" si="7"/>
        <v>0.46</v>
      </c>
      <c r="AR41" s="29">
        <f t="shared" si="8"/>
        <v>76.923076923076934</v>
      </c>
      <c r="AS41" s="26">
        <v>12</v>
      </c>
      <c r="AT41" s="26">
        <v>7</v>
      </c>
      <c r="AU41" s="26">
        <v>2</v>
      </c>
      <c r="AV41" s="26">
        <v>10</v>
      </c>
      <c r="AW41" s="26">
        <v>24</v>
      </c>
      <c r="AX41" s="26">
        <v>11</v>
      </c>
      <c r="AY41" s="26">
        <v>8</v>
      </c>
      <c r="AZ41" s="26">
        <v>16</v>
      </c>
      <c r="BA41" s="26">
        <v>30</v>
      </c>
      <c r="BB41" s="26">
        <v>1</v>
      </c>
      <c r="BC41" s="26">
        <v>0</v>
      </c>
      <c r="BD41" s="26">
        <v>24</v>
      </c>
      <c r="BE41" s="26">
        <v>24</v>
      </c>
      <c r="BF41" s="26">
        <v>0</v>
      </c>
      <c r="BG41" s="26">
        <v>0</v>
      </c>
      <c r="BH41" s="26">
        <v>24</v>
      </c>
      <c r="BI41" s="26">
        <v>0</v>
      </c>
      <c r="BJ41" s="26">
        <v>0</v>
      </c>
      <c r="BK41" s="26"/>
      <c r="BL41" s="27"/>
      <c r="BM41" s="34">
        <v>34</v>
      </c>
      <c r="BN41" s="26">
        <v>40</v>
      </c>
      <c r="BO41" s="35">
        <f t="shared" si="9"/>
        <v>10</v>
      </c>
      <c r="BP41" s="35">
        <f t="shared" si="10"/>
        <v>19</v>
      </c>
      <c r="BQ41" s="36">
        <f t="shared" si="11"/>
        <v>0.85</v>
      </c>
      <c r="BR41" s="37">
        <f t="shared" si="12"/>
        <v>47.826086956521742</v>
      </c>
      <c r="BS41" s="26">
        <v>12</v>
      </c>
      <c r="BT41" s="26">
        <v>6</v>
      </c>
      <c r="BU41" s="26">
        <v>5</v>
      </c>
      <c r="BV41" s="26">
        <v>7</v>
      </c>
      <c r="BW41" s="26">
        <v>21</v>
      </c>
      <c r="BX41" s="26">
        <v>7</v>
      </c>
      <c r="BY41" s="26">
        <v>6</v>
      </c>
      <c r="BZ41" s="26">
        <v>15</v>
      </c>
      <c r="CA41" s="26">
        <v>29</v>
      </c>
      <c r="CB41" s="26">
        <v>0</v>
      </c>
      <c r="CC41" s="26">
        <v>0</v>
      </c>
      <c r="CD41" s="26">
        <v>29</v>
      </c>
      <c r="CE41" s="26">
        <v>29</v>
      </c>
      <c r="CF41" s="26"/>
      <c r="CG41" s="26">
        <v>0</v>
      </c>
      <c r="CH41" s="26">
        <v>29</v>
      </c>
      <c r="CI41" s="26">
        <v>29</v>
      </c>
      <c r="CJ41" s="26">
        <v>0</v>
      </c>
      <c r="CK41" s="26">
        <v>0</v>
      </c>
      <c r="CL41" s="26">
        <v>29</v>
      </c>
      <c r="CM41" s="26"/>
      <c r="CN41" s="26"/>
      <c r="CO41" s="27">
        <v>0</v>
      </c>
      <c r="CP41" s="34">
        <v>21</v>
      </c>
      <c r="CQ41" s="26">
        <f t="shared" si="13"/>
        <v>11</v>
      </c>
      <c r="CR41" s="26">
        <f t="shared" si="14"/>
        <v>13</v>
      </c>
      <c r="CS41" s="26">
        <v>40</v>
      </c>
      <c r="CT41" s="36">
        <f t="shared" si="15"/>
        <v>0.52500000000000002</v>
      </c>
      <c r="CU41" s="38">
        <f t="shared" si="16"/>
        <v>-38.235294117647058</v>
      </c>
      <c r="CV41" s="26">
        <v>12.0</v>
      </c>
      <c r="CW41" s="26">
        <v>9</v>
      </c>
      <c r="CX41" s="26">
        <v>9</v>
      </c>
      <c r="CY41" s="26">
        <v>3</v>
      </c>
      <c r="CZ41" s="26">
        <v>17.0</v>
      </c>
      <c r="DA41" s="26">
        <v>8</v>
      </c>
      <c r="DB41" s="26">
        <v>4</v>
      </c>
      <c r="DC41" s="26">
        <v>13</v>
      </c>
      <c r="DD41" s="26">
        <v>27.0</v>
      </c>
      <c r="DE41" s="26">
        <v>0</v>
      </c>
      <c r="DF41" s="26">
        <v>0</v>
      </c>
      <c r="DG41" s="26">
        <v>27</v>
      </c>
      <c r="DH41" s="26"/>
      <c r="DI41" s="39">
        <v>0</v>
      </c>
      <c r="DJ41" s="26">
        <v>0</v>
      </c>
      <c r="DK41" s="26"/>
      <c r="DL41" s="26">
        <v>43</v>
      </c>
      <c r="DM41" s="26">
        <v>0</v>
      </c>
      <c r="DN41" s="26">
        <v>0</v>
      </c>
      <c r="DO41" s="26"/>
      <c r="DP41" s="40">
        <v>0</v>
      </c>
      <c r="DQ41" s="41">
        <v>0</v>
      </c>
      <c r="DR41" s="27"/>
      <c r="DS41" s="42">
        <v>24</v>
      </c>
      <c r="DT41" s="43">
        <f t="shared" si="17"/>
        <v>13</v>
      </c>
      <c r="DU41" s="43">
        <f t="shared" si="18"/>
        <v>17</v>
      </c>
      <c r="DV41" s="26">
        <v>40.0</v>
      </c>
      <c r="DW41" s="33">
        <v>0.6</v>
      </c>
      <c r="DX41" s="44">
        <f t="shared" si="20"/>
        <v>14.285714285714285</v>
      </c>
    </row>
    <row r="42" spans="1:128" ht="15.75" customHeight="1">
      <c r="A42" s="26">
        <v>36</v>
      </c>
      <c r="B42" s="26" t="s">
        <v>435</v>
      </c>
      <c r="C42" s="26" t="s">
        <v>436</v>
      </c>
      <c r="D42" s="27" t="s">
        <v>23</v>
      </c>
      <c r="E42" s="26">
        <v>13</v>
      </c>
      <c r="F42" s="26">
        <v>13</v>
      </c>
      <c r="G42" s="26">
        <v>9</v>
      </c>
      <c r="H42" s="26">
        <v>6</v>
      </c>
      <c r="I42" s="26">
        <v>7</v>
      </c>
      <c r="J42" s="28">
        <v>23</v>
      </c>
      <c r="K42" s="26">
        <v>29</v>
      </c>
      <c r="L42" s="26">
        <v>17</v>
      </c>
      <c r="M42" s="26">
        <v>9</v>
      </c>
      <c r="N42" s="26">
        <v>19</v>
      </c>
      <c r="O42" s="28">
        <v>1</v>
      </c>
      <c r="P42" s="26">
        <v>34</v>
      </c>
      <c r="Q42" s="26">
        <v>1</v>
      </c>
      <c r="R42" s="26">
        <v>0</v>
      </c>
      <c r="S42" s="27">
        <v>35</v>
      </c>
      <c r="T42" s="26">
        <f t="shared" si="0"/>
        <v>37</v>
      </c>
      <c r="U42" s="26">
        <f t="shared" si="1"/>
        <v>15</v>
      </c>
      <c r="V42" s="26">
        <f t="shared" si="2"/>
        <v>27</v>
      </c>
      <c r="W42" s="26">
        <v>50</v>
      </c>
      <c r="X42" s="29">
        <f t="shared" si="3"/>
        <v>0.74</v>
      </c>
      <c r="Y42" s="30">
        <v>27</v>
      </c>
      <c r="Z42" s="26">
        <v>13</v>
      </c>
      <c r="AA42" s="26">
        <v>20</v>
      </c>
      <c r="AB42" s="26">
        <v>7</v>
      </c>
      <c r="AC42" s="26">
        <v>6</v>
      </c>
      <c r="AD42" s="45">
        <v>28</v>
      </c>
      <c r="AE42" s="26">
        <v>26</v>
      </c>
      <c r="AF42" s="26">
        <v>19</v>
      </c>
      <c r="AG42" s="26">
        <v>11</v>
      </c>
      <c r="AH42" s="26">
        <v>15</v>
      </c>
      <c r="AI42" s="26">
        <v>25</v>
      </c>
      <c r="AJ42" s="26">
        <v>0</v>
      </c>
      <c r="AK42" s="26">
        <v>0</v>
      </c>
      <c r="AL42" s="26">
        <v>25</v>
      </c>
      <c r="AM42" s="26">
        <f t="shared" si="4"/>
        <v>55</v>
      </c>
      <c r="AN42" s="32">
        <f t="shared" si="5"/>
        <v>18</v>
      </c>
      <c r="AO42" s="32">
        <f t="shared" si="6"/>
        <v>39</v>
      </c>
      <c r="AP42" s="32">
        <v>50</v>
      </c>
      <c r="AQ42" s="33">
        <f t="shared" si="7"/>
        <v>1.1000000000000001</v>
      </c>
      <c r="AR42" s="29">
        <f t="shared" si="8"/>
        <v>48.648648648648653</v>
      </c>
      <c r="AS42" s="26">
        <v>18</v>
      </c>
      <c r="AT42" s="26">
        <v>10</v>
      </c>
      <c r="AU42" s="26">
        <v>4</v>
      </c>
      <c r="AV42" s="26">
        <v>14</v>
      </c>
      <c r="AW42" s="26">
        <v>35</v>
      </c>
      <c r="AX42" s="26">
        <v>6</v>
      </c>
      <c r="AY42" s="26">
        <v>5</v>
      </c>
      <c r="AZ42" s="26">
        <v>30</v>
      </c>
      <c r="BA42" s="26">
        <v>51</v>
      </c>
      <c r="BB42" s="26">
        <v>1</v>
      </c>
      <c r="BC42" s="26">
        <v>0</v>
      </c>
      <c r="BD42" s="26">
        <v>35</v>
      </c>
      <c r="BE42" s="26">
        <v>35</v>
      </c>
      <c r="BF42" s="26">
        <v>0</v>
      </c>
      <c r="BG42" s="26">
        <v>0</v>
      </c>
      <c r="BH42" s="26">
        <v>35</v>
      </c>
      <c r="BI42" s="26">
        <v>0</v>
      </c>
      <c r="BJ42" s="26">
        <v>0</v>
      </c>
      <c r="BK42" s="26"/>
      <c r="BL42" s="27"/>
      <c r="BM42" s="34">
        <v>32</v>
      </c>
      <c r="BN42" s="26">
        <v>60</v>
      </c>
      <c r="BO42" s="35">
        <f t="shared" si="9"/>
        <v>9</v>
      </c>
      <c r="BP42" s="35">
        <f t="shared" si="10"/>
        <v>17</v>
      </c>
      <c r="BQ42" s="36">
        <f t="shared" si="11"/>
        <v>0.53333333333333333</v>
      </c>
      <c r="BR42" s="37">
        <f t="shared" si="12"/>
        <v>-41.818181818181813</v>
      </c>
      <c r="BS42" s="26">
        <v>18</v>
      </c>
      <c r="BT42" s="26">
        <v>8</v>
      </c>
      <c r="BU42" s="26">
        <v>3</v>
      </c>
      <c r="BV42" s="26">
        <v>15</v>
      </c>
      <c r="BW42" s="26">
        <v>36</v>
      </c>
      <c r="BX42" s="26">
        <v>11</v>
      </c>
      <c r="BY42" s="26">
        <v>5</v>
      </c>
      <c r="BZ42" s="26">
        <v>31</v>
      </c>
      <c r="CA42" s="26">
        <v>52</v>
      </c>
      <c r="CB42" s="26">
        <v>1</v>
      </c>
      <c r="CC42" s="26">
        <v>0</v>
      </c>
      <c r="CD42" s="26">
        <v>52</v>
      </c>
      <c r="CE42" s="26">
        <v>52</v>
      </c>
      <c r="CF42" s="26"/>
      <c r="CG42" s="26">
        <v>0</v>
      </c>
      <c r="CH42" s="26">
        <v>52</v>
      </c>
      <c r="CI42" s="26">
        <v>52</v>
      </c>
      <c r="CJ42" s="26">
        <v>0</v>
      </c>
      <c r="CK42" s="26">
        <v>0</v>
      </c>
      <c r="CL42" s="26">
        <v>52</v>
      </c>
      <c r="CM42" s="26"/>
      <c r="CN42" s="26"/>
      <c r="CO42" s="27">
        <v>0</v>
      </c>
      <c r="CP42" s="34">
        <v>39</v>
      </c>
      <c r="CQ42" s="26">
        <f t="shared" si="13"/>
        <v>8</v>
      </c>
      <c r="CR42" s="26">
        <f t="shared" si="14"/>
        <v>20</v>
      </c>
      <c r="CS42" s="26">
        <v>60</v>
      </c>
      <c r="CT42" s="36">
        <f t="shared" si="15"/>
        <v>0.65</v>
      </c>
      <c r="CU42" s="38">
        <f t="shared" si="16"/>
        <v>21.875</v>
      </c>
      <c r="CV42" s="26">
        <v>18.0</v>
      </c>
      <c r="CW42" s="26">
        <v>6</v>
      </c>
      <c r="CX42" s="26">
        <v>3</v>
      </c>
      <c r="CY42" s="26">
        <v>15</v>
      </c>
      <c r="CZ42" s="26">
        <v>36.0</v>
      </c>
      <c r="DA42" s="26">
        <v>11</v>
      </c>
      <c r="DB42" s="26">
        <v>6</v>
      </c>
      <c r="DC42" s="26">
        <v>30</v>
      </c>
      <c r="DD42" s="26">
        <v>51.0</v>
      </c>
      <c r="DE42" s="26">
        <v>1</v>
      </c>
      <c r="DF42" s="26">
        <v>0</v>
      </c>
      <c r="DG42" s="26">
        <v>51</v>
      </c>
      <c r="DH42" s="26"/>
      <c r="DI42" s="39">
        <v>0</v>
      </c>
      <c r="DJ42" s="26">
        <v>0</v>
      </c>
      <c r="DK42" s="26"/>
      <c r="DL42" s="26">
        <v>96</v>
      </c>
      <c r="DM42" s="26">
        <v>0</v>
      </c>
      <c r="DN42" s="26">
        <v>0</v>
      </c>
      <c r="DO42" s="26"/>
      <c r="DP42" s="40">
        <v>0</v>
      </c>
      <c r="DQ42" s="41">
        <v>0</v>
      </c>
      <c r="DR42" s="27"/>
      <c r="DS42" s="42">
        <v>28</v>
      </c>
      <c r="DT42" s="43">
        <f t="shared" si="17"/>
        <v>9</v>
      </c>
      <c r="DU42" s="43">
        <f t="shared" si="18"/>
        <v>18</v>
      </c>
      <c r="DV42" s="26">
        <v>60.0</v>
      </c>
      <c r="DW42" s="33">
        <v>0.4666666667</v>
      </c>
      <c r="DX42" s="44">
        <f t="shared" si="20"/>
        <v>-28.205128205128204</v>
      </c>
    </row>
    <row r="43" spans="1:128" ht="15.75" customHeight="1">
      <c r="A43" s="26">
        <v>37</v>
      </c>
      <c r="B43" s="26" t="s">
        <v>437</v>
      </c>
      <c r="C43" s="26" t="s">
        <v>438</v>
      </c>
      <c r="D43" s="27" t="s">
        <v>23</v>
      </c>
      <c r="E43" s="26">
        <v>53</v>
      </c>
      <c r="F43" s="26">
        <v>20</v>
      </c>
      <c r="G43" s="26">
        <v>22</v>
      </c>
      <c r="H43" s="26">
        <v>19</v>
      </c>
      <c r="I43" s="26">
        <v>1</v>
      </c>
      <c r="J43" s="28">
        <v>54</v>
      </c>
      <c r="K43" s="26">
        <v>36</v>
      </c>
      <c r="L43" s="26">
        <v>36</v>
      </c>
      <c r="M43" s="26">
        <v>33</v>
      </c>
      <c r="N43" s="26">
        <v>2</v>
      </c>
      <c r="O43" s="28">
        <v>2</v>
      </c>
      <c r="P43" s="26">
        <v>26</v>
      </c>
      <c r="Q43" s="26">
        <v>2</v>
      </c>
      <c r="R43" s="26">
        <v>2</v>
      </c>
      <c r="S43" s="27">
        <v>26</v>
      </c>
      <c r="T43" s="26">
        <f t="shared" si="0"/>
        <v>109</v>
      </c>
      <c r="U43" s="26">
        <f t="shared" si="1"/>
        <v>54</v>
      </c>
      <c r="V43" s="26">
        <f t="shared" si="2"/>
        <v>60</v>
      </c>
      <c r="W43" s="26">
        <v>80</v>
      </c>
      <c r="X43" s="29">
        <f t="shared" si="3"/>
        <v>1.3625</v>
      </c>
      <c r="Y43" s="30">
        <v>41</v>
      </c>
      <c r="Z43" s="26">
        <v>15</v>
      </c>
      <c r="AA43" s="26">
        <v>15</v>
      </c>
      <c r="AB43" s="26">
        <v>8</v>
      </c>
      <c r="AC43" s="26">
        <v>7</v>
      </c>
      <c r="AD43" s="45">
        <v>61</v>
      </c>
      <c r="AE43" s="26">
        <v>31</v>
      </c>
      <c r="AF43" s="26">
        <v>31</v>
      </c>
      <c r="AG43" s="26">
        <v>28</v>
      </c>
      <c r="AH43" s="26">
        <v>3</v>
      </c>
      <c r="AI43" s="26">
        <v>22</v>
      </c>
      <c r="AJ43" s="26">
        <v>2</v>
      </c>
      <c r="AK43" s="26">
        <v>1</v>
      </c>
      <c r="AL43" s="26">
        <v>21</v>
      </c>
      <c r="AM43" s="26">
        <f t="shared" si="4"/>
        <v>102</v>
      </c>
      <c r="AN43" s="32">
        <f t="shared" si="5"/>
        <v>37</v>
      </c>
      <c r="AO43" s="32">
        <f t="shared" si="6"/>
        <v>48</v>
      </c>
      <c r="AP43" s="32">
        <v>60</v>
      </c>
      <c r="AQ43" s="33">
        <f t="shared" si="7"/>
        <v>1.7</v>
      </c>
      <c r="AR43" s="29">
        <f t="shared" si="8"/>
        <v>-6.4220183486238538</v>
      </c>
      <c r="AS43" s="26">
        <v>24</v>
      </c>
      <c r="AT43" s="26">
        <v>24</v>
      </c>
      <c r="AU43" s="26">
        <v>21</v>
      </c>
      <c r="AV43" s="26">
        <v>3</v>
      </c>
      <c r="AW43" s="26">
        <v>31</v>
      </c>
      <c r="AX43" s="26">
        <v>26</v>
      </c>
      <c r="AY43" s="26">
        <v>17</v>
      </c>
      <c r="AZ43" s="26">
        <v>14</v>
      </c>
      <c r="BA43" s="26">
        <v>42</v>
      </c>
      <c r="BB43" s="26">
        <v>2</v>
      </c>
      <c r="BC43" s="26">
        <v>2</v>
      </c>
      <c r="BD43" s="26">
        <v>29</v>
      </c>
      <c r="BE43" s="26">
        <v>29</v>
      </c>
      <c r="BF43" s="26">
        <v>0</v>
      </c>
      <c r="BG43" s="26">
        <v>0</v>
      </c>
      <c r="BH43" s="26">
        <v>29</v>
      </c>
      <c r="BI43" s="26">
        <v>0</v>
      </c>
      <c r="BJ43" s="26">
        <v>0</v>
      </c>
      <c r="BK43" s="26"/>
      <c r="BL43" s="27"/>
      <c r="BM43" s="34">
        <v>89</v>
      </c>
      <c r="BN43" s="26">
        <v>80</v>
      </c>
      <c r="BO43" s="35">
        <f t="shared" si="9"/>
        <v>40</v>
      </c>
      <c r="BP43" s="35">
        <f t="shared" si="10"/>
        <v>52</v>
      </c>
      <c r="BQ43" s="36">
        <f t="shared" si="11"/>
        <v>1.1125</v>
      </c>
      <c r="BR43" s="37">
        <f t="shared" si="12"/>
        <v>-12.745098039215685</v>
      </c>
      <c r="BS43" s="26">
        <v>24</v>
      </c>
      <c r="BT43" s="26">
        <v>24</v>
      </c>
      <c r="BU43" s="26">
        <v>19</v>
      </c>
      <c r="BV43" s="26">
        <v>5</v>
      </c>
      <c r="BW43" s="26">
        <v>33</v>
      </c>
      <c r="BX43" s="26">
        <v>33</v>
      </c>
      <c r="BY43" s="26">
        <v>29</v>
      </c>
      <c r="BZ43" s="26">
        <v>4</v>
      </c>
      <c r="CA43" s="26">
        <v>32</v>
      </c>
      <c r="CB43" s="26">
        <v>1</v>
      </c>
      <c r="CC43" s="26">
        <v>0</v>
      </c>
      <c r="CD43" s="26">
        <v>32</v>
      </c>
      <c r="CE43" s="26">
        <v>32</v>
      </c>
      <c r="CF43" s="26"/>
      <c r="CG43" s="26">
        <v>0</v>
      </c>
      <c r="CH43" s="26">
        <v>32</v>
      </c>
      <c r="CI43" s="26">
        <v>32</v>
      </c>
      <c r="CJ43" s="26">
        <v>0</v>
      </c>
      <c r="CK43" s="26">
        <v>0</v>
      </c>
      <c r="CL43" s="26">
        <v>32</v>
      </c>
      <c r="CM43" s="26"/>
      <c r="CN43" s="26"/>
      <c r="CO43" s="27">
        <v>0</v>
      </c>
      <c r="CP43" s="34">
        <v>123</v>
      </c>
      <c r="CQ43" s="26">
        <f t="shared" si="13"/>
        <v>48</v>
      </c>
      <c r="CR43" s="26">
        <f t="shared" si="14"/>
        <v>58</v>
      </c>
      <c r="CS43" s="26">
        <v>80</v>
      </c>
      <c r="CT43" s="36">
        <f t="shared" si="15"/>
        <v>1.5375000000000001</v>
      </c>
      <c r="CU43" s="38">
        <f t="shared" si="16"/>
        <v>38.202247191011232</v>
      </c>
      <c r="CV43" s="26">
        <v>24.0</v>
      </c>
      <c r="CW43" s="26">
        <v>22</v>
      </c>
      <c r="CX43" s="26">
        <v>22</v>
      </c>
      <c r="CY43" s="26">
        <v>2</v>
      </c>
      <c r="CZ43" s="26">
        <v>30.0</v>
      </c>
      <c r="DA43" s="26">
        <v>30</v>
      </c>
      <c r="DB43" s="26">
        <v>27</v>
      </c>
      <c r="DC43" s="26">
        <v>3</v>
      </c>
      <c r="DD43" s="26">
        <v>31.0</v>
      </c>
      <c r="DE43" s="26">
        <v>1</v>
      </c>
      <c r="DF43" s="26">
        <v>0</v>
      </c>
      <c r="DG43" s="26">
        <v>31</v>
      </c>
      <c r="DH43" s="26"/>
      <c r="DI43" s="39">
        <v>0</v>
      </c>
      <c r="DJ43" s="26">
        <v>0</v>
      </c>
      <c r="DK43" s="26"/>
      <c r="DL43" s="26">
        <v>36</v>
      </c>
      <c r="DM43" s="26">
        <v>0</v>
      </c>
      <c r="DN43" s="26">
        <v>0</v>
      </c>
      <c r="DO43" s="26"/>
      <c r="DP43" s="40">
        <v>0</v>
      </c>
      <c r="DQ43" s="41">
        <v>0</v>
      </c>
      <c r="DR43" s="27"/>
      <c r="DS43" s="42">
        <v>105</v>
      </c>
      <c r="DT43" s="43">
        <f t="shared" si="17"/>
        <v>49</v>
      </c>
      <c r="DU43" s="43">
        <f t="shared" si="18"/>
        <v>53</v>
      </c>
      <c r="DV43" s="26">
        <v>80.0</v>
      </c>
      <c r="DW43" s="33">
        <v>1.3125</v>
      </c>
      <c r="DX43" s="44">
        <f t="shared" si="20"/>
        <v>-14.634146341463413</v>
      </c>
    </row>
    <row r="44" spans="1:128" ht="15.75" customHeight="1">
      <c r="A44" s="26">
        <v>38</v>
      </c>
      <c r="B44" s="26" t="s">
        <v>439</v>
      </c>
      <c r="C44" s="26" t="s">
        <v>440</v>
      </c>
      <c r="D44" s="27" t="s">
        <v>23</v>
      </c>
      <c r="E44" s="26">
        <v>250</v>
      </c>
      <c r="F44" s="26">
        <v>15</v>
      </c>
      <c r="G44" s="26">
        <v>15</v>
      </c>
      <c r="H44" s="26">
        <v>15</v>
      </c>
      <c r="I44" s="26">
        <v>0</v>
      </c>
      <c r="J44" s="28">
        <v>339</v>
      </c>
      <c r="K44" s="26">
        <v>27</v>
      </c>
      <c r="L44" s="26">
        <v>27</v>
      </c>
      <c r="M44" s="26">
        <v>24</v>
      </c>
      <c r="N44" s="26">
        <v>2</v>
      </c>
      <c r="O44" s="28">
        <v>48</v>
      </c>
      <c r="P44" s="26">
        <v>20</v>
      </c>
      <c r="Q44" s="26">
        <v>19</v>
      </c>
      <c r="R44" s="26">
        <v>15</v>
      </c>
      <c r="S44" s="27">
        <v>6</v>
      </c>
      <c r="T44" s="26">
        <f t="shared" si="0"/>
        <v>637</v>
      </c>
      <c r="U44" s="26">
        <f t="shared" si="1"/>
        <v>54</v>
      </c>
      <c r="V44" s="26">
        <f t="shared" si="2"/>
        <v>61</v>
      </c>
      <c r="W44" s="26">
        <v>60</v>
      </c>
      <c r="X44" s="29">
        <f t="shared" si="3"/>
        <v>10.616666666666667</v>
      </c>
      <c r="Y44" s="30">
        <v>230</v>
      </c>
      <c r="Z44" s="26">
        <v>23</v>
      </c>
      <c r="AA44" s="26">
        <v>23</v>
      </c>
      <c r="AB44" s="26">
        <v>22</v>
      </c>
      <c r="AC44" s="26">
        <v>1</v>
      </c>
      <c r="AD44" s="45">
        <v>340</v>
      </c>
      <c r="AE44" s="26">
        <v>37</v>
      </c>
      <c r="AF44" s="26">
        <v>37</v>
      </c>
      <c r="AG44" s="26">
        <v>34</v>
      </c>
      <c r="AH44" s="26">
        <v>3</v>
      </c>
      <c r="AI44" s="26">
        <v>34</v>
      </c>
      <c r="AJ44" s="26">
        <v>29</v>
      </c>
      <c r="AK44" s="26">
        <v>16</v>
      </c>
      <c r="AL44" s="26">
        <v>18</v>
      </c>
      <c r="AM44" s="26">
        <f t="shared" si="4"/>
        <v>570</v>
      </c>
      <c r="AN44" s="32">
        <f t="shared" si="5"/>
        <v>72</v>
      </c>
      <c r="AO44" s="32">
        <f t="shared" si="6"/>
        <v>89</v>
      </c>
      <c r="AP44" s="32">
        <v>90</v>
      </c>
      <c r="AQ44" s="33">
        <f t="shared" si="7"/>
        <v>6.333333333333333</v>
      </c>
      <c r="AR44" s="29">
        <f t="shared" si="8"/>
        <v>-10.518053375196232</v>
      </c>
      <c r="AS44" s="26">
        <v>36</v>
      </c>
      <c r="AT44" s="26">
        <v>36</v>
      </c>
      <c r="AU44" s="26">
        <v>35</v>
      </c>
      <c r="AV44" s="26">
        <v>1</v>
      </c>
      <c r="AW44" s="26">
        <v>43</v>
      </c>
      <c r="AX44" s="26">
        <v>43</v>
      </c>
      <c r="AY44" s="26">
        <v>40</v>
      </c>
      <c r="AZ44" s="26">
        <v>3</v>
      </c>
      <c r="BA44" s="26">
        <v>45</v>
      </c>
      <c r="BB44" s="26">
        <v>33</v>
      </c>
      <c r="BC44" s="26">
        <v>18</v>
      </c>
      <c r="BD44" s="26">
        <v>25</v>
      </c>
      <c r="BE44" s="26">
        <v>25</v>
      </c>
      <c r="BF44" s="26">
        <v>5</v>
      </c>
      <c r="BG44" s="26">
        <v>5</v>
      </c>
      <c r="BH44" s="26">
        <v>20</v>
      </c>
      <c r="BI44" s="26">
        <v>1</v>
      </c>
      <c r="BJ44" s="26">
        <v>0</v>
      </c>
      <c r="BK44" s="26"/>
      <c r="BL44" s="27"/>
      <c r="BM44" s="34">
        <v>626</v>
      </c>
      <c r="BN44" s="26">
        <v>120</v>
      </c>
      <c r="BO44" s="35">
        <f t="shared" si="9"/>
        <v>98</v>
      </c>
      <c r="BP44" s="35">
        <f t="shared" si="10"/>
        <v>118</v>
      </c>
      <c r="BQ44" s="36">
        <f t="shared" si="11"/>
        <v>5.2166666666666668</v>
      </c>
      <c r="BR44" s="37">
        <f t="shared" si="12"/>
        <v>9.8245614035087723</v>
      </c>
      <c r="BS44" s="26">
        <v>36</v>
      </c>
      <c r="BT44" s="26">
        <v>36</v>
      </c>
      <c r="BU44" s="26">
        <v>35</v>
      </c>
      <c r="BV44" s="26">
        <v>1</v>
      </c>
      <c r="BW44" s="26">
        <v>43</v>
      </c>
      <c r="BX44" s="26">
        <v>43</v>
      </c>
      <c r="BY44" s="26">
        <v>39</v>
      </c>
      <c r="BZ44" s="26">
        <v>4</v>
      </c>
      <c r="CA44" s="26">
        <v>46</v>
      </c>
      <c r="CB44" s="26">
        <v>25</v>
      </c>
      <c r="CC44" s="26">
        <v>15</v>
      </c>
      <c r="CD44" s="26">
        <v>27</v>
      </c>
      <c r="CE44" s="26">
        <v>27</v>
      </c>
      <c r="CF44" s="26">
        <v>7</v>
      </c>
      <c r="CG44" s="26">
        <v>4</v>
      </c>
      <c r="CH44" s="26">
        <v>23</v>
      </c>
      <c r="CI44" s="26">
        <v>27</v>
      </c>
      <c r="CJ44" s="26">
        <v>0</v>
      </c>
      <c r="CK44" s="26">
        <v>0</v>
      </c>
      <c r="CL44" s="26">
        <v>27</v>
      </c>
      <c r="CM44" s="26"/>
      <c r="CN44" s="26"/>
      <c r="CO44" s="27">
        <v>0</v>
      </c>
      <c r="CP44" s="34">
        <v>740</v>
      </c>
      <c r="CQ44" s="26">
        <f t="shared" si="13"/>
        <v>93</v>
      </c>
      <c r="CR44" s="26">
        <f t="shared" si="14"/>
        <v>111</v>
      </c>
      <c r="CS44" s="26">
        <v>120</v>
      </c>
      <c r="CT44" s="36">
        <f t="shared" si="15"/>
        <v>6.166666666666667</v>
      </c>
      <c r="CU44" s="38">
        <f t="shared" si="16"/>
        <v>18.210862619808307</v>
      </c>
      <c r="CV44" s="26">
        <v>36.0</v>
      </c>
      <c r="CW44" s="26">
        <v>36</v>
      </c>
      <c r="CX44" s="26">
        <v>35</v>
      </c>
      <c r="CY44" s="26">
        <v>1</v>
      </c>
      <c r="CZ44" s="26">
        <v>43.0</v>
      </c>
      <c r="DA44" s="26">
        <v>43</v>
      </c>
      <c r="DB44" s="26">
        <v>40</v>
      </c>
      <c r="DC44" s="26">
        <v>3</v>
      </c>
      <c r="DD44" s="26">
        <v>40.0</v>
      </c>
      <c r="DE44" s="26">
        <v>16</v>
      </c>
      <c r="DF44" s="26">
        <v>10</v>
      </c>
      <c r="DG44" s="26">
        <v>35</v>
      </c>
      <c r="DH44" s="26"/>
      <c r="DI44" s="39">
        <v>6</v>
      </c>
      <c r="DJ44" s="26">
        <v>5</v>
      </c>
      <c r="DK44" s="26"/>
      <c r="DL44" s="26">
        <v>39</v>
      </c>
      <c r="DM44" s="26">
        <v>1</v>
      </c>
      <c r="DN44" s="26">
        <v>0</v>
      </c>
      <c r="DO44" s="26"/>
      <c r="DP44" s="40">
        <v>0</v>
      </c>
      <c r="DQ44" s="41">
        <v>0</v>
      </c>
      <c r="DR44" s="27"/>
      <c r="DS44" s="42">
        <v>669</v>
      </c>
      <c r="DT44" s="43">
        <f t="shared" si="17"/>
        <v>90</v>
      </c>
      <c r="DU44" s="43">
        <f t="shared" si="18"/>
        <v>102</v>
      </c>
      <c r="DV44" s="26">
        <v>120.0</v>
      </c>
      <c r="DW44" s="33">
        <v>5.575</v>
      </c>
      <c r="DX44" s="44">
        <f t="shared" si="20"/>
        <v>-9.5945945945945947</v>
      </c>
    </row>
    <row r="45" spans="1:128" ht="15.75" customHeight="1">
      <c r="A45" s="26">
        <v>39</v>
      </c>
      <c r="B45" s="26" t="s">
        <v>441</v>
      </c>
      <c r="C45" s="26" t="s">
        <v>442</v>
      </c>
      <c r="D45" s="27" t="s">
        <v>23</v>
      </c>
      <c r="E45" s="26">
        <v>148</v>
      </c>
      <c r="F45" s="26">
        <v>20</v>
      </c>
      <c r="G45" s="26">
        <v>20</v>
      </c>
      <c r="H45" s="26">
        <v>17</v>
      </c>
      <c r="I45" s="26">
        <v>3</v>
      </c>
      <c r="J45" s="28">
        <v>174</v>
      </c>
      <c r="K45" s="26">
        <v>37</v>
      </c>
      <c r="L45" s="26">
        <v>38</v>
      </c>
      <c r="M45" s="26">
        <v>31</v>
      </c>
      <c r="N45" s="26">
        <v>3</v>
      </c>
      <c r="O45" s="28">
        <v>15</v>
      </c>
      <c r="P45" s="26">
        <v>27</v>
      </c>
      <c r="Q45" s="26">
        <v>12</v>
      </c>
      <c r="R45" s="26">
        <v>3</v>
      </c>
      <c r="S45" s="27">
        <v>29</v>
      </c>
      <c r="T45" s="26">
        <f t="shared" si="0"/>
        <v>337</v>
      </c>
      <c r="U45" s="26">
        <f t="shared" si="1"/>
        <v>51</v>
      </c>
      <c r="V45" s="26">
        <f t="shared" si="2"/>
        <v>70</v>
      </c>
      <c r="W45" s="26">
        <v>80</v>
      </c>
      <c r="X45" s="29">
        <f t="shared" si="3"/>
        <v>4.2125000000000004</v>
      </c>
      <c r="Y45" s="30">
        <v>127</v>
      </c>
      <c r="Z45" s="26">
        <v>25</v>
      </c>
      <c r="AA45" s="26">
        <v>25</v>
      </c>
      <c r="AB45" s="26">
        <v>22</v>
      </c>
      <c r="AC45" s="26">
        <v>3</v>
      </c>
      <c r="AD45" s="45">
        <v>163</v>
      </c>
      <c r="AE45" s="26">
        <v>43</v>
      </c>
      <c r="AF45" s="26">
        <v>43</v>
      </c>
      <c r="AG45" s="26">
        <v>36</v>
      </c>
      <c r="AH45" s="26">
        <v>7</v>
      </c>
      <c r="AI45" s="26">
        <v>39</v>
      </c>
      <c r="AJ45" s="26">
        <v>10</v>
      </c>
      <c r="AK45" s="26">
        <v>6</v>
      </c>
      <c r="AL45" s="26">
        <v>33</v>
      </c>
      <c r="AM45" s="26">
        <f t="shared" si="4"/>
        <v>290</v>
      </c>
      <c r="AN45" s="32">
        <f t="shared" si="5"/>
        <v>64</v>
      </c>
      <c r="AO45" s="32">
        <f t="shared" si="6"/>
        <v>78</v>
      </c>
      <c r="AP45" s="32">
        <v>100</v>
      </c>
      <c r="AQ45" s="33">
        <f t="shared" si="7"/>
        <v>2.9</v>
      </c>
      <c r="AR45" s="29">
        <f t="shared" si="8"/>
        <v>-13.94658753709199</v>
      </c>
      <c r="AS45" s="26">
        <v>36</v>
      </c>
      <c r="AT45" s="26">
        <v>36</v>
      </c>
      <c r="AU45" s="26">
        <v>25</v>
      </c>
      <c r="AV45" s="26">
        <v>11</v>
      </c>
      <c r="AW45" s="26">
        <v>53</v>
      </c>
      <c r="AX45" s="26">
        <v>53</v>
      </c>
      <c r="AY45" s="26">
        <v>41</v>
      </c>
      <c r="AZ45" s="26">
        <v>12</v>
      </c>
      <c r="BA45" s="26">
        <v>54</v>
      </c>
      <c r="BB45" s="26">
        <v>10</v>
      </c>
      <c r="BC45" s="26">
        <v>5</v>
      </c>
      <c r="BD45" s="26">
        <v>48</v>
      </c>
      <c r="BE45" s="26">
        <v>48</v>
      </c>
      <c r="BF45" s="26">
        <v>1</v>
      </c>
      <c r="BG45" s="26">
        <v>1</v>
      </c>
      <c r="BH45" s="26">
        <v>47</v>
      </c>
      <c r="BI45" s="26">
        <v>0</v>
      </c>
      <c r="BJ45" s="26">
        <v>0</v>
      </c>
      <c r="BK45" s="26"/>
      <c r="BL45" s="27"/>
      <c r="BM45" s="34">
        <v>301</v>
      </c>
      <c r="BN45" s="26">
        <v>120</v>
      </c>
      <c r="BO45" s="35">
        <f t="shared" si="9"/>
        <v>72</v>
      </c>
      <c r="BP45" s="35">
        <f t="shared" si="10"/>
        <v>100</v>
      </c>
      <c r="BQ45" s="36">
        <f t="shared" si="11"/>
        <v>2.5083333333333333</v>
      </c>
      <c r="BR45" s="37">
        <f t="shared" si="12"/>
        <v>3.7931034482758621</v>
      </c>
      <c r="BS45" s="26">
        <v>36</v>
      </c>
      <c r="BT45" s="26">
        <v>36</v>
      </c>
      <c r="BU45" s="26">
        <v>33</v>
      </c>
      <c r="BV45" s="26">
        <v>3</v>
      </c>
      <c r="BW45" s="26">
        <v>45</v>
      </c>
      <c r="BX45" s="26">
        <v>45</v>
      </c>
      <c r="BY45" s="26">
        <v>35</v>
      </c>
      <c r="BZ45" s="26">
        <v>10</v>
      </c>
      <c r="CA45" s="26">
        <v>52</v>
      </c>
      <c r="CB45" s="26">
        <v>8</v>
      </c>
      <c r="CC45" s="26">
        <v>5</v>
      </c>
      <c r="CD45" s="26">
        <v>45</v>
      </c>
      <c r="CE45" s="26">
        <v>45</v>
      </c>
      <c r="CF45" s="26">
        <v>2</v>
      </c>
      <c r="CG45" s="26">
        <v>2</v>
      </c>
      <c r="CH45" s="26">
        <v>43</v>
      </c>
      <c r="CI45" s="26">
        <v>45</v>
      </c>
      <c r="CJ45" s="26">
        <v>1</v>
      </c>
      <c r="CK45" s="26">
        <v>0</v>
      </c>
      <c r="CL45" s="26">
        <v>45</v>
      </c>
      <c r="CM45" s="26"/>
      <c r="CN45" s="26"/>
      <c r="CO45" s="27">
        <v>0</v>
      </c>
      <c r="CP45" s="34">
        <v>411</v>
      </c>
      <c r="CQ45" s="26">
        <f t="shared" si="13"/>
        <v>75</v>
      </c>
      <c r="CR45" s="26">
        <f t="shared" si="14"/>
        <v>92</v>
      </c>
      <c r="CS45" s="26">
        <v>120</v>
      </c>
      <c r="CT45" s="36">
        <f t="shared" si="15"/>
        <v>3.4249999999999998</v>
      </c>
      <c r="CU45" s="38">
        <f t="shared" si="16"/>
        <v>36.544850498338874</v>
      </c>
      <c r="CV45" s="26">
        <v>36.0</v>
      </c>
      <c r="CW45" s="26">
        <v>36</v>
      </c>
      <c r="CX45" s="26">
        <v>32</v>
      </c>
      <c r="CY45" s="26">
        <v>4</v>
      </c>
      <c r="CZ45" s="26">
        <v>46.0</v>
      </c>
      <c r="DA45" s="26">
        <v>45</v>
      </c>
      <c r="DB45" s="26">
        <v>41</v>
      </c>
      <c r="DC45" s="26">
        <v>5</v>
      </c>
      <c r="DD45" s="26">
        <v>45.0</v>
      </c>
      <c r="DE45" s="26">
        <v>18</v>
      </c>
      <c r="DF45" s="26">
        <v>12</v>
      </c>
      <c r="DG45" s="26">
        <v>35</v>
      </c>
      <c r="DH45" s="26"/>
      <c r="DI45" s="39">
        <v>2</v>
      </c>
      <c r="DJ45" s="26">
        <v>2</v>
      </c>
      <c r="DK45" s="26"/>
      <c r="DL45" s="26">
        <v>44</v>
      </c>
      <c r="DM45" s="26">
        <v>2</v>
      </c>
      <c r="DN45" s="26">
        <v>1</v>
      </c>
      <c r="DO45" s="26"/>
      <c r="DP45" s="40">
        <v>2</v>
      </c>
      <c r="DQ45" s="41">
        <v>1</v>
      </c>
      <c r="DR45" s="27"/>
      <c r="DS45" s="42">
        <v>416</v>
      </c>
      <c r="DT45" s="43">
        <f t="shared" si="17"/>
        <v>89</v>
      </c>
      <c r="DU45" s="43">
        <f t="shared" si="18"/>
        <v>105</v>
      </c>
      <c r="DV45" s="26">
        <v>120.0</v>
      </c>
      <c r="DW45" s="33">
        <v>3.466666667</v>
      </c>
      <c r="DX45" s="44">
        <f t="shared" si="20"/>
        <v>1.2165450121654502</v>
      </c>
    </row>
    <row r="46" spans="1:128" ht="15.75" customHeight="1">
      <c r="A46" s="26">
        <v>40</v>
      </c>
      <c r="B46" s="26" t="s">
        <v>443</v>
      </c>
      <c r="C46" s="26" t="s">
        <v>444</v>
      </c>
      <c r="D46" s="27" t="s">
        <v>23</v>
      </c>
      <c r="E46" s="26">
        <v>701</v>
      </c>
      <c r="F46" s="26">
        <v>25</v>
      </c>
      <c r="G46" s="26">
        <v>26</v>
      </c>
      <c r="H46" s="26">
        <v>26</v>
      </c>
      <c r="I46" s="26">
        <v>-1</v>
      </c>
      <c r="J46" s="28">
        <v>769</v>
      </c>
      <c r="K46" s="26">
        <v>45</v>
      </c>
      <c r="L46" s="26">
        <v>46</v>
      </c>
      <c r="M46" s="26">
        <v>38</v>
      </c>
      <c r="N46" s="26">
        <v>5</v>
      </c>
      <c r="O46" s="28">
        <v>95</v>
      </c>
      <c r="P46" s="26">
        <v>35</v>
      </c>
      <c r="Q46" s="26">
        <v>38</v>
      </c>
      <c r="R46" s="26">
        <v>21</v>
      </c>
      <c r="S46" s="27">
        <v>15</v>
      </c>
      <c r="T46" s="26">
        <f t="shared" si="0"/>
        <v>1565</v>
      </c>
      <c r="U46" s="26">
        <f t="shared" si="1"/>
        <v>85</v>
      </c>
      <c r="V46" s="26">
        <f t="shared" si="2"/>
        <v>110</v>
      </c>
      <c r="W46" s="26">
        <v>100</v>
      </c>
      <c r="X46" s="29">
        <f t="shared" si="3"/>
        <v>15.65</v>
      </c>
      <c r="Y46" s="30">
        <v>666</v>
      </c>
      <c r="Z46" s="26">
        <v>30</v>
      </c>
      <c r="AA46" s="26">
        <v>30</v>
      </c>
      <c r="AB46" s="26">
        <v>26</v>
      </c>
      <c r="AC46" s="26">
        <v>4</v>
      </c>
      <c r="AD46" s="45">
        <v>738</v>
      </c>
      <c r="AE46" s="26">
        <v>52</v>
      </c>
      <c r="AF46" s="26">
        <v>52</v>
      </c>
      <c r="AG46" s="26">
        <v>46</v>
      </c>
      <c r="AH46" s="26">
        <v>6</v>
      </c>
      <c r="AI46" s="26">
        <v>47</v>
      </c>
      <c r="AJ46" s="26">
        <v>47</v>
      </c>
      <c r="AK46" s="26">
        <v>28</v>
      </c>
      <c r="AL46" s="26">
        <v>19</v>
      </c>
      <c r="AM46" s="26">
        <f t="shared" si="4"/>
        <v>1404</v>
      </c>
      <c r="AN46" s="32">
        <f t="shared" si="5"/>
        <v>100</v>
      </c>
      <c r="AO46" s="32">
        <f t="shared" si="6"/>
        <v>129</v>
      </c>
      <c r="AP46" s="32">
        <v>120</v>
      </c>
      <c r="AQ46" s="33">
        <f t="shared" si="7"/>
        <v>11.7</v>
      </c>
      <c r="AR46" s="29">
        <f t="shared" si="8"/>
        <v>-10.287539936102236</v>
      </c>
      <c r="AS46" s="26">
        <v>48</v>
      </c>
      <c r="AT46" s="26">
        <v>48</v>
      </c>
      <c r="AU46" s="26">
        <v>45</v>
      </c>
      <c r="AV46" s="26">
        <v>3</v>
      </c>
      <c r="AW46" s="26">
        <v>59</v>
      </c>
      <c r="AX46" s="26">
        <v>59</v>
      </c>
      <c r="AY46" s="26">
        <v>51</v>
      </c>
      <c r="AZ46" s="26">
        <v>8</v>
      </c>
      <c r="BA46" s="26">
        <v>64</v>
      </c>
      <c r="BB46" s="26">
        <v>65</v>
      </c>
      <c r="BC46" s="26">
        <v>43</v>
      </c>
      <c r="BD46" s="26">
        <v>16</v>
      </c>
      <c r="BE46" s="26">
        <v>16</v>
      </c>
      <c r="BF46" s="26">
        <v>3</v>
      </c>
      <c r="BG46" s="26">
        <v>3</v>
      </c>
      <c r="BH46" s="26">
        <v>13</v>
      </c>
      <c r="BI46" s="26">
        <v>0</v>
      </c>
      <c r="BJ46" s="26">
        <v>0</v>
      </c>
      <c r="BK46" s="26"/>
      <c r="BL46" s="27"/>
      <c r="BM46" s="34">
        <v>1791</v>
      </c>
      <c r="BN46" s="26">
        <v>160</v>
      </c>
      <c r="BO46" s="35">
        <f t="shared" si="9"/>
        <v>142</v>
      </c>
      <c r="BP46" s="35">
        <f t="shared" si="10"/>
        <v>175</v>
      </c>
      <c r="BQ46" s="36">
        <f t="shared" si="11"/>
        <v>11.19375</v>
      </c>
      <c r="BR46" s="37">
        <f t="shared" si="12"/>
        <v>27.564102564102566</v>
      </c>
      <c r="BS46" s="26">
        <v>48</v>
      </c>
      <c r="BT46" s="26">
        <v>48</v>
      </c>
      <c r="BU46" s="26">
        <v>47</v>
      </c>
      <c r="BV46" s="26">
        <v>1</v>
      </c>
      <c r="BW46" s="26">
        <v>57</v>
      </c>
      <c r="BX46" s="26">
        <v>57</v>
      </c>
      <c r="BY46" s="26">
        <v>47</v>
      </c>
      <c r="BZ46" s="26">
        <v>10</v>
      </c>
      <c r="CA46" s="26">
        <v>66</v>
      </c>
      <c r="CB46" s="26">
        <v>60</v>
      </c>
      <c r="CC46" s="26">
        <v>36</v>
      </c>
      <c r="CD46" s="26">
        <v>24</v>
      </c>
      <c r="CE46" s="26">
        <v>24</v>
      </c>
      <c r="CF46" s="26">
        <v>7</v>
      </c>
      <c r="CG46" s="26">
        <v>6</v>
      </c>
      <c r="CH46" s="26">
        <v>18</v>
      </c>
      <c r="CI46" s="26">
        <v>24</v>
      </c>
      <c r="CJ46" s="26">
        <v>3</v>
      </c>
      <c r="CK46" s="26">
        <v>0</v>
      </c>
      <c r="CL46" s="26">
        <v>24</v>
      </c>
      <c r="CM46" s="26"/>
      <c r="CN46" s="26"/>
      <c r="CO46" s="27">
        <v>0</v>
      </c>
      <c r="CP46" s="34">
        <v>1756</v>
      </c>
      <c r="CQ46" s="26">
        <f t="shared" si="13"/>
        <v>136</v>
      </c>
      <c r="CR46" s="26">
        <f t="shared" si="14"/>
        <v>175</v>
      </c>
      <c r="CS46" s="26">
        <v>160</v>
      </c>
      <c r="CT46" s="36">
        <f t="shared" si="15"/>
        <v>10.975</v>
      </c>
      <c r="CU46" s="38">
        <f t="shared" si="16"/>
        <v>-1.9542155220547179</v>
      </c>
      <c r="CV46" s="26">
        <v>48.0</v>
      </c>
      <c r="CW46" s="26">
        <v>47</v>
      </c>
      <c r="CX46" s="26">
        <v>44</v>
      </c>
      <c r="CY46" s="26">
        <v>4</v>
      </c>
      <c r="CZ46" s="26">
        <v>60.0</v>
      </c>
      <c r="DA46" s="26">
        <v>60</v>
      </c>
      <c r="DB46" s="26">
        <v>55</v>
      </c>
      <c r="DC46" s="26">
        <v>5</v>
      </c>
      <c r="DD46" s="26">
        <v>53.0</v>
      </c>
      <c r="DE46" s="26">
        <v>52</v>
      </c>
      <c r="DF46" s="26">
        <v>29</v>
      </c>
      <c r="DG46" s="26">
        <v>32</v>
      </c>
      <c r="DH46" s="26"/>
      <c r="DI46" s="39">
        <v>12</v>
      </c>
      <c r="DJ46" s="26">
        <v>8</v>
      </c>
      <c r="DK46" s="26"/>
      <c r="DL46" s="26">
        <v>41</v>
      </c>
      <c r="DM46" s="26">
        <v>14</v>
      </c>
      <c r="DN46" s="26">
        <v>8</v>
      </c>
      <c r="DO46" s="26"/>
      <c r="DP46" s="40">
        <v>1</v>
      </c>
      <c r="DQ46" s="41">
        <v>1</v>
      </c>
      <c r="DR46" s="27"/>
      <c r="DS46" s="77">
        <v>1466</v>
      </c>
      <c r="DT46" s="43">
        <f t="shared" si="17"/>
        <v>145</v>
      </c>
      <c r="DU46" s="43">
        <f t="shared" si="18"/>
        <v>186</v>
      </c>
      <c r="DV46" s="26">
        <v>160.0</v>
      </c>
      <c r="DW46" s="33">
        <v>9.1625</v>
      </c>
      <c r="DX46" s="44">
        <f t="shared" si="20"/>
        <v>-16.514806378132118</v>
      </c>
    </row>
    <row r="47" spans="1:128" ht="15.75" customHeight="1">
      <c r="A47" s="26">
        <v>41</v>
      </c>
      <c r="B47" s="26" t="s">
        <v>445</v>
      </c>
      <c r="C47" s="26" t="s">
        <v>446</v>
      </c>
      <c r="D47" s="27" t="s">
        <v>23</v>
      </c>
      <c r="E47" s="26">
        <v>227</v>
      </c>
      <c r="F47" s="26">
        <v>54</v>
      </c>
      <c r="G47" s="26">
        <v>54</v>
      </c>
      <c r="H47" s="26">
        <v>50</v>
      </c>
      <c r="I47" s="26">
        <v>4</v>
      </c>
      <c r="J47" s="28">
        <v>405</v>
      </c>
      <c r="K47" s="26">
        <v>100</v>
      </c>
      <c r="L47" s="26">
        <v>100</v>
      </c>
      <c r="M47" s="26">
        <v>91</v>
      </c>
      <c r="N47" s="26">
        <v>6</v>
      </c>
      <c r="O47" s="28">
        <v>86</v>
      </c>
      <c r="P47" s="26">
        <v>70</v>
      </c>
      <c r="Q47" s="26">
        <v>48</v>
      </c>
      <c r="R47" s="26">
        <v>28</v>
      </c>
      <c r="S47" s="27">
        <v>46</v>
      </c>
      <c r="T47" s="26">
        <f t="shared" si="0"/>
        <v>718</v>
      </c>
      <c r="U47" s="26">
        <f t="shared" si="1"/>
        <v>169</v>
      </c>
      <c r="V47" s="26">
        <f t="shared" si="2"/>
        <v>202</v>
      </c>
      <c r="W47" s="26">
        <v>215</v>
      </c>
      <c r="X47" s="29">
        <f t="shared" si="3"/>
        <v>3.3395348837209302</v>
      </c>
      <c r="Y47" s="30">
        <v>231</v>
      </c>
      <c r="Z47" s="26">
        <v>40</v>
      </c>
      <c r="AA47" s="26">
        <v>40</v>
      </c>
      <c r="AB47" s="26">
        <v>40</v>
      </c>
      <c r="AC47" s="26">
        <v>0</v>
      </c>
      <c r="AD47" s="45">
        <v>378</v>
      </c>
      <c r="AE47" s="26">
        <v>64</v>
      </c>
      <c r="AF47" s="26">
        <v>64</v>
      </c>
      <c r="AG47" s="26">
        <v>60</v>
      </c>
      <c r="AH47" s="26">
        <v>4</v>
      </c>
      <c r="AI47" s="26">
        <v>56</v>
      </c>
      <c r="AJ47" s="26">
        <v>56</v>
      </c>
      <c r="AK47" s="26">
        <v>41</v>
      </c>
      <c r="AL47" s="26">
        <v>15</v>
      </c>
      <c r="AM47" s="26">
        <f t="shared" si="4"/>
        <v>609</v>
      </c>
      <c r="AN47" s="32">
        <f t="shared" si="5"/>
        <v>141</v>
      </c>
      <c r="AO47" s="32">
        <f t="shared" si="6"/>
        <v>160</v>
      </c>
      <c r="AP47" s="32">
        <v>160</v>
      </c>
      <c r="AQ47" s="33">
        <f t="shared" si="7"/>
        <v>3.8062499999999999</v>
      </c>
      <c r="AR47" s="29">
        <f t="shared" si="8"/>
        <v>-15.181058495821729</v>
      </c>
      <c r="AS47" s="26">
        <v>48</v>
      </c>
      <c r="AT47" s="26">
        <v>48</v>
      </c>
      <c r="AU47" s="26">
        <v>45</v>
      </c>
      <c r="AV47" s="26">
        <v>3</v>
      </c>
      <c r="AW47" s="26">
        <v>59</v>
      </c>
      <c r="AX47" s="26">
        <v>59</v>
      </c>
      <c r="AY47" s="26">
        <v>52</v>
      </c>
      <c r="AZ47" s="26">
        <v>7</v>
      </c>
      <c r="BA47" s="26">
        <v>63</v>
      </c>
      <c r="BB47" s="26">
        <v>63</v>
      </c>
      <c r="BC47" s="26">
        <v>49</v>
      </c>
      <c r="BD47" s="26">
        <v>10</v>
      </c>
      <c r="BE47" s="26">
        <v>10</v>
      </c>
      <c r="BF47" s="26">
        <v>5</v>
      </c>
      <c r="BG47" s="26">
        <v>5</v>
      </c>
      <c r="BH47" s="26">
        <v>5</v>
      </c>
      <c r="BI47" s="26">
        <v>1</v>
      </c>
      <c r="BJ47" s="26">
        <v>1</v>
      </c>
      <c r="BK47" s="26"/>
      <c r="BL47" s="27"/>
      <c r="BM47" s="34">
        <v>770</v>
      </c>
      <c r="BN47" s="26">
        <v>160</v>
      </c>
      <c r="BO47" s="35">
        <f t="shared" si="9"/>
        <v>152</v>
      </c>
      <c r="BP47" s="35">
        <f t="shared" si="10"/>
        <v>176</v>
      </c>
      <c r="BQ47" s="36">
        <f t="shared" si="11"/>
        <v>4.8125</v>
      </c>
      <c r="BR47" s="37">
        <f t="shared" si="12"/>
        <v>26.436781609195403</v>
      </c>
      <c r="BS47" s="26">
        <v>48</v>
      </c>
      <c r="BT47" s="26">
        <v>48</v>
      </c>
      <c r="BU47" s="26">
        <v>47</v>
      </c>
      <c r="BV47" s="26">
        <v>1</v>
      </c>
      <c r="BW47" s="26">
        <v>57</v>
      </c>
      <c r="BX47" s="26">
        <v>57</v>
      </c>
      <c r="BY47" s="26">
        <v>54</v>
      </c>
      <c r="BZ47" s="26">
        <v>3</v>
      </c>
      <c r="CA47" s="26">
        <v>59</v>
      </c>
      <c r="CB47" s="26">
        <v>58</v>
      </c>
      <c r="CC47" s="26">
        <v>41</v>
      </c>
      <c r="CD47" s="26">
        <v>16</v>
      </c>
      <c r="CE47" s="26">
        <v>16</v>
      </c>
      <c r="CF47" s="26">
        <v>2</v>
      </c>
      <c r="CG47" s="26">
        <v>2</v>
      </c>
      <c r="CH47" s="26">
        <v>14</v>
      </c>
      <c r="CI47" s="26">
        <v>16</v>
      </c>
      <c r="CJ47" s="26">
        <v>2</v>
      </c>
      <c r="CK47" s="26">
        <v>1</v>
      </c>
      <c r="CL47" s="26">
        <v>15</v>
      </c>
      <c r="CM47" s="26"/>
      <c r="CN47" s="26"/>
      <c r="CO47" s="27">
        <v>0</v>
      </c>
      <c r="CP47" s="34">
        <v>809</v>
      </c>
      <c r="CQ47" s="26">
        <f t="shared" si="13"/>
        <v>145</v>
      </c>
      <c r="CR47" s="26">
        <f t="shared" si="14"/>
        <v>167</v>
      </c>
      <c r="CS47" s="26">
        <v>160</v>
      </c>
      <c r="CT47" s="36">
        <f t="shared" si="15"/>
        <v>5.0562500000000004</v>
      </c>
      <c r="CU47" s="38">
        <f t="shared" si="16"/>
        <v>5.0649350649350655</v>
      </c>
      <c r="CV47" s="26">
        <v>48.0</v>
      </c>
      <c r="CW47" s="26">
        <v>48</v>
      </c>
      <c r="CX47" s="26">
        <v>48</v>
      </c>
      <c r="CY47" s="26">
        <v>0</v>
      </c>
      <c r="CZ47" s="26">
        <v>56.0</v>
      </c>
      <c r="DA47" s="26">
        <v>56</v>
      </c>
      <c r="DB47" s="26">
        <v>52</v>
      </c>
      <c r="DC47" s="26">
        <v>4</v>
      </c>
      <c r="DD47" s="26">
        <v>58.0</v>
      </c>
      <c r="DE47" s="26">
        <v>40</v>
      </c>
      <c r="DF47" s="26">
        <v>32</v>
      </c>
      <c r="DG47" s="26">
        <v>28</v>
      </c>
      <c r="DH47" s="26"/>
      <c r="DI47" s="78">
        <v>4</v>
      </c>
      <c r="DJ47" s="26">
        <v>2</v>
      </c>
      <c r="DK47" s="26"/>
      <c r="DL47" s="26">
        <v>32</v>
      </c>
      <c r="DM47" s="26">
        <v>3</v>
      </c>
      <c r="DN47" s="26">
        <v>1</v>
      </c>
      <c r="DO47" s="26"/>
      <c r="DP47" s="79">
        <v>0</v>
      </c>
      <c r="DQ47" s="80">
        <v>0</v>
      </c>
      <c r="DR47" s="27"/>
      <c r="DS47" s="81">
        <v>694</v>
      </c>
      <c r="DT47" s="43">
        <f t="shared" si="17"/>
        <v>135</v>
      </c>
      <c r="DU47" s="43">
        <f t="shared" si="18"/>
        <v>151</v>
      </c>
      <c r="DV47" s="26">
        <v>160.0</v>
      </c>
      <c r="DW47" s="33">
        <v>4.3375</v>
      </c>
      <c r="DX47" s="44">
        <f t="shared" si="20"/>
        <v>-14.215080346106305</v>
      </c>
    </row>
    <row r="48" spans="1:128" ht="15.75" customHeight="1">
      <c r="A48" s="26">
        <v>42</v>
      </c>
      <c r="B48" s="26" t="s">
        <v>447</v>
      </c>
      <c r="C48" s="26" t="s">
        <v>448</v>
      </c>
      <c r="D48" s="27" t="s">
        <v>23</v>
      </c>
      <c r="E48" s="26">
        <v>847</v>
      </c>
      <c r="F48" s="26">
        <v>73</v>
      </c>
      <c r="G48" s="26">
        <v>73</v>
      </c>
      <c r="H48" s="26">
        <v>69</v>
      </c>
      <c r="I48" s="26">
        <v>4</v>
      </c>
      <c r="J48" s="28">
        <v>1294</v>
      </c>
      <c r="K48" s="26">
        <v>133</v>
      </c>
      <c r="L48" s="26">
        <v>133</v>
      </c>
      <c r="M48" s="26">
        <v>125</v>
      </c>
      <c r="N48" s="26">
        <v>6</v>
      </c>
      <c r="O48" s="28">
        <v>325</v>
      </c>
      <c r="P48" s="26">
        <v>93</v>
      </c>
      <c r="Q48" s="26">
        <v>92</v>
      </c>
      <c r="R48" s="26">
        <v>72</v>
      </c>
      <c r="S48" s="27">
        <v>24</v>
      </c>
      <c r="T48" s="26">
        <f t="shared" si="0"/>
        <v>2466</v>
      </c>
      <c r="U48" s="26">
        <f t="shared" si="1"/>
        <v>266</v>
      </c>
      <c r="V48" s="26">
        <f t="shared" si="2"/>
        <v>298</v>
      </c>
      <c r="W48" s="26">
        <v>290</v>
      </c>
      <c r="X48" s="29">
        <f t="shared" si="3"/>
        <v>8.5034482758620697</v>
      </c>
      <c r="Y48" s="30">
        <v>996</v>
      </c>
      <c r="Z48" s="26">
        <v>65</v>
      </c>
      <c r="AA48" s="26">
        <v>65</v>
      </c>
      <c r="AB48" s="26">
        <v>58</v>
      </c>
      <c r="AC48" s="26">
        <v>7</v>
      </c>
      <c r="AD48" s="45">
        <v>1232</v>
      </c>
      <c r="AE48" s="26">
        <v>111</v>
      </c>
      <c r="AF48" s="26">
        <v>111</v>
      </c>
      <c r="AG48" s="26">
        <v>101</v>
      </c>
      <c r="AH48" s="26">
        <v>10</v>
      </c>
      <c r="AI48" s="26">
        <v>99</v>
      </c>
      <c r="AJ48" s="26">
        <v>99</v>
      </c>
      <c r="AK48" s="26">
        <v>68</v>
      </c>
      <c r="AL48" s="26">
        <v>31</v>
      </c>
      <c r="AM48" s="26">
        <f t="shared" si="4"/>
        <v>2228</v>
      </c>
      <c r="AN48" s="32">
        <f t="shared" si="5"/>
        <v>227</v>
      </c>
      <c r="AO48" s="32">
        <f t="shared" si="6"/>
        <v>275</v>
      </c>
      <c r="AP48" s="32">
        <v>260</v>
      </c>
      <c r="AQ48" s="33">
        <f t="shared" si="7"/>
        <v>8.569230769230769</v>
      </c>
      <c r="AR48" s="29">
        <f t="shared" si="8"/>
        <v>-9.6512570965125715</v>
      </c>
      <c r="AS48" s="26">
        <v>60</v>
      </c>
      <c r="AT48" s="26">
        <v>60</v>
      </c>
      <c r="AU48" s="26">
        <v>58</v>
      </c>
      <c r="AV48" s="26">
        <v>2</v>
      </c>
      <c r="AW48" s="26">
        <v>72</v>
      </c>
      <c r="AX48" s="26">
        <v>72</v>
      </c>
      <c r="AY48" s="26">
        <v>62</v>
      </c>
      <c r="AZ48" s="26">
        <v>10</v>
      </c>
      <c r="BA48" s="26">
        <v>80</v>
      </c>
      <c r="BB48" s="26">
        <v>82</v>
      </c>
      <c r="BC48" s="26">
        <v>69</v>
      </c>
      <c r="BD48" s="26">
        <v>3</v>
      </c>
      <c r="BE48" s="26">
        <v>3</v>
      </c>
      <c r="BF48" s="26">
        <v>9</v>
      </c>
      <c r="BG48" s="26">
        <v>7</v>
      </c>
      <c r="BH48" s="26">
        <v>-4</v>
      </c>
      <c r="BI48" s="26">
        <v>10</v>
      </c>
      <c r="BJ48" s="26">
        <v>8</v>
      </c>
      <c r="BK48" s="26">
        <v>3</v>
      </c>
      <c r="BL48" s="27">
        <v>2</v>
      </c>
      <c r="BM48" s="34">
        <v>2936</v>
      </c>
      <c r="BN48" s="26">
        <v>200</v>
      </c>
      <c r="BO48" s="35">
        <f t="shared" si="9"/>
        <v>204</v>
      </c>
      <c r="BP48" s="35">
        <f t="shared" si="10"/>
        <v>236</v>
      </c>
      <c r="BQ48" s="36">
        <f t="shared" si="11"/>
        <v>14.68</v>
      </c>
      <c r="BR48" s="37">
        <f t="shared" si="12"/>
        <v>31.777378815080791</v>
      </c>
      <c r="BS48" s="26">
        <v>60</v>
      </c>
      <c r="BT48" s="26">
        <v>60</v>
      </c>
      <c r="BU48" s="26">
        <v>57</v>
      </c>
      <c r="BV48" s="26">
        <v>3</v>
      </c>
      <c r="BW48" s="26">
        <v>73</v>
      </c>
      <c r="BX48" s="26">
        <v>73</v>
      </c>
      <c r="BY48" s="26">
        <v>68</v>
      </c>
      <c r="BZ48" s="26">
        <v>5</v>
      </c>
      <c r="CA48" s="26">
        <v>75</v>
      </c>
      <c r="CB48" s="26">
        <v>64</v>
      </c>
      <c r="CC48" s="26">
        <v>60</v>
      </c>
      <c r="CD48" s="26">
        <v>4</v>
      </c>
      <c r="CE48" s="26">
        <v>4</v>
      </c>
      <c r="CF48" s="26">
        <v>13</v>
      </c>
      <c r="CG48" s="26">
        <v>11</v>
      </c>
      <c r="CH48" s="26">
        <v>-7</v>
      </c>
      <c r="CI48" s="26">
        <v>3</v>
      </c>
      <c r="CJ48" s="26">
        <v>3</v>
      </c>
      <c r="CK48" s="26">
        <v>3</v>
      </c>
      <c r="CL48" s="26">
        <v>0</v>
      </c>
      <c r="CM48" s="26">
        <v>1</v>
      </c>
      <c r="CN48" s="26"/>
      <c r="CO48" s="27">
        <v>1</v>
      </c>
      <c r="CP48" s="34">
        <v>2638</v>
      </c>
      <c r="CQ48" s="26">
        <f t="shared" si="13"/>
        <v>199</v>
      </c>
      <c r="CR48" s="26">
        <f t="shared" si="14"/>
        <v>214</v>
      </c>
      <c r="CS48" s="26">
        <v>200</v>
      </c>
      <c r="CT48" s="36">
        <f t="shared" si="15"/>
        <v>13.19</v>
      </c>
      <c r="CU48" s="38">
        <f t="shared" si="16"/>
        <v>-10.149863760217984</v>
      </c>
      <c r="CV48" s="26">
        <v>60.0</v>
      </c>
      <c r="CW48" s="26">
        <v>60</v>
      </c>
      <c r="CX48" s="26">
        <v>60</v>
      </c>
      <c r="CY48" s="26">
        <v>0</v>
      </c>
      <c r="CZ48" s="26">
        <v>70.0</v>
      </c>
      <c r="DA48" s="26">
        <v>70</v>
      </c>
      <c r="DB48" s="26">
        <v>63</v>
      </c>
      <c r="DC48" s="26">
        <v>7</v>
      </c>
      <c r="DD48" s="26">
        <v>66.0</v>
      </c>
      <c r="DE48" s="26">
        <v>66</v>
      </c>
      <c r="DF48" s="26">
        <v>54</v>
      </c>
      <c r="DG48" s="26">
        <v>23</v>
      </c>
      <c r="DH48" s="26"/>
      <c r="DI48" s="78">
        <v>18</v>
      </c>
      <c r="DJ48" s="26">
        <v>11</v>
      </c>
      <c r="DK48" s="26"/>
      <c r="DL48" s="26">
        <v>30</v>
      </c>
      <c r="DM48" s="26">
        <v>12</v>
      </c>
      <c r="DN48" s="26">
        <v>11</v>
      </c>
      <c r="DO48" s="26"/>
      <c r="DP48" s="82">
        <v>0</v>
      </c>
      <c r="DQ48" s="80">
        <v>0</v>
      </c>
      <c r="DR48" s="27"/>
      <c r="DS48" s="81">
        <v>2823</v>
      </c>
      <c r="DT48" s="43">
        <f t="shared" si="17"/>
        <v>199</v>
      </c>
      <c r="DU48" s="43">
        <f t="shared" si="18"/>
        <v>226</v>
      </c>
      <c r="DV48" s="26">
        <v>200.0</v>
      </c>
      <c r="DW48" s="33">
        <v>14.115</v>
      </c>
      <c r="DX48" s="44">
        <f t="shared" si="20"/>
        <v>7.0128885519332833</v>
      </c>
    </row>
    <row r="49" spans="1:128" ht="15.75" customHeight="1">
      <c r="A49" s="26">
        <v>43</v>
      </c>
      <c r="B49" s="26" t="s">
        <v>449</v>
      </c>
      <c r="C49" s="26" t="s">
        <v>450</v>
      </c>
      <c r="D49" s="27" t="s">
        <v>23</v>
      </c>
      <c r="E49" s="26">
        <v>527</v>
      </c>
      <c r="F49" s="26">
        <v>54</v>
      </c>
      <c r="G49" s="26">
        <v>54</v>
      </c>
      <c r="H49" s="26">
        <v>54</v>
      </c>
      <c r="I49" s="26">
        <v>0</v>
      </c>
      <c r="J49" s="28">
        <v>624</v>
      </c>
      <c r="K49" s="26">
        <v>97</v>
      </c>
      <c r="L49" s="26">
        <v>97</v>
      </c>
      <c r="M49" s="26">
        <v>89</v>
      </c>
      <c r="N49" s="26">
        <v>3</v>
      </c>
      <c r="O49" s="28">
        <v>176</v>
      </c>
      <c r="P49" s="26">
        <v>67</v>
      </c>
      <c r="Q49" s="26">
        <v>70</v>
      </c>
      <c r="R49" s="26">
        <v>59</v>
      </c>
      <c r="S49" s="27">
        <v>13</v>
      </c>
      <c r="T49" s="26">
        <f t="shared" si="0"/>
        <v>1327</v>
      </c>
      <c r="U49" s="26">
        <f t="shared" si="1"/>
        <v>202</v>
      </c>
      <c r="V49" s="26">
        <f t="shared" si="2"/>
        <v>221</v>
      </c>
      <c r="W49" s="26">
        <v>215</v>
      </c>
      <c r="X49" s="29">
        <f t="shared" si="3"/>
        <v>6.1720930232558135</v>
      </c>
      <c r="Y49" s="30">
        <v>710</v>
      </c>
      <c r="Z49" s="26">
        <v>50</v>
      </c>
      <c r="AA49" s="26">
        <v>50</v>
      </c>
      <c r="AB49" s="26">
        <v>49</v>
      </c>
      <c r="AC49" s="26">
        <v>1</v>
      </c>
      <c r="AD49" s="45">
        <v>772</v>
      </c>
      <c r="AE49" s="26">
        <v>81</v>
      </c>
      <c r="AF49" s="26">
        <v>81</v>
      </c>
      <c r="AG49" s="26">
        <v>80</v>
      </c>
      <c r="AH49" s="26">
        <v>1</v>
      </c>
      <c r="AI49" s="26">
        <v>70</v>
      </c>
      <c r="AJ49" s="26">
        <v>69</v>
      </c>
      <c r="AK49" s="26">
        <v>56</v>
      </c>
      <c r="AL49" s="26">
        <v>14</v>
      </c>
      <c r="AM49" s="26">
        <f t="shared" si="4"/>
        <v>1482</v>
      </c>
      <c r="AN49" s="32">
        <f t="shared" si="5"/>
        <v>185</v>
      </c>
      <c r="AO49" s="32">
        <f t="shared" si="6"/>
        <v>200</v>
      </c>
      <c r="AP49" s="32">
        <v>200</v>
      </c>
      <c r="AQ49" s="33">
        <f t="shared" si="7"/>
        <v>7.41</v>
      </c>
      <c r="AR49" s="29">
        <f t="shared" si="8"/>
        <v>11.680482290881688</v>
      </c>
      <c r="AS49" s="26">
        <v>60</v>
      </c>
      <c r="AT49" s="26">
        <v>60</v>
      </c>
      <c r="AU49" s="26">
        <v>59</v>
      </c>
      <c r="AV49" s="26">
        <v>1</v>
      </c>
      <c r="AW49" s="26">
        <v>71</v>
      </c>
      <c r="AX49" s="26">
        <v>71</v>
      </c>
      <c r="AY49" s="26">
        <v>66</v>
      </c>
      <c r="AZ49" s="26">
        <v>5</v>
      </c>
      <c r="BA49" s="26">
        <v>75</v>
      </c>
      <c r="BB49" s="26">
        <v>75</v>
      </c>
      <c r="BC49" s="26">
        <v>60</v>
      </c>
      <c r="BD49" s="26">
        <v>11</v>
      </c>
      <c r="BE49" s="26">
        <v>11</v>
      </c>
      <c r="BF49" s="26">
        <v>6</v>
      </c>
      <c r="BG49" s="26">
        <v>5</v>
      </c>
      <c r="BH49" s="26">
        <v>6</v>
      </c>
      <c r="BI49" s="26">
        <v>5</v>
      </c>
      <c r="BJ49" s="26">
        <v>4</v>
      </c>
      <c r="BK49" s="26">
        <v>1</v>
      </c>
      <c r="BL49" s="27">
        <v>1</v>
      </c>
      <c r="BM49" s="34">
        <v>1855</v>
      </c>
      <c r="BN49" s="26">
        <v>200</v>
      </c>
      <c r="BO49" s="35">
        <f t="shared" si="9"/>
        <v>194</v>
      </c>
      <c r="BP49" s="35">
        <f t="shared" si="10"/>
        <v>218</v>
      </c>
      <c r="BQ49" s="36">
        <f t="shared" si="11"/>
        <v>9.2750000000000004</v>
      </c>
      <c r="BR49" s="37">
        <f t="shared" si="12"/>
        <v>25.168690958164643</v>
      </c>
      <c r="BS49" s="26">
        <v>60</v>
      </c>
      <c r="BT49" s="26">
        <v>60</v>
      </c>
      <c r="BU49" s="26">
        <v>60</v>
      </c>
      <c r="BV49" s="26">
        <v>0</v>
      </c>
      <c r="BW49" s="26">
        <v>70</v>
      </c>
      <c r="BX49" s="26">
        <v>70</v>
      </c>
      <c r="BY49" s="26">
        <v>67</v>
      </c>
      <c r="BZ49" s="26">
        <v>3</v>
      </c>
      <c r="CA49" s="26">
        <v>73</v>
      </c>
      <c r="CB49" s="26">
        <v>70</v>
      </c>
      <c r="CC49" s="26">
        <v>54</v>
      </c>
      <c r="CD49" s="26">
        <v>16</v>
      </c>
      <c r="CE49" s="26">
        <v>16</v>
      </c>
      <c r="CF49" s="26">
        <v>5</v>
      </c>
      <c r="CG49" s="26">
        <v>3</v>
      </c>
      <c r="CH49" s="26">
        <v>13</v>
      </c>
      <c r="CI49" s="26">
        <v>16</v>
      </c>
      <c r="CJ49" s="26">
        <v>12</v>
      </c>
      <c r="CK49" s="26">
        <v>10</v>
      </c>
      <c r="CL49" s="26">
        <v>6</v>
      </c>
      <c r="CM49" s="26"/>
      <c r="CN49" s="26"/>
      <c r="CO49" s="27">
        <v>0</v>
      </c>
      <c r="CP49" s="34">
        <v>1859</v>
      </c>
      <c r="CQ49" s="26">
        <f t="shared" si="13"/>
        <v>194</v>
      </c>
      <c r="CR49" s="26">
        <f t="shared" si="14"/>
        <v>217</v>
      </c>
      <c r="CS49" s="26">
        <v>200</v>
      </c>
      <c r="CT49" s="36">
        <f t="shared" si="15"/>
        <v>9.2949999999999999</v>
      </c>
      <c r="CU49" s="38">
        <f t="shared" si="16"/>
        <v>0.215633423180593</v>
      </c>
      <c r="CV49" s="26">
        <v>60.0</v>
      </c>
      <c r="CW49" s="26">
        <v>60</v>
      </c>
      <c r="CX49" s="26">
        <v>59</v>
      </c>
      <c r="CY49" s="26">
        <v>1</v>
      </c>
      <c r="CZ49" s="26">
        <v>71.0</v>
      </c>
      <c r="DA49" s="26">
        <v>71</v>
      </c>
      <c r="DB49" s="26">
        <v>65</v>
      </c>
      <c r="DC49" s="26">
        <v>6</v>
      </c>
      <c r="DD49" s="26">
        <v>67.0</v>
      </c>
      <c r="DE49" s="26">
        <v>67</v>
      </c>
      <c r="DF49" s="26">
        <v>59</v>
      </c>
      <c r="DG49" s="26">
        <v>17</v>
      </c>
      <c r="DH49" s="26"/>
      <c r="DI49" s="78">
        <v>16</v>
      </c>
      <c r="DJ49" s="26">
        <v>9</v>
      </c>
      <c r="DK49" s="26"/>
      <c r="DL49" s="26">
        <v>24</v>
      </c>
      <c r="DM49" s="26">
        <v>8</v>
      </c>
      <c r="DN49" s="26">
        <v>7</v>
      </c>
      <c r="DO49" s="26"/>
      <c r="DP49" s="78">
        <v>0</v>
      </c>
      <c r="DQ49" s="80">
        <v>0</v>
      </c>
      <c r="DR49" s="27"/>
      <c r="DS49" s="81">
        <v>2008</v>
      </c>
      <c r="DT49" s="43">
        <f t="shared" si="17"/>
        <v>199</v>
      </c>
      <c r="DU49" s="43">
        <f t="shared" si="18"/>
        <v>222</v>
      </c>
      <c r="DV49" s="26">
        <v>200.0</v>
      </c>
      <c r="DW49" s="33">
        <v>10.04</v>
      </c>
      <c r="DX49" s="44">
        <f t="shared" si="20"/>
        <v>8.0150618612157061</v>
      </c>
    </row>
    <row r="50" spans="1:128" ht="15.75" customHeight="1">
      <c r="A50" s="26">
        <v>44</v>
      </c>
      <c r="B50" s="26" t="s">
        <v>451</v>
      </c>
      <c r="C50" s="26" t="s">
        <v>452</v>
      </c>
      <c r="D50" s="27" t="s">
        <v>23</v>
      </c>
      <c r="E50" s="26">
        <v>639</v>
      </c>
      <c r="F50" s="26">
        <v>110</v>
      </c>
      <c r="G50" s="26">
        <v>110</v>
      </c>
      <c r="H50" s="26">
        <v>108</v>
      </c>
      <c r="I50" s="26">
        <v>2</v>
      </c>
      <c r="J50" s="28">
        <v>1298</v>
      </c>
      <c r="K50" s="26">
        <v>200</v>
      </c>
      <c r="L50" s="26">
        <v>202</v>
      </c>
      <c r="M50" s="26">
        <v>193</v>
      </c>
      <c r="N50" s="26">
        <v>2</v>
      </c>
      <c r="O50" s="28">
        <v>595</v>
      </c>
      <c r="P50" s="26">
        <v>134</v>
      </c>
      <c r="Q50" s="26">
        <v>140</v>
      </c>
      <c r="R50" s="26">
        <v>122</v>
      </c>
      <c r="S50" s="27">
        <v>17</v>
      </c>
      <c r="T50" s="26">
        <f t="shared" si="0"/>
        <v>2532</v>
      </c>
      <c r="U50" s="26">
        <f t="shared" si="1"/>
        <v>423</v>
      </c>
      <c r="V50" s="26">
        <f t="shared" si="2"/>
        <v>452</v>
      </c>
      <c r="W50" s="26">
        <v>440</v>
      </c>
      <c r="X50" s="29">
        <f t="shared" si="3"/>
        <v>5.7545454545454549</v>
      </c>
      <c r="Y50" s="30">
        <v>871</v>
      </c>
      <c r="Z50" s="26">
        <v>124</v>
      </c>
      <c r="AA50" s="26">
        <v>124</v>
      </c>
      <c r="AB50" s="26">
        <v>112</v>
      </c>
      <c r="AC50" s="26">
        <v>12</v>
      </c>
      <c r="AD50" s="45">
        <v>1345</v>
      </c>
      <c r="AE50" s="26">
        <v>210</v>
      </c>
      <c r="AF50" s="26">
        <v>210</v>
      </c>
      <c r="AG50" s="26">
        <v>197</v>
      </c>
      <c r="AH50" s="26">
        <v>13</v>
      </c>
      <c r="AI50" s="26">
        <v>180</v>
      </c>
      <c r="AJ50" s="26">
        <v>179</v>
      </c>
      <c r="AK50" s="26">
        <v>150</v>
      </c>
      <c r="AL50" s="26">
        <v>30</v>
      </c>
      <c r="AM50" s="26">
        <f t="shared" si="4"/>
        <v>2216</v>
      </c>
      <c r="AN50" s="32">
        <f t="shared" si="5"/>
        <v>459</v>
      </c>
      <c r="AO50" s="32">
        <f t="shared" si="6"/>
        <v>513</v>
      </c>
      <c r="AP50" s="32">
        <v>495</v>
      </c>
      <c r="AQ50" s="33">
        <f t="shared" si="7"/>
        <v>4.4767676767676772</v>
      </c>
      <c r="AR50" s="29">
        <f t="shared" si="8"/>
        <v>-12.480252764612953</v>
      </c>
      <c r="AS50" s="26">
        <v>168</v>
      </c>
      <c r="AT50" s="26">
        <v>168</v>
      </c>
      <c r="AU50" s="26">
        <v>161</v>
      </c>
      <c r="AV50" s="26">
        <v>7</v>
      </c>
      <c r="AW50" s="26">
        <v>203</v>
      </c>
      <c r="AX50" s="26">
        <v>203</v>
      </c>
      <c r="AY50" s="26">
        <v>187</v>
      </c>
      <c r="AZ50" s="26">
        <v>16</v>
      </c>
      <c r="BA50" s="26">
        <v>212</v>
      </c>
      <c r="BB50" s="26">
        <v>212</v>
      </c>
      <c r="BC50" s="26">
        <v>182</v>
      </c>
      <c r="BD50" s="26">
        <v>21</v>
      </c>
      <c r="BE50" s="26">
        <v>21</v>
      </c>
      <c r="BF50" s="26">
        <v>9</v>
      </c>
      <c r="BG50" s="26">
        <v>9</v>
      </c>
      <c r="BH50" s="26">
        <v>12</v>
      </c>
      <c r="BI50" s="26">
        <v>31</v>
      </c>
      <c r="BJ50" s="26">
        <v>27</v>
      </c>
      <c r="BK50" s="26"/>
      <c r="BL50" s="27"/>
      <c r="BM50" s="34">
        <v>3356</v>
      </c>
      <c r="BN50" s="26">
        <v>560</v>
      </c>
      <c r="BO50" s="35">
        <f t="shared" si="9"/>
        <v>566</v>
      </c>
      <c r="BP50" s="35">
        <f t="shared" si="10"/>
        <v>623</v>
      </c>
      <c r="BQ50" s="36">
        <f t="shared" si="11"/>
        <v>5.9928571428571429</v>
      </c>
      <c r="BR50" s="37">
        <f t="shared" si="12"/>
        <v>51.444043321299638</v>
      </c>
      <c r="BS50" s="26">
        <v>168</v>
      </c>
      <c r="BT50" s="26">
        <v>168</v>
      </c>
      <c r="BU50" s="26">
        <v>164</v>
      </c>
      <c r="BV50" s="26">
        <v>4</v>
      </c>
      <c r="BW50" s="26">
        <v>200</v>
      </c>
      <c r="BX50" s="26">
        <v>200</v>
      </c>
      <c r="BY50" s="26">
        <v>190</v>
      </c>
      <c r="BZ50" s="26">
        <v>10</v>
      </c>
      <c r="CA50" s="26">
        <v>206</v>
      </c>
      <c r="CB50" s="26">
        <v>190</v>
      </c>
      <c r="CC50" s="26">
        <v>163</v>
      </c>
      <c r="CD50" s="26">
        <v>30</v>
      </c>
      <c r="CE50" s="26">
        <v>30</v>
      </c>
      <c r="CF50" s="26">
        <v>18</v>
      </c>
      <c r="CG50" s="26">
        <v>13</v>
      </c>
      <c r="CH50" s="26">
        <v>17</v>
      </c>
      <c r="CI50" s="26">
        <v>29</v>
      </c>
      <c r="CJ50" s="26">
        <v>30</v>
      </c>
      <c r="CK50" s="26">
        <v>21</v>
      </c>
      <c r="CL50" s="26">
        <v>8</v>
      </c>
      <c r="CM50" s="26">
        <v>2</v>
      </c>
      <c r="CN50" s="26">
        <v>1</v>
      </c>
      <c r="CO50" s="27">
        <v>1</v>
      </c>
      <c r="CP50" s="34">
        <v>3880</v>
      </c>
      <c r="CQ50" s="26">
        <f t="shared" si="13"/>
        <v>552</v>
      </c>
      <c r="CR50" s="26">
        <f t="shared" si="14"/>
        <v>608</v>
      </c>
      <c r="CS50" s="26">
        <v>560</v>
      </c>
      <c r="CT50" s="36">
        <f t="shared" si="15"/>
        <v>6.9285714285714288</v>
      </c>
      <c r="CU50" s="38">
        <f t="shared" si="16"/>
        <v>15.613825983313468</v>
      </c>
      <c r="CV50" s="26">
        <v>168.0</v>
      </c>
      <c r="CW50" s="26">
        <v>165</v>
      </c>
      <c r="CX50" s="26">
        <v>161</v>
      </c>
      <c r="CY50" s="26">
        <v>7</v>
      </c>
      <c r="CZ50" s="26">
        <v>203.0</v>
      </c>
      <c r="DA50" s="26">
        <v>204</v>
      </c>
      <c r="DB50" s="26">
        <v>190</v>
      </c>
      <c r="DC50" s="26">
        <v>13</v>
      </c>
      <c r="DD50" s="26">
        <v>193.0</v>
      </c>
      <c r="DE50" s="26">
        <v>193</v>
      </c>
      <c r="DF50" s="26">
        <v>165</v>
      </c>
      <c r="DG50" s="26">
        <v>44</v>
      </c>
      <c r="DH50" s="26"/>
      <c r="DI50" s="78">
        <v>21</v>
      </c>
      <c r="DJ50" s="26">
        <v>16</v>
      </c>
      <c r="DK50" s="26"/>
      <c r="DL50" s="26">
        <v>64</v>
      </c>
      <c r="DM50" s="26">
        <v>30</v>
      </c>
      <c r="DN50" s="26">
        <v>26</v>
      </c>
      <c r="DO50" s="26"/>
      <c r="DP50" s="82">
        <v>0</v>
      </c>
      <c r="DQ50" s="80">
        <v>0</v>
      </c>
      <c r="DR50" s="27"/>
      <c r="DS50" s="81">
        <v>3720</v>
      </c>
      <c r="DT50" s="43">
        <f t="shared" si="17"/>
        <v>558</v>
      </c>
      <c r="DU50" s="43">
        <f t="shared" si="18"/>
        <v>613</v>
      </c>
      <c r="DV50" s="26">
        <v>560.0</v>
      </c>
      <c r="DW50" s="33">
        <v>6.642857143</v>
      </c>
      <c r="DX50" s="44">
        <f t="shared" si="20"/>
        <v>-4.1237113402061851</v>
      </c>
    </row>
    <row r="51" spans="1:128" ht="15.75" customHeight="1">
      <c r="A51" s="26">
        <v>45</v>
      </c>
      <c r="B51" s="26" t="s">
        <v>453</v>
      </c>
      <c r="C51" s="26" t="s">
        <v>454</v>
      </c>
      <c r="D51" s="27" t="s">
        <v>23</v>
      </c>
      <c r="E51" s="26">
        <v>191</v>
      </c>
      <c r="F51" s="26">
        <v>25</v>
      </c>
      <c r="G51" s="26">
        <v>25</v>
      </c>
      <c r="H51" s="26">
        <v>22</v>
      </c>
      <c r="I51" s="26">
        <v>3</v>
      </c>
      <c r="J51" s="28">
        <v>208</v>
      </c>
      <c r="K51" s="26">
        <v>49</v>
      </c>
      <c r="L51" s="26">
        <v>49</v>
      </c>
      <c r="M51" s="26">
        <v>46</v>
      </c>
      <c r="N51" s="26">
        <v>3</v>
      </c>
      <c r="O51" s="28">
        <v>35</v>
      </c>
      <c r="P51" s="26">
        <v>33</v>
      </c>
      <c r="Q51" s="26">
        <v>18</v>
      </c>
      <c r="R51" s="26">
        <v>9</v>
      </c>
      <c r="S51" s="27">
        <v>23</v>
      </c>
      <c r="T51" s="26">
        <f t="shared" si="0"/>
        <v>434</v>
      </c>
      <c r="U51" s="26">
        <f t="shared" si="1"/>
        <v>77</v>
      </c>
      <c r="V51" s="26">
        <f t="shared" si="2"/>
        <v>92</v>
      </c>
      <c r="W51" s="26">
        <v>100</v>
      </c>
      <c r="X51" s="29">
        <f t="shared" si="3"/>
        <v>4.34</v>
      </c>
      <c r="Y51" s="30">
        <v>309</v>
      </c>
      <c r="Z51" s="26">
        <v>28</v>
      </c>
      <c r="AA51" s="26">
        <v>28</v>
      </c>
      <c r="AB51" s="26">
        <v>23</v>
      </c>
      <c r="AC51" s="26">
        <v>5</v>
      </c>
      <c r="AD51" s="45">
        <v>237</v>
      </c>
      <c r="AE51" s="26">
        <v>49</v>
      </c>
      <c r="AF51" s="26">
        <v>49</v>
      </c>
      <c r="AG51" s="26">
        <v>47</v>
      </c>
      <c r="AH51" s="26">
        <v>2</v>
      </c>
      <c r="AI51" s="26">
        <v>40</v>
      </c>
      <c r="AJ51" s="26">
        <v>17</v>
      </c>
      <c r="AK51" s="26">
        <v>16</v>
      </c>
      <c r="AL51" s="26">
        <v>24</v>
      </c>
      <c r="AM51" s="26">
        <f t="shared" si="4"/>
        <v>546</v>
      </c>
      <c r="AN51" s="32">
        <f t="shared" si="5"/>
        <v>86</v>
      </c>
      <c r="AO51" s="32">
        <f t="shared" si="6"/>
        <v>94</v>
      </c>
      <c r="AP51" s="32">
        <v>110</v>
      </c>
      <c r="AQ51" s="33">
        <f t="shared" si="7"/>
        <v>4.9636363636363638</v>
      </c>
      <c r="AR51" s="29">
        <f t="shared" si="8"/>
        <v>25.806451612903224</v>
      </c>
      <c r="AS51" s="26">
        <v>42</v>
      </c>
      <c r="AT51" s="26">
        <v>42</v>
      </c>
      <c r="AU51" s="26">
        <v>40</v>
      </c>
      <c r="AV51" s="26">
        <v>2</v>
      </c>
      <c r="AW51" s="26">
        <v>51</v>
      </c>
      <c r="AX51" s="26">
        <v>51</v>
      </c>
      <c r="AY51" s="26">
        <v>44</v>
      </c>
      <c r="AZ51" s="26">
        <v>7</v>
      </c>
      <c r="BA51" s="26">
        <v>56</v>
      </c>
      <c r="BB51" s="26">
        <v>24</v>
      </c>
      <c r="BC51" s="26">
        <v>19</v>
      </c>
      <c r="BD51" s="26">
        <v>32</v>
      </c>
      <c r="BE51" s="26">
        <v>32</v>
      </c>
      <c r="BF51" s="26">
        <v>4</v>
      </c>
      <c r="BG51" s="26">
        <v>3</v>
      </c>
      <c r="BH51" s="26">
        <v>29</v>
      </c>
      <c r="BI51" s="26">
        <v>0</v>
      </c>
      <c r="BJ51" s="26">
        <v>0</v>
      </c>
      <c r="BK51" s="26"/>
      <c r="BL51" s="27"/>
      <c r="BM51" s="34">
        <v>750</v>
      </c>
      <c r="BN51" s="26">
        <v>140</v>
      </c>
      <c r="BO51" s="35">
        <f t="shared" si="9"/>
        <v>106</v>
      </c>
      <c r="BP51" s="35">
        <f t="shared" si="10"/>
        <v>121</v>
      </c>
      <c r="BQ51" s="36">
        <f t="shared" si="11"/>
        <v>5.3571428571428568</v>
      </c>
      <c r="BR51" s="37">
        <f t="shared" si="12"/>
        <v>37.362637362637365</v>
      </c>
      <c r="BS51" s="26">
        <v>42</v>
      </c>
      <c r="BT51" s="26">
        <v>42</v>
      </c>
      <c r="BU51" s="26">
        <v>40</v>
      </c>
      <c r="BV51" s="26">
        <v>2</v>
      </c>
      <c r="BW51" s="26">
        <v>51</v>
      </c>
      <c r="BX51" s="26">
        <v>51</v>
      </c>
      <c r="BY51" s="26">
        <v>46</v>
      </c>
      <c r="BZ51" s="26">
        <v>5</v>
      </c>
      <c r="CA51" s="26">
        <v>54</v>
      </c>
      <c r="CB51" s="26">
        <v>28</v>
      </c>
      <c r="CC51" s="26">
        <v>21</v>
      </c>
      <c r="CD51" s="26">
        <v>30</v>
      </c>
      <c r="CE51" s="26">
        <v>30</v>
      </c>
      <c r="CF51" s="26">
        <v>4</v>
      </c>
      <c r="CG51" s="26">
        <v>3</v>
      </c>
      <c r="CH51" s="26">
        <v>27</v>
      </c>
      <c r="CI51" s="26">
        <v>30</v>
      </c>
      <c r="CJ51" s="26">
        <v>1</v>
      </c>
      <c r="CK51" s="26">
        <v>0</v>
      </c>
      <c r="CL51" s="26">
        <v>30</v>
      </c>
      <c r="CM51" s="26"/>
      <c r="CN51" s="26"/>
      <c r="CO51" s="27">
        <v>0</v>
      </c>
      <c r="CP51" s="34">
        <v>983</v>
      </c>
      <c r="CQ51" s="26">
        <f t="shared" si="13"/>
        <v>110</v>
      </c>
      <c r="CR51" s="26">
        <f t="shared" si="14"/>
        <v>126</v>
      </c>
      <c r="CS51" s="26">
        <v>140</v>
      </c>
      <c r="CT51" s="36">
        <f t="shared" si="15"/>
        <v>7.0214285714285714</v>
      </c>
      <c r="CU51" s="38">
        <f t="shared" si="16"/>
        <v>31.066666666666663</v>
      </c>
      <c r="CV51" s="26">
        <v>42.0</v>
      </c>
      <c r="CW51" s="26">
        <v>43</v>
      </c>
      <c r="CX51" s="26">
        <v>41</v>
      </c>
      <c r="CY51" s="26">
        <v>1</v>
      </c>
      <c r="CZ51" s="26">
        <v>50.0</v>
      </c>
      <c r="DA51" s="26">
        <v>51</v>
      </c>
      <c r="DB51" s="26">
        <v>45</v>
      </c>
      <c r="DC51" s="26">
        <v>5</v>
      </c>
      <c r="DD51" s="26">
        <v>49.0</v>
      </c>
      <c r="DE51" s="26">
        <v>38</v>
      </c>
      <c r="DF51" s="26">
        <v>36</v>
      </c>
      <c r="DG51" s="26">
        <v>18</v>
      </c>
      <c r="DH51" s="26"/>
      <c r="DI51" s="78">
        <v>7</v>
      </c>
      <c r="DJ51" s="26">
        <v>5</v>
      </c>
      <c r="DK51" s="26"/>
      <c r="DL51" s="26">
        <v>24</v>
      </c>
      <c r="DM51" s="26">
        <v>2</v>
      </c>
      <c r="DN51" s="26">
        <v>1</v>
      </c>
      <c r="DO51" s="26"/>
      <c r="DP51" s="78">
        <v>2</v>
      </c>
      <c r="DQ51" s="80">
        <v>1</v>
      </c>
      <c r="DR51" s="27"/>
      <c r="DS51" s="81">
        <v>1025</v>
      </c>
      <c r="DT51" s="43">
        <f t="shared" si="17"/>
        <v>129</v>
      </c>
      <c r="DU51" s="43">
        <f t="shared" si="18"/>
        <v>143</v>
      </c>
      <c r="DV51" s="26">
        <v>140.0</v>
      </c>
      <c r="DW51" s="33">
        <v>7.321428571</v>
      </c>
      <c r="DX51" s="44">
        <f t="shared" si="20"/>
        <v>4.2726347914547302</v>
      </c>
    </row>
    <row r="52" spans="1:128" ht="15.75" customHeight="1">
      <c r="A52" s="26">
        <v>46</v>
      </c>
      <c r="B52" s="26" t="s">
        <v>455</v>
      </c>
      <c r="C52" s="26" t="s">
        <v>456</v>
      </c>
      <c r="D52" s="27" t="s">
        <v>23</v>
      </c>
      <c r="E52" s="26">
        <v>183</v>
      </c>
      <c r="F52" s="26">
        <v>25</v>
      </c>
      <c r="G52" s="26">
        <v>25</v>
      </c>
      <c r="H52" s="26">
        <v>22</v>
      </c>
      <c r="I52" s="26">
        <v>3</v>
      </c>
      <c r="J52" s="28">
        <v>195</v>
      </c>
      <c r="K52" s="26">
        <v>47</v>
      </c>
      <c r="L52" s="26">
        <v>47</v>
      </c>
      <c r="M52" s="26">
        <v>38</v>
      </c>
      <c r="N52" s="26">
        <v>7</v>
      </c>
      <c r="O52" s="28">
        <v>28</v>
      </c>
      <c r="P52" s="26">
        <v>37</v>
      </c>
      <c r="Q52" s="26">
        <v>18</v>
      </c>
      <c r="R52" s="26">
        <v>14</v>
      </c>
      <c r="S52" s="27">
        <v>26</v>
      </c>
      <c r="T52" s="26">
        <f t="shared" si="0"/>
        <v>406</v>
      </c>
      <c r="U52" s="26">
        <f t="shared" si="1"/>
        <v>74</v>
      </c>
      <c r="V52" s="26">
        <f t="shared" si="2"/>
        <v>90</v>
      </c>
      <c r="W52" s="26">
        <v>100</v>
      </c>
      <c r="X52" s="29">
        <f t="shared" si="3"/>
        <v>4.0599999999999996</v>
      </c>
      <c r="Y52" s="30">
        <v>212</v>
      </c>
      <c r="Z52" s="26">
        <v>28</v>
      </c>
      <c r="AA52" s="26">
        <v>28</v>
      </c>
      <c r="AB52" s="26">
        <v>22</v>
      </c>
      <c r="AC52" s="26">
        <v>6</v>
      </c>
      <c r="AD52" s="45">
        <v>162</v>
      </c>
      <c r="AE52" s="26">
        <v>50</v>
      </c>
      <c r="AF52" s="26">
        <v>50</v>
      </c>
      <c r="AG52" s="26">
        <v>43</v>
      </c>
      <c r="AH52" s="26">
        <v>7</v>
      </c>
      <c r="AI52" s="26">
        <v>44</v>
      </c>
      <c r="AJ52" s="26">
        <v>6</v>
      </c>
      <c r="AK52" s="26">
        <v>4</v>
      </c>
      <c r="AL52" s="26">
        <v>40</v>
      </c>
      <c r="AM52" s="26">
        <f t="shared" si="4"/>
        <v>374</v>
      </c>
      <c r="AN52" s="32">
        <f t="shared" si="5"/>
        <v>69</v>
      </c>
      <c r="AO52" s="32">
        <f t="shared" si="6"/>
        <v>84</v>
      </c>
      <c r="AP52" s="32">
        <v>110</v>
      </c>
      <c r="AQ52" s="33">
        <f t="shared" si="7"/>
        <v>3.4</v>
      </c>
      <c r="AR52" s="29">
        <f t="shared" si="8"/>
        <v>-7.8817733990147785</v>
      </c>
      <c r="AS52" s="26">
        <v>36</v>
      </c>
      <c r="AT52" s="26">
        <v>36</v>
      </c>
      <c r="AU52" s="26">
        <v>30</v>
      </c>
      <c r="AV52" s="26">
        <v>6</v>
      </c>
      <c r="AW52" s="26">
        <v>48</v>
      </c>
      <c r="AX52" s="26">
        <v>48</v>
      </c>
      <c r="AY52" s="26">
        <v>44</v>
      </c>
      <c r="AZ52" s="26">
        <v>4</v>
      </c>
      <c r="BA52" s="26">
        <v>46</v>
      </c>
      <c r="BB52" s="26">
        <v>22</v>
      </c>
      <c r="BC52" s="26">
        <v>18</v>
      </c>
      <c r="BD52" s="26">
        <v>30</v>
      </c>
      <c r="BE52" s="26">
        <v>30</v>
      </c>
      <c r="BF52" s="26">
        <v>0</v>
      </c>
      <c r="BG52" s="26">
        <v>0</v>
      </c>
      <c r="BH52" s="26">
        <v>30</v>
      </c>
      <c r="BI52" s="26">
        <v>0</v>
      </c>
      <c r="BJ52" s="26">
        <v>0</v>
      </c>
      <c r="BK52" s="26"/>
      <c r="BL52" s="27"/>
      <c r="BM52" s="34">
        <v>583</v>
      </c>
      <c r="BN52" s="26">
        <v>120</v>
      </c>
      <c r="BO52" s="35">
        <f t="shared" si="9"/>
        <v>92</v>
      </c>
      <c r="BP52" s="35">
        <f t="shared" si="10"/>
        <v>106</v>
      </c>
      <c r="BQ52" s="36">
        <f t="shared" si="11"/>
        <v>4.8583333333333334</v>
      </c>
      <c r="BR52" s="37">
        <f t="shared" si="12"/>
        <v>55.882352941176471</v>
      </c>
      <c r="BS52" s="26">
        <v>36</v>
      </c>
      <c r="BT52" s="26">
        <v>36</v>
      </c>
      <c r="BU52" s="26">
        <v>30</v>
      </c>
      <c r="BV52" s="26">
        <v>6</v>
      </c>
      <c r="BW52" s="26">
        <v>48</v>
      </c>
      <c r="BX52" s="26">
        <v>48</v>
      </c>
      <c r="BY52" s="26">
        <v>46</v>
      </c>
      <c r="BZ52" s="26">
        <v>2</v>
      </c>
      <c r="CA52" s="26">
        <v>44</v>
      </c>
      <c r="CB52" s="26">
        <v>18</v>
      </c>
      <c r="CC52" s="26">
        <v>13</v>
      </c>
      <c r="CD52" s="26">
        <v>28</v>
      </c>
      <c r="CE52" s="26">
        <v>28</v>
      </c>
      <c r="CF52" s="26">
        <v>5</v>
      </c>
      <c r="CG52" s="26">
        <v>3</v>
      </c>
      <c r="CH52" s="26">
        <v>25</v>
      </c>
      <c r="CI52" s="26">
        <v>28</v>
      </c>
      <c r="CJ52" s="26">
        <v>1</v>
      </c>
      <c r="CK52" s="26">
        <v>1</v>
      </c>
      <c r="CL52" s="26">
        <v>27</v>
      </c>
      <c r="CM52" s="26"/>
      <c r="CN52" s="26"/>
      <c r="CO52" s="27">
        <v>0</v>
      </c>
      <c r="CP52" s="34">
        <v>717</v>
      </c>
      <c r="CQ52" s="26">
        <f t="shared" si="13"/>
        <v>93</v>
      </c>
      <c r="CR52" s="26">
        <f t="shared" si="14"/>
        <v>108</v>
      </c>
      <c r="CS52" s="26">
        <v>120</v>
      </c>
      <c r="CT52" s="36">
        <f t="shared" si="15"/>
        <v>5.9749999999999996</v>
      </c>
      <c r="CU52" s="38">
        <f t="shared" si="16"/>
        <v>22.984562607204118</v>
      </c>
      <c r="CV52" s="26">
        <v>36.0</v>
      </c>
      <c r="CW52" s="26">
        <v>34</v>
      </c>
      <c r="CX52" s="26">
        <v>32</v>
      </c>
      <c r="CY52" s="26">
        <v>4</v>
      </c>
      <c r="CZ52" s="26">
        <v>46.0</v>
      </c>
      <c r="DA52" s="26">
        <v>46</v>
      </c>
      <c r="DB52" s="26">
        <v>39</v>
      </c>
      <c r="DC52" s="26">
        <v>7</v>
      </c>
      <c r="DD52" s="26">
        <v>48.0</v>
      </c>
      <c r="DE52" s="26">
        <v>12</v>
      </c>
      <c r="DF52" s="26">
        <v>11</v>
      </c>
      <c r="DG52" s="26">
        <v>38</v>
      </c>
      <c r="DH52" s="26"/>
      <c r="DI52" s="78">
        <v>3</v>
      </c>
      <c r="DJ52" s="26">
        <v>1</v>
      </c>
      <c r="DK52" s="26"/>
      <c r="DL52" s="26">
        <v>49</v>
      </c>
      <c r="DM52" s="26">
        <v>1</v>
      </c>
      <c r="DN52" s="26">
        <v>1</v>
      </c>
      <c r="DO52" s="26"/>
      <c r="DP52" s="78">
        <v>0</v>
      </c>
      <c r="DQ52" s="80">
        <v>0</v>
      </c>
      <c r="DR52" s="27"/>
      <c r="DS52" s="81">
        <v>643</v>
      </c>
      <c r="DT52" s="43">
        <f t="shared" si="17"/>
        <v>84</v>
      </c>
      <c r="DU52" s="43">
        <f t="shared" si="18"/>
        <v>96</v>
      </c>
      <c r="DV52" s="26">
        <v>120.0</v>
      </c>
      <c r="DW52" s="33">
        <v>5.358333333</v>
      </c>
      <c r="DX52" s="44">
        <f t="shared" si="20"/>
        <v>-10.320781032078104</v>
      </c>
    </row>
    <row r="53" spans="1:128" ht="15.75" customHeight="1">
      <c r="A53" s="26">
        <v>47</v>
      </c>
      <c r="B53" s="26" t="s">
        <v>457</v>
      </c>
      <c r="C53" s="26" t="s">
        <v>458</v>
      </c>
      <c r="D53" s="27" t="s">
        <v>23</v>
      </c>
      <c r="E53" s="26">
        <v>127</v>
      </c>
      <c r="F53" s="26">
        <v>25</v>
      </c>
      <c r="G53" s="26">
        <v>25</v>
      </c>
      <c r="H53" s="26">
        <v>22</v>
      </c>
      <c r="I53" s="26">
        <v>3</v>
      </c>
      <c r="J53" s="28">
        <v>117</v>
      </c>
      <c r="K53" s="26">
        <v>48</v>
      </c>
      <c r="L53" s="26">
        <v>48</v>
      </c>
      <c r="M53" s="26">
        <v>42</v>
      </c>
      <c r="N53" s="26">
        <v>5</v>
      </c>
      <c r="O53" s="28">
        <v>32</v>
      </c>
      <c r="P53" s="26">
        <v>35</v>
      </c>
      <c r="Q53" s="26">
        <v>22</v>
      </c>
      <c r="R53" s="26">
        <v>15</v>
      </c>
      <c r="S53" s="27">
        <v>21</v>
      </c>
      <c r="T53" s="26">
        <f t="shared" si="0"/>
        <v>276</v>
      </c>
      <c r="U53" s="26">
        <f t="shared" si="1"/>
        <v>79</v>
      </c>
      <c r="V53" s="26">
        <f t="shared" si="2"/>
        <v>95</v>
      </c>
      <c r="W53" s="26">
        <v>100</v>
      </c>
      <c r="X53" s="29">
        <f t="shared" si="3"/>
        <v>2.76</v>
      </c>
      <c r="Y53" s="30">
        <v>149</v>
      </c>
      <c r="Z53" s="26">
        <v>28</v>
      </c>
      <c r="AA53" s="26">
        <v>28</v>
      </c>
      <c r="AB53" s="26">
        <v>23</v>
      </c>
      <c r="AC53" s="26">
        <v>5</v>
      </c>
      <c r="AD53" s="45">
        <v>137</v>
      </c>
      <c r="AE53" s="26">
        <v>49</v>
      </c>
      <c r="AF53" s="26">
        <v>49</v>
      </c>
      <c r="AG53" s="26">
        <v>41</v>
      </c>
      <c r="AH53" s="26">
        <v>8</v>
      </c>
      <c r="AI53" s="26">
        <v>44</v>
      </c>
      <c r="AJ53" s="26">
        <v>16</v>
      </c>
      <c r="AK53" s="26">
        <v>12</v>
      </c>
      <c r="AL53" s="26">
        <v>32</v>
      </c>
      <c r="AM53" s="26">
        <f t="shared" si="4"/>
        <v>286</v>
      </c>
      <c r="AN53" s="32">
        <f t="shared" si="5"/>
        <v>76</v>
      </c>
      <c r="AO53" s="32">
        <f t="shared" si="6"/>
        <v>93</v>
      </c>
      <c r="AP53" s="32">
        <v>110</v>
      </c>
      <c r="AQ53" s="33">
        <f t="shared" si="7"/>
        <v>2.6</v>
      </c>
      <c r="AR53" s="29">
        <f t="shared" si="8"/>
        <v>3.6231884057971016</v>
      </c>
      <c r="AS53" s="26">
        <v>48</v>
      </c>
      <c r="AT53" s="26">
        <v>48</v>
      </c>
      <c r="AU53" s="26">
        <v>46</v>
      </c>
      <c r="AV53" s="26">
        <v>2</v>
      </c>
      <c r="AW53" s="26">
        <v>58</v>
      </c>
      <c r="AX53" s="26">
        <v>58</v>
      </c>
      <c r="AY53" s="26">
        <v>51</v>
      </c>
      <c r="AZ53" s="26">
        <v>7</v>
      </c>
      <c r="BA53" s="26">
        <v>63</v>
      </c>
      <c r="BB53" s="26">
        <v>21</v>
      </c>
      <c r="BC53" s="26">
        <v>10</v>
      </c>
      <c r="BD53" s="26">
        <v>48</v>
      </c>
      <c r="BE53" s="26">
        <v>48</v>
      </c>
      <c r="BF53" s="26">
        <v>1</v>
      </c>
      <c r="BG53" s="26">
        <v>0</v>
      </c>
      <c r="BH53" s="26">
        <v>48</v>
      </c>
      <c r="BI53" s="26">
        <v>0</v>
      </c>
      <c r="BJ53" s="26">
        <v>0</v>
      </c>
      <c r="BK53" s="26"/>
      <c r="BL53" s="27"/>
      <c r="BM53" s="34">
        <v>347</v>
      </c>
      <c r="BN53" s="26">
        <v>160</v>
      </c>
      <c r="BO53" s="35">
        <f t="shared" si="9"/>
        <v>107</v>
      </c>
      <c r="BP53" s="35">
        <f t="shared" si="10"/>
        <v>128</v>
      </c>
      <c r="BQ53" s="36">
        <f t="shared" si="11"/>
        <v>2.1687500000000002</v>
      </c>
      <c r="BR53" s="37">
        <f t="shared" si="12"/>
        <v>21.328671328671327</v>
      </c>
      <c r="BS53" s="26">
        <v>48</v>
      </c>
      <c r="BT53" s="26">
        <v>48</v>
      </c>
      <c r="BU53" s="26">
        <v>47</v>
      </c>
      <c r="BV53" s="26">
        <v>1</v>
      </c>
      <c r="BW53" s="26">
        <v>57</v>
      </c>
      <c r="BX53" s="26">
        <v>57</v>
      </c>
      <c r="BY53" s="26">
        <v>43</v>
      </c>
      <c r="BZ53" s="26">
        <v>14</v>
      </c>
      <c r="CA53" s="26">
        <v>70</v>
      </c>
      <c r="CB53" s="26">
        <v>16</v>
      </c>
      <c r="CC53" s="26">
        <v>10</v>
      </c>
      <c r="CD53" s="26">
        <v>57</v>
      </c>
      <c r="CE53" s="26">
        <v>57</v>
      </c>
      <c r="CF53" s="26">
        <v>4</v>
      </c>
      <c r="CG53" s="26">
        <v>3</v>
      </c>
      <c r="CH53" s="26">
        <v>54</v>
      </c>
      <c r="CI53" s="26">
        <v>56</v>
      </c>
      <c r="CJ53" s="26">
        <v>2</v>
      </c>
      <c r="CK53" s="26">
        <v>1</v>
      </c>
      <c r="CL53" s="26">
        <v>55</v>
      </c>
      <c r="CM53" s="26">
        <v>1</v>
      </c>
      <c r="CN53" s="26"/>
      <c r="CO53" s="27">
        <v>1</v>
      </c>
      <c r="CP53" s="34">
        <v>460</v>
      </c>
      <c r="CQ53" s="26">
        <f t="shared" si="13"/>
        <v>104</v>
      </c>
      <c r="CR53" s="26">
        <f t="shared" si="14"/>
        <v>128</v>
      </c>
      <c r="CS53" s="26">
        <v>160</v>
      </c>
      <c r="CT53" s="36">
        <f t="shared" si="15"/>
        <v>2.875</v>
      </c>
      <c r="CU53" s="38">
        <f t="shared" si="16"/>
        <v>32.564841498559076</v>
      </c>
      <c r="CV53" s="26">
        <v>48.0</v>
      </c>
      <c r="CW53" s="26">
        <v>50</v>
      </c>
      <c r="CX53" s="26">
        <v>48</v>
      </c>
      <c r="CY53" s="26">
        <v>0</v>
      </c>
      <c r="CZ53" s="26">
        <v>56.0</v>
      </c>
      <c r="DA53" s="26">
        <v>56</v>
      </c>
      <c r="DB53" s="26">
        <v>42</v>
      </c>
      <c r="DC53" s="26">
        <v>14</v>
      </c>
      <c r="DD53" s="26">
        <v>69.0</v>
      </c>
      <c r="DE53" s="26">
        <v>21</v>
      </c>
      <c r="DF53" s="26">
        <v>12</v>
      </c>
      <c r="DG53" s="26">
        <v>58</v>
      </c>
      <c r="DH53" s="26"/>
      <c r="DI53" s="78">
        <v>2</v>
      </c>
      <c r="DJ53" s="26">
        <v>1</v>
      </c>
      <c r="DK53" s="26"/>
      <c r="DL53" s="26">
        <v>72</v>
      </c>
      <c r="DM53" s="26">
        <v>1</v>
      </c>
      <c r="DN53" s="26">
        <v>0</v>
      </c>
      <c r="DO53" s="26"/>
      <c r="DP53" s="82">
        <v>0</v>
      </c>
      <c r="DQ53" s="80">
        <v>0</v>
      </c>
      <c r="DR53" s="27"/>
      <c r="DS53" s="81">
        <v>404</v>
      </c>
      <c r="DT53" s="43">
        <f t="shared" si="17"/>
        <v>103</v>
      </c>
      <c r="DU53" s="43">
        <f t="shared" si="18"/>
        <v>130</v>
      </c>
      <c r="DV53" s="26">
        <v>160.0</v>
      </c>
      <c r="DW53" s="33">
        <v>2.525</v>
      </c>
      <c r="DX53" s="44">
        <f t="shared" si="20"/>
        <v>-12.173913043478262</v>
      </c>
    </row>
    <row r="54" spans="1:128" ht="15.75" customHeight="1">
      <c r="A54" s="26">
        <v>48</v>
      </c>
      <c r="B54" s="26" t="s">
        <v>459</v>
      </c>
      <c r="C54" s="26" t="s">
        <v>460</v>
      </c>
      <c r="D54" s="27" t="s">
        <v>23</v>
      </c>
      <c r="E54" s="26">
        <v>148</v>
      </c>
      <c r="F54" s="26">
        <v>25</v>
      </c>
      <c r="G54" s="26">
        <v>25</v>
      </c>
      <c r="H54" s="26">
        <v>23</v>
      </c>
      <c r="I54" s="26">
        <v>2</v>
      </c>
      <c r="J54" s="28">
        <v>120</v>
      </c>
      <c r="K54" s="26">
        <v>46</v>
      </c>
      <c r="L54" s="26">
        <v>46</v>
      </c>
      <c r="M54" s="26">
        <v>41</v>
      </c>
      <c r="N54" s="26">
        <v>4</v>
      </c>
      <c r="O54" s="28">
        <v>26</v>
      </c>
      <c r="P54" s="26">
        <v>34</v>
      </c>
      <c r="Q54" s="26">
        <v>11</v>
      </c>
      <c r="R54" s="26">
        <v>7</v>
      </c>
      <c r="S54" s="27">
        <v>29</v>
      </c>
      <c r="T54" s="26">
        <f t="shared" si="0"/>
        <v>294</v>
      </c>
      <c r="U54" s="26">
        <f t="shared" si="1"/>
        <v>71</v>
      </c>
      <c r="V54" s="26">
        <f t="shared" si="2"/>
        <v>82</v>
      </c>
      <c r="W54" s="26">
        <v>100</v>
      </c>
      <c r="X54" s="29">
        <f t="shared" si="3"/>
        <v>2.94</v>
      </c>
      <c r="Y54" s="30">
        <v>190</v>
      </c>
      <c r="Z54" s="26">
        <v>28</v>
      </c>
      <c r="AA54" s="26">
        <v>29</v>
      </c>
      <c r="AB54" s="26">
        <v>23</v>
      </c>
      <c r="AC54" s="26">
        <v>5</v>
      </c>
      <c r="AD54" s="45">
        <v>106</v>
      </c>
      <c r="AE54" s="26">
        <v>49</v>
      </c>
      <c r="AF54" s="26">
        <v>49</v>
      </c>
      <c r="AG54" s="26">
        <v>47</v>
      </c>
      <c r="AH54" s="26">
        <v>2</v>
      </c>
      <c r="AI54" s="26">
        <v>40</v>
      </c>
      <c r="AJ54" s="26">
        <v>14</v>
      </c>
      <c r="AK54" s="26">
        <v>12</v>
      </c>
      <c r="AL54" s="26">
        <v>28</v>
      </c>
      <c r="AM54" s="26">
        <f t="shared" si="4"/>
        <v>296</v>
      </c>
      <c r="AN54" s="32">
        <f t="shared" si="5"/>
        <v>82</v>
      </c>
      <c r="AO54" s="32">
        <f t="shared" si="6"/>
        <v>92</v>
      </c>
      <c r="AP54" s="32">
        <v>110</v>
      </c>
      <c r="AQ54" s="33">
        <f t="shared" si="7"/>
        <v>2.6909090909090909</v>
      </c>
      <c r="AR54" s="29">
        <f t="shared" si="8"/>
        <v>0.68027210884353739</v>
      </c>
      <c r="AS54" s="26">
        <v>48</v>
      </c>
      <c r="AT54" s="26">
        <v>48</v>
      </c>
      <c r="AU54" s="26">
        <v>42</v>
      </c>
      <c r="AV54" s="26">
        <v>6</v>
      </c>
      <c r="AW54" s="26">
        <v>62</v>
      </c>
      <c r="AX54" s="26">
        <v>62</v>
      </c>
      <c r="AY54" s="26">
        <v>54</v>
      </c>
      <c r="AZ54" s="26">
        <v>8</v>
      </c>
      <c r="BA54" s="26">
        <v>64</v>
      </c>
      <c r="BB54" s="26">
        <v>9</v>
      </c>
      <c r="BC54" s="26">
        <v>6</v>
      </c>
      <c r="BD54" s="26">
        <v>56</v>
      </c>
      <c r="BE54" s="26">
        <v>56</v>
      </c>
      <c r="BF54" s="26">
        <v>0</v>
      </c>
      <c r="BG54" s="26">
        <v>0</v>
      </c>
      <c r="BH54" s="26">
        <v>56</v>
      </c>
      <c r="BI54" s="26">
        <v>1</v>
      </c>
      <c r="BJ54" s="26">
        <v>0</v>
      </c>
      <c r="BK54" s="26"/>
      <c r="BL54" s="27"/>
      <c r="BM54" s="34">
        <v>355</v>
      </c>
      <c r="BN54" s="26">
        <v>160</v>
      </c>
      <c r="BO54" s="35">
        <f t="shared" si="9"/>
        <v>102</v>
      </c>
      <c r="BP54" s="35">
        <f t="shared" si="10"/>
        <v>120</v>
      </c>
      <c r="BQ54" s="36">
        <f t="shared" si="11"/>
        <v>2.21875</v>
      </c>
      <c r="BR54" s="37">
        <f t="shared" si="12"/>
        <v>19.932432432432432</v>
      </c>
      <c r="BS54" s="26">
        <v>48</v>
      </c>
      <c r="BT54" s="26">
        <v>48</v>
      </c>
      <c r="BU54" s="26">
        <v>41</v>
      </c>
      <c r="BV54" s="26">
        <v>7</v>
      </c>
      <c r="BW54" s="26">
        <v>63</v>
      </c>
      <c r="BX54" s="26">
        <v>63</v>
      </c>
      <c r="BY54" s="26">
        <v>58</v>
      </c>
      <c r="BZ54" s="26">
        <v>5</v>
      </c>
      <c r="CA54" s="26">
        <v>61</v>
      </c>
      <c r="CB54" s="26">
        <v>12</v>
      </c>
      <c r="CC54" s="26">
        <v>11</v>
      </c>
      <c r="CD54" s="26">
        <v>49</v>
      </c>
      <c r="CE54" s="26">
        <v>49</v>
      </c>
      <c r="CF54" s="26">
        <v>1</v>
      </c>
      <c r="CG54" s="26">
        <v>1</v>
      </c>
      <c r="CH54" s="26">
        <v>48</v>
      </c>
      <c r="CI54" s="26">
        <v>49</v>
      </c>
      <c r="CJ54" s="26">
        <v>0</v>
      </c>
      <c r="CK54" s="26">
        <v>0</v>
      </c>
      <c r="CL54" s="26">
        <v>49</v>
      </c>
      <c r="CM54" s="26"/>
      <c r="CN54" s="26"/>
      <c r="CO54" s="27">
        <v>0</v>
      </c>
      <c r="CP54" s="34">
        <v>499</v>
      </c>
      <c r="CQ54" s="26">
        <f t="shared" si="13"/>
        <v>111</v>
      </c>
      <c r="CR54" s="26">
        <f t="shared" si="14"/>
        <v>124</v>
      </c>
      <c r="CS54" s="26">
        <v>160</v>
      </c>
      <c r="CT54" s="36">
        <f t="shared" si="15"/>
        <v>3.1187499999999999</v>
      </c>
      <c r="CU54" s="38">
        <f t="shared" si="16"/>
        <v>40.563380281690144</v>
      </c>
      <c r="CV54" s="26">
        <v>48.0</v>
      </c>
      <c r="CW54" s="26">
        <v>47</v>
      </c>
      <c r="CX54" s="26">
        <v>47</v>
      </c>
      <c r="CY54" s="26">
        <v>1</v>
      </c>
      <c r="CZ54" s="26">
        <v>57.0</v>
      </c>
      <c r="DA54" s="26">
        <v>57</v>
      </c>
      <c r="DB54" s="26">
        <v>54</v>
      </c>
      <c r="DC54" s="26">
        <v>3</v>
      </c>
      <c r="DD54" s="26">
        <v>57.0</v>
      </c>
      <c r="DE54" s="26">
        <v>23</v>
      </c>
      <c r="DF54" s="26">
        <v>16</v>
      </c>
      <c r="DG54" s="26">
        <v>43</v>
      </c>
      <c r="DH54" s="26"/>
      <c r="DI54" s="78">
        <v>2</v>
      </c>
      <c r="DJ54" s="26">
        <v>2</v>
      </c>
      <c r="DK54" s="26"/>
      <c r="DL54" s="26">
        <v>47</v>
      </c>
      <c r="DM54" s="26">
        <v>0</v>
      </c>
      <c r="DN54" s="26">
        <v>0</v>
      </c>
      <c r="DO54" s="26"/>
      <c r="DP54" s="78">
        <v>0</v>
      </c>
      <c r="DQ54" s="80">
        <v>0</v>
      </c>
      <c r="DR54" s="27"/>
      <c r="DS54" s="81">
        <v>494</v>
      </c>
      <c r="DT54" s="43">
        <f t="shared" si="17"/>
        <v>119</v>
      </c>
      <c r="DU54" s="43">
        <f t="shared" si="18"/>
        <v>129</v>
      </c>
      <c r="DV54" s="26">
        <v>160.0</v>
      </c>
      <c r="DW54" s="33">
        <v>3.0875</v>
      </c>
      <c r="DX54" s="44">
        <f t="shared" si="20"/>
        <v>-1.002004008016032</v>
      </c>
    </row>
    <row r="55" spans="1:128" ht="15.75" customHeight="1">
      <c r="A55" s="26">
        <v>49</v>
      </c>
      <c r="B55" s="26" t="s">
        <v>461</v>
      </c>
      <c r="C55" s="26" t="s">
        <v>462</v>
      </c>
      <c r="D55" s="27" t="s">
        <v>23</v>
      </c>
      <c r="E55" s="26">
        <v>208</v>
      </c>
      <c r="F55" s="26">
        <v>23</v>
      </c>
      <c r="G55" s="26">
        <v>23</v>
      </c>
      <c r="H55" s="26">
        <v>22</v>
      </c>
      <c r="I55" s="26">
        <v>1</v>
      </c>
      <c r="J55" s="28">
        <v>257</v>
      </c>
      <c r="K55" s="26">
        <v>40</v>
      </c>
      <c r="L55" s="26">
        <v>41</v>
      </c>
      <c r="M55" s="26">
        <v>28</v>
      </c>
      <c r="N55" s="26">
        <v>7</v>
      </c>
      <c r="O55" s="28">
        <v>36</v>
      </c>
      <c r="P55" s="26">
        <v>34</v>
      </c>
      <c r="Q55" s="26">
        <v>21</v>
      </c>
      <c r="R55" s="26">
        <v>14</v>
      </c>
      <c r="S55" s="27">
        <v>26</v>
      </c>
      <c r="T55" s="26">
        <f t="shared" si="0"/>
        <v>501</v>
      </c>
      <c r="U55" s="26">
        <f t="shared" si="1"/>
        <v>64</v>
      </c>
      <c r="V55" s="26">
        <f t="shared" si="2"/>
        <v>85</v>
      </c>
      <c r="W55" s="26">
        <v>90</v>
      </c>
      <c r="X55" s="29">
        <f t="shared" si="3"/>
        <v>5.5666666666666664</v>
      </c>
      <c r="Y55" s="30">
        <v>328</v>
      </c>
      <c r="Z55" s="26">
        <v>25</v>
      </c>
      <c r="AA55" s="26">
        <v>25</v>
      </c>
      <c r="AB55" s="26">
        <v>20</v>
      </c>
      <c r="AC55" s="26">
        <v>5</v>
      </c>
      <c r="AD55" s="45">
        <v>320</v>
      </c>
      <c r="AE55" s="26">
        <v>45</v>
      </c>
      <c r="AF55" s="26">
        <v>45</v>
      </c>
      <c r="AG55" s="26">
        <v>42</v>
      </c>
      <c r="AH55" s="26">
        <v>3</v>
      </c>
      <c r="AI55" s="26">
        <v>38</v>
      </c>
      <c r="AJ55" s="26">
        <v>24</v>
      </c>
      <c r="AK55" s="26">
        <v>20</v>
      </c>
      <c r="AL55" s="26">
        <v>18</v>
      </c>
      <c r="AM55" s="26">
        <f t="shared" si="4"/>
        <v>648</v>
      </c>
      <c r="AN55" s="32">
        <f t="shared" si="5"/>
        <v>82</v>
      </c>
      <c r="AO55" s="32">
        <f t="shared" si="6"/>
        <v>94</v>
      </c>
      <c r="AP55" s="32">
        <v>100</v>
      </c>
      <c r="AQ55" s="33">
        <f t="shared" si="7"/>
        <v>6.48</v>
      </c>
      <c r="AR55" s="29">
        <f t="shared" si="8"/>
        <v>29.341317365269461</v>
      </c>
      <c r="AS55" s="26">
        <v>48</v>
      </c>
      <c r="AT55" s="26">
        <v>48</v>
      </c>
      <c r="AU55" s="26">
        <v>41</v>
      </c>
      <c r="AV55" s="26">
        <v>7</v>
      </c>
      <c r="AW55" s="26">
        <v>63</v>
      </c>
      <c r="AX55" s="26">
        <v>63</v>
      </c>
      <c r="AY55" s="26">
        <v>54</v>
      </c>
      <c r="AZ55" s="26">
        <v>9</v>
      </c>
      <c r="BA55" s="26">
        <v>65</v>
      </c>
      <c r="BB55" s="26">
        <v>43</v>
      </c>
      <c r="BC55" s="26">
        <v>34</v>
      </c>
      <c r="BD55" s="26">
        <v>29</v>
      </c>
      <c r="BE55" s="26">
        <v>29</v>
      </c>
      <c r="BF55" s="26">
        <v>3</v>
      </c>
      <c r="BG55" s="26">
        <v>3</v>
      </c>
      <c r="BH55" s="26">
        <v>26</v>
      </c>
      <c r="BI55" s="26">
        <v>1</v>
      </c>
      <c r="BJ55" s="26">
        <v>1</v>
      </c>
      <c r="BK55" s="26"/>
      <c r="BL55" s="27"/>
      <c r="BM55" s="34">
        <v>920</v>
      </c>
      <c r="BN55" s="26">
        <v>160</v>
      </c>
      <c r="BO55" s="35">
        <f t="shared" si="9"/>
        <v>133</v>
      </c>
      <c r="BP55" s="35">
        <f t="shared" si="10"/>
        <v>158</v>
      </c>
      <c r="BQ55" s="36">
        <f t="shared" si="11"/>
        <v>5.75</v>
      </c>
      <c r="BR55" s="37">
        <f t="shared" si="12"/>
        <v>41.975308641975303</v>
      </c>
      <c r="BS55" s="26">
        <v>48</v>
      </c>
      <c r="BT55" s="26">
        <v>48</v>
      </c>
      <c r="BU55" s="26">
        <v>45</v>
      </c>
      <c r="BV55" s="26">
        <v>3</v>
      </c>
      <c r="BW55" s="26">
        <v>59</v>
      </c>
      <c r="BX55" s="26">
        <v>59</v>
      </c>
      <c r="BY55" s="26">
        <v>53</v>
      </c>
      <c r="BZ55" s="26">
        <v>6</v>
      </c>
      <c r="CA55" s="26">
        <v>62</v>
      </c>
      <c r="CB55" s="26">
        <v>24</v>
      </c>
      <c r="CC55" s="26">
        <v>21</v>
      </c>
      <c r="CD55" s="26">
        <v>36</v>
      </c>
      <c r="CE55" s="26">
        <v>36</v>
      </c>
      <c r="CF55" s="26">
        <v>6</v>
      </c>
      <c r="CG55" s="26">
        <v>5</v>
      </c>
      <c r="CH55" s="26">
        <v>31</v>
      </c>
      <c r="CI55" s="26">
        <v>36</v>
      </c>
      <c r="CJ55" s="26">
        <v>0</v>
      </c>
      <c r="CK55" s="26">
        <v>0</v>
      </c>
      <c r="CL55" s="26">
        <v>36</v>
      </c>
      <c r="CM55" s="26"/>
      <c r="CN55" s="26"/>
      <c r="CO55" s="27">
        <v>0</v>
      </c>
      <c r="CP55" s="34">
        <v>1049</v>
      </c>
      <c r="CQ55" s="26">
        <f t="shared" si="13"/>
        <v>124</v>
      </c>
      <c r="CR55" s="26">
        <f t="shared" si="14"/>
        <v>137</v>
      </c>
      <c r="CS55" s="26">
        <v>160</v>
      </c>
      <c r="CT55" s="36">
        <f t="shared" si="15"/>
        <v>6.5562500000000004</v>
      </c>
      <c r="CU55" s="38">
        <f t="shared" si="16"/>
        <v>14.021739130434781</v>
      </c>
      <c r="CV55" s="26">
        <v>48.0</v>
      </c>
      <c r="CW55" s="26">
        <v>45</v>
      </c>
      <c r="CX55" s="26">
        <v>45</v>
      </c>
      <c r="CY55" s="26">
        <v>3</v>
      </c>
      <c r="CZ55" s="26">
        <v>59.0</v>
      </c>
      <c r="DA55" s="26">
        <v>58</v>
      </c>
      <c r="DB55" s="26">
        <v>50</v>
      </c>
      <c r="DC55" s="26">
        <v>9</v>
      </c>
      <c r="DD55" s="26">
        <v>56.0</v>
      </c>
      <c r="DE55" s="26">
        <v>38</v>
      </c>
      <c r="DF55" s="26">
        <v>27</v>
      </c>
      <c r="DG55" s="26">
        <v>38</v>
      </c>
      <c r="DH55" s="26"/>
      <c r="DI55" s="78">
        <v>10</v>
      </c>
      <c r="DJ55" s="26">
        <v>9</v>
      </c>
      <c r="DK55" s="26"/>
      <c r="DL55" s="26">
        <v>50</v>
      </c>
      <c r="DM55" s="26">
        <v>2</v>
      </c>
      <c r="DN55" s="26">
        <v>2</v>
      </c>
      <c r="DO55" s="26"/>
      <c r="DP55" s="78">
        <v>1</v>
      </c>
      <c r="DQ55" s="80">
        <v>1</v>
      </c>
      <c r="DR55" s="27"/>
      <c r="DS55" s="81">
        <v>1294</v>
      </c>
      <c r="DT55" s="43">
        <f t="shared" si="17"/>
        <v>134</v>
      </c>
      <c r="DU55" s="43">
        <f t="shared" si="18"/>
        <v>154</v>
      </c>
      <c r="DV55" s="26">
        <v>160.0</v>
      </c>
      <c r="DW55" s="33">
        <v>8.0875</v>
      </c>
      <c r="DX55" s="44">
        <f t="shared" si="20"/>
        <v>23.355576739752145</v>
      </c>
    </row>
    <row r="56" spans="1:128" ht="15.75" customHeight="1">
      <c r="A56" s="26">
        <v>50</v>
      </c>
      <c r="B56" s="26" t="s">
        <v>463</v>
      </c>
      <c r="C56" s="26" t="s">
        <v>464</v>
      </c>
      <c r="D56" s="27" t="s">
        <v>23</v>
      </c>
      <c r="E56" s="26">
        <v>248</v>
      </c>
      <c r="F56" s="26">
        <v>30</v>
      </c>
      <c r="G56" s="26">
        <v>30</v>
      </c>
      <c r="H56" s="26">
        <v>29</v>
      </c>
      <c r="I56" s="26">
        <v>1</v>
      </c>
      <c r="J56" s="28">
        <v>332</v>
      </c>
      <c r="K56" s="26">
        <v>55</v>
      </c>
      <c r="L56" s="26">
        <v>55</v>
      </c>
      <c r="M56" s="26">
        <v>53</v>
      </c>
      <c r="N56" s="26">
        <v>1</v>
      </c>
      <c r="O56" s="28">
        <v>71</v>
      </c>
      <c r="P56" s="26">
        <v>37</v>
      </c>
      <c r="Q56" s="26">
        <v>38</v>
      </c>
      <c r="R56" s="26">
        <v>31</v>
      </c>
      <c r="S56" s="27">
        <v>7</v>
      </c>
      <c r="T56" s="26">
        <f t="shared" si="0"/>
        <v>651</v>
      </c>
      <c r="U56" s="26">
        <f t="shared" si="1"/>
        <v>113</v>
      </c>
      <c r="V56" s="26">
        <f t="shared" si="2"/>
        <v>123</v>
      </c>
      <c r="W56" s="26">
        <v>120</v>
      </c>
      <c r="X56" s="29">
        <f t="shared" si="3"/>
        <v>5.4249999999999998</v>
      </c>
      <c r="Y56" s="30">
        <v>351</v>
      </c>
      <c r="Z56" s="26">
        <v>30</v>
      </c>
      <c r="AA56" s="26">
        <v>30</v>
      </c>
      <c r="AB56" s="26">
        <v>28</v>
      </c>
      <c r="AC56" s="26">
        <v>2</v>
      </c>
      <c r="AD56" s="45">
        <v>361</v>
      </c>
      <c r="AE56" s="26">
        <v>50</v>
      </c>
      <c r="AF56" s="26">
        <v>50</v>
      </c>
      <c r="AG56" s="26">
        <v>42</v>
      </c>
      <c r="AH56" s="26">
        <v>8</v>
      </c>
      <c r="AI56" s="26">
        <v>47</v>
      </c>
      <c r="AJ56" s="26">
        <v>46</v>
      </c>
      <c r="AK56" s="26">
        <v>34</v>
      </c>
      <c r="AL56" s="26">
        <v>13</v>
      </c>
      <c r="AM56" s="26">
        <f t="shared" si="4"/>
        <v>712</v>
      </c>
      <c r="AN56" s="32">
        <f t="shared" si="5"/>
        <v>104</v>
      </c>
      <c r="AO56" s="32">
        <f t="shared" si="6"/>
        <v>126</v>
      </c>
      <c r="AP56" s="32">
        <v>120</v>
      </c>
      <c r="AQ56" s="33">
        <f t="shared" si="7"/>
        <v>5.9333333333333336</v>
      </c>
      <c r="AR56" s="29">
        <f t="shared" si="8"/>
        <v>9.3701996927803393</v>
      </c>
      <c r="AS56" s="26">
        <v>48</v>
      </c>
      <c r="AT56" s="26">
        <v>48</v>
      </c>
      <c r="AU56" s="26">
        <v>45</v>
      </c>
      <c r="AV56" s="26">
        <v>3</v>
      </c>
      <c r="AW56" s="26">
        <v>59</v>
      </c>
      <c r="AX56" s="26">
        <v>59</v>
      </c>
      <c r="AY56" s="26">
        <v>54</v>
      </c>
      <c r="AZ56" s="26">
        <v>5</v>
      </c>
      <c r="BA56" s="26">
        <v>61</v>
      </c>
      <c r="BB56" s="26">
        <v>50</v>
      </c>
      <c r="BC56" s="26">
        <v>30</v>
      </c>
      <c r="BD56" s="26">
        <v>29</v>
      </c>
      <c r="BE56" s="26">
        <v>29</v>
      </c>
      <c r="BF56" s="26">
        <v>6</v>
      </c>
      <c r="BG56" s="26">
        <v>6</v>
      </c>
      <c r="BH56" s="26">
        <v>23</v>
      </c>
      <c r="BI56" s="26">
        <v>1</v>
      </c>
      <c r="BJ56" s="26">
        <v>1</v>
      </c>
      <c r="BK56" s="26"/>
      <c r="BL56" s="27"/>
      <c r="BM56" s="34">
        <v>874</v>
      </c>
      <c r="BN56" s="26">
        <v>160</v>
      </c>
      <c r="BO56" s="35">
        <f t="shared" si="9"/>
        <v>136</v>
      </c>
      <c r="BP56" s="35">
        <f t="shared" si="10"/>
        <v>164</v>
      </c>
      <c r="BQ56" s="36">
        <f t="shared" si="11"/>
        <v>5.4625000000000004</v>
      </c>
      <c r="BR56" s="37">
        <f t="shared" si="12"/>
        <v>22.752808988764045</v>
      </c>
      <c r="BS56" s="26">
        <v>48</v>
      </c>
      <c r="BT56" s="26">
        <v>48</v>
      </c>
      <c r="BU56" s="26">
        <v>43</v>
      </c>
      <c r="BV56" s="26">
        <v>5</v>
      </c>
      <c r="BW56" s="26">
        <v>61</v>
      </c>
      <c r="BX56" s="26">
        <v>61</v>
      </c>
      <c r="BY56" s="26">
        <v>56</v>
      </c>
      <c r="BZ56" s="26">
        <v>5</v>
      </c>
      <c r="CA56" s="26">
        <v>61</v>
      </c>
      <c r="CB56" s="26">
        <v>56</v>
      </c>
      <c r="CC56" s="26">
        <v>48</v>
      </c>
      <c r="CD56" s="26">
        <v>8</v>
      </c>
      <c r="CE56" s="26">
        <v>8</v>
      </c>
      <c r="CF56" s="26">
        <v>7</v>
      </c>
      <c r="CG56" s="26">
        <v>5</v>
      </c>
      <c r="CH56" s="26">
        <v>3</v>
      </c>
      <c r="CI56" s="26">
        <v>8</v>
      </c>
      <c r="CJ56" s="26">
        <v>5</v>
      </c>
      <c r="CK56" s="26">
        <v>2</v>
      </c>
      <c r="CL56" s="26">
        <v>6</v>
      </c>
      <c r="CM56" s="26"/>
      <c r="CN56" s="26"/>
      <c r="CO56" s="27">
        <v>0</v>
      </c>
      <c r="CP56" s="34">
        <v>1029</v>
      </c>
      <c r="CQ56" s="26">
        <f t="shared" si="13"/>
        <v>154</v>
      </c>
      <c r="CR56" s="26">
        <f t="shared" si="14"/>
        <v>177</v>
      </c>
      <c r="CS56" s="26">
        <v>160</v>
      </c>
      <c r="CT56" s="36">
        <f t="shared" si="15"/>
        <v>6.4312500000000004</v>
      </c>
      <c r="CU56" s="38">
        <f t="shared" si="16"/>
        <v>17.734553775743709</v>
      </c>
      <c r="CV56" s="26">
        <v>48.0</v>
      </c>
      <c r="CW56" s="26">
        <v>47</v>
      </c>
      <c r="CX56" s="26">
        <v>46</v>
      </c>
      <c r="CY56" s="26">
        <v>2</v>
      </c>
      <c r="CZ56" s="26">
        <v>58.0</v>
      </c>
      <c r="DA56" s="26">
        <v>58</v>
      </c>
      <c r="DB56" s="26">
        <v>52</v>
      </c>
      <c r="DC56" s="26">
        <v>6</v>
      </c>
      <c r="DD56" s="26">
        <v>58.0</v>
      </c>
      <c r="DE56" s="26">
        <v>58</v>
      </c>
      <c r="DF56" s="26">
        <v>45</v>
      </c>
      <c r="DG56" s="26">
        <v>17</v>
      </c>
      <c r="DH56" s="26"/>
      <c r="DI56" s="78">
        <v>7</v>
      </c>
      <c r="DJ56" s="26">
        <v>4</v>
      </c>
      <c r="DK56" s="26"/>
      <c r="DL56" s="26">
        <v>25</v>
      </c>
      <c r="DM56" s="26">
        <v>3</v>
      </c>
      <c r="DN56" s="26">
        <v>1</v>
      </c>
      <c r="DO56" s="26"/>
      <c r="DP56" s="78">
        <v>2</v>
      </c>
      <c r="DQ56" s="80">
        <v>1</v>
      </c>
      <c r="DR56" s="27"/>
      <c r="DS56" s="81">
        <v>1111</v>
      </c>
      <c r="DT56" s="43">
        <f t="shared" si="17"/>
        <v>149</v>
      </c>
      <c r="DU56" s="43">
        <f t="shared" si="18"/>
        <v>175</v>
      </c>
      <c r="DV56" s="26">
        <v>160.0</v>
      </c>
      <c r="DW56" s="33">
        <v>6.94375</v>
      </c>
      <c r="DX56" s="44">
        <f t="shared" si="20"/>
        <v>7.9689018464528667</v>
      </c>
    </row>
    <row r="57" spans="1:128" ht="15.75" customHeight="1">
      <c r="A57" s="26">
        <v>51</v>
      </c>
      <c r="B57" s="26" t="s">
        <v>465</v>
      </c>
      <c r="C57" s="26" t="s">
        <v>466</v>
      </c>
      <c r="D57" s="27" t="s">
        <v>23</v>
      </c>
      <c r="E57" s="26">
        <v>239</v>
      </c>
      <c r="F57" s="26">
        <v>30</v>
      </c>
      <c r="G57" s="26">
        <v>30</v>
      </c>
      <c r="H57" s="26">
        <v>26</v>
      </c>
      <c r="I57" s="26">
        <v>4</v>
      </c>
      <c r="J57" s="28">
        <v>309</v>
      </c>
      <c r="K57" s="26">
        <v>57</v>
      </c>
      <c r="L57" s="26">
        <v>57</v>
      </c>
      <c r="M57" s="26">
        <v>52</v>
      </c>
      <c r="N57" s="26">
        <v>3</v>
      </c>
      <c r="O57" s="28">
        <v>64</v>
      </c>
      <c r="P57" s="26">
        <v>39</v>
      </c>
      <c r="Q57" s="26">
        <v>40</v>
      </c>
      <c r="R57" s="26">
        <v>24</v>
      </c>
      <c r="S57" s="27">
        <v>18</v>
      </c>
      <c r="T57" s="26">
        <f t="shared" si="0"/>
        <v>612</v>
      </c>
      <c r="U57" s="26">
        <f t="shared" si="1"/>
        <v>102</v>
      </c>
      <c r="V57" s="26">
        <f t="shared" si="2"/>
        <v>127</v>
      </c>
      <c r="W57" s="26">
        <v>120</v>
      </c>
      <c r="X57" s="29">
        <f t="shared" si="3"/>
        <v>5.0999999999999996</v>
      </c>
      <c r="Y57" s="30">
        <v>117</v>
      </c>
      <c r="Z57" s="26">
        <v>31</v>
      </c>
      <c r="AA57" s="26">
        <v>31</v>
      </c>
      <c r="AB57" s="26">
        <v>29</v>
      </c>
      <c r="AC57" s="26">
        <v>2</v>
      </c>
      <c r="AD57" s="45">
        <v>64</v>
      </c>
      <c r="AE57" s="26">
        <v>52</v>
      </c>
      <c r="AF57" s="26">
        <v>52</v>
      </c>
      <c r="AG57" s="26">
        <v>46</v>
      </c>
      <c r="AH57" s="26">
        <v>6</v>
      </c>
      <c r="AI57" s="26">
        <v>49</v>
      </c>
      <c r="AJ57" s="26">
        <v>24</v>
      </c>
      <c r="AK57" s="26">
        <v>19</v>
      </c>
      <c r="AL57" s="26">
        <v>30</v>
      </c>
      <c r="AM57" s="26">
        <f t="shared" si="4"/>
        <v>181</v>
      </c>
      <c r="AN57" s="32">
        <f t="shared" si="5"/>
        <v>94</v>
      </c>
      <c r="AO57" s="32">
        <f t="shared" si="6"/>
        <v>107</v>
      </c>
      <c r="AP57" s="32">
        <v>125</v>
      </c>
      <c r="AQ57" s="33">
        <f t="shared" si="7"/>
        <v>1.448</v>
      </c>
      <c r="AR57" s="29">
        <f t="shared" si="8"/>
        <v>-70.424836601307192</v>
      </c>
      <c r="AS57" s="26">
        <v>48</v>
      </c>
      <c r="AT57" s="26">
        <v>48</v>
      </c>
      <c r="AU57" s="26">
        <v>46</v>
      </c>
      <c r="AV57" s="26">
        <v>2</v>
      </c>
      <c r="AW57" s="26">
        <v>58</v>
      </c>
      <c r="AX57" s="26">
        <v>58</v>
      </c>
      <c r="AY57" s="26">
        <v>55</v>
      </c>
      <c r="AZ57" s="26">
        <v>3</v>
      </c>
      <c r="BA57" s="26">
        <v>59</v>
      </c>
      <c r="BB57" s="26">
        <v>16</v>
      </c>
      <c r="BC57" s="26">
        <v>15</v>
      </c>
      <c r="BD57" s="26">
        <v>43</v>
      </c>
      <c r="BE57" s="26">
        <v>43</v>
      </c>
      <c r="BF57" s="26">
        <v>9</v>
      </c>
      <c r="BG57" s="26">
        <v>9</v>
      </c>
      <c r="BH57" s="26">
        <v>34</v>
      </c>
      <c r="BI57" s="26">
        <v>0</v>
      </c>
      <c r="BJ57" s="26">
        <v>0</v>
      </c>
      <c r="BK57" s="26"/>
      <c r="BL57" s="27"/>
      <c r="BM57" s="34">
        <v>227</v>
      </c>
      <c r="BN57" s="26">
        <v>160</v>
      </c>
      <c r="BO57" s="35">
        <f t="shared" si="9"/>
        <v>125</v>
      </c>
      <c r="BP57" s="35">
        <f t="shared" si="10"/>
        <v>131</v>
      </c>
      <c r="BQ57" s="36">
        <f t="shared" si="11"/>
        <v>1.41875</v>
      </c>
      <c r="BR57" s="37">
        <f t="shared" si="12"/>
        <v>25.414364640883981</v>
      </c>
      <c r="BS57" s="26">
        <v>36</v>
      </c>
      <c r="BT57" s="26">
        <v>36</v>
      </c>
      <c r="BU57" s="26">
        <v>35</v>
      </c>
      <c r="BV57" s="26">
        <v>1</v>
      </c>
      <c r="BW57" s="26">
        <v>43</v>
      </c>
      <c r="BX57" s="26">
        <v>43</v>
      </c>
      <c r="BY57" s="26">
        <v>42</v>
      </c>
      <c r="BZ57" s="26">
        <v>1</v>
      </c>
      <c r="CA57" s="26">
        <v>43</v>
      </c>
      <c r="CB57" s="26">
        <v>20</v>
      </c>
      <c r="CC57" s="26">
        <v>15</v>
      </c>
      <c r="CD57" s="26">
        <v>19</v>
      </c>
      <c r="CE57" s="26">
        <v>19</v>
      </c>
      <c r="CF57" s="26">
        <v>18</v>
      </c>
      <c r="CG57" s="26">
        <v>9</v>
      </c>
      <c r="CH57" s="26">
        <v>10</v>
      </c>
      <c r="CI57" s="26">
        <v>19</v>
      </c>
      <c r="CJ57" s="26">
        <v>1</v>
      </c>
      <c r="CK57" s="26">
        <v>1</v>
      </c>
      <c r="CL57" s="26">
        <v>18</v>
      </c>
      <c r="CM57" s="26">
        <v>1</v>
      </c>
      <c r="CN57" s="26">
        <v>1</v>
      </c>
      <c r="CO57" s="27">
        <v>0</v>
      </c>
      <c r="CP57" s="34">
        <v>426</v>
      </c>
      <c r="CQ57" s="26">
        <f t="shared" si="13"/>
        <v>103</v>
      </c>
      <c r="CR57" s="26">
        <f t="shared" si="14"/>
        <v>119</v>
      </c>
      <c r="CS57" s="26">
        <v>120</v>
      </c>
      <c r="CT57" s="36">
        <f t="shared" si="15"/>
        <v>3.55</v>
      </c>
      <c r="CU57" s="38">
        <f t="shared" si="16"/>
        <v>87.665198237885463</v>
      </c>
      <c r="CV57" s="26">
        <v>36.0</v>
      </c>
      <c r="CW57" s="26">
        <v>36</v>
      </c>
      <c r="CX57" s="26">
        <v>35</v>
      </c>
      <c r="CY57" s="26">
        <v>1</v>
      </c>
      <c r="CZ57" s="26">
        <v>43.0</v>
      </c>
      <c r="DA57" s="26">
        <v>43</v>
      </c>
      <c r="DB57" s="26">
        <v>42</v>
      </c>
      <c r="DC57" s="26">
        <v>1</v>
      </c>
      <c r="DD57" s="26">
        <v>32.0</v>
      </c>
      <c r="DE57" s="26">
        <v>26</v>
      </c>
      <c r="DF57" s="26">
        <v>22</v>
      </c>
      <c r="DG57" s="26">
        <v>21</v>
      </c>
      <c r="DH57" s="26"/>
      <c r="DI57" s="78">
        <v>13</v>
      </c>
      <c r="DJ57" s="26">
        <v>11</v>
      </c>
      <c r="DK57" s="26"/>
      <c r="DL57" s="26">
        <v>23</v>
      </c>
      <c r="DM57" s="26">
        <v>1</v>
      </c>
      <c r="DN57" s="26">
        <v>0</v>
      </c>
      <c r="DO57" s="26"/>
      <c r="DP57" s="82">
        <v>1</v>
      </c>
      <c r="DQ57" s="80">
        <v>1</v>
      </c>
      <c r="DR57" s="27"/>
      <c r="DS57" s="81">
        <v>386</v>
      </c>
      <c r="DT57" s="43">
        <f t="shared" si="17"/>
        <v>111</v>
      </c>
      <c r="DU57" s="43">
        <f t="shared" si="18"/>
        <v>120</v>
      </c>
      <c r="DV57" s="26">
        <v>120.0</v>
      </c>
      <c r="DW57" s="33">
        <v>3.216666667</v>
      </c>
      <c r="DX57" s="44">
        <f t="shared" si="20"/>
        <v>-9.3896713615023462</v>
      </c>
    </row>
    <row r="58" spans="1:128" ht="15.75" customHeight="1">
      <c r="A58" s="26">
        <v>52</v>
      </c>
      <c r="B58" s="26" t="s">
        <v>467</v>
      </c>
      <c r="C58" s="26" t="s">
        <v>468</v>
      </c>
      <c r="D58" s="27" t="s">
        <v>23</v>
      </c>
      <c r="E58" s="26">
        <v>372</v>
      </c>
      <c r="F58" s="26">
        <v>25</v>
      </c>
      <c r="G58" s="26">
        <v>25</v>
      </c>
      <c r="H58" s="26">
        <v>24</v>
      </c>
      <c r="I58" s="26">
        <v>1</v>
      </c>
      <c r="J58" s="28">
        <v>440</v>
      </c>
      <c r="K58" s="26">
        <v>46</v>
      </c>
      <c r="L58" s="26">
        <v>46</v>
      </c>
      <c r="M58" s="26">
        <v>41</v>
      </c>
      <c r="N58" s="26">
        <v>4</v>
      </c>
      <c r="O58" s="28">
        <v>85</v>
      </c>
      <c r="P58" s="26">
        <v>34</v>
      </c>
      <c r="Q58" s="26">
        <v>35</v>
      </c>
      <c r="R58" s="26">
        <v>26</v>
      </c>
      <c r="S58" s="27">
        <v>9</v>
      </c>
      <c r="T58" s="26">
        <f t="shared" si="0"/>
        <v>897</v>
      </c>
      <c r="U58" s="26">
        <f t="shared" si="1"/>
        <v>91</v>
      </c>
      <c r="V58" s="26">
        <f t="shared" si="2"/>
        <v>106</v>
      </c>
      <c r="W58" s="26">
        <v>100</v>
      </c>
      <c r="X58" s="29">
        <f t="shared" si="3"/>
        <v>8.9700000000000006</v>
      </c>
      <c r="Y58" s="30">
        <v>444</v>
      </c>
      <c r="Z58" s="26">
        <v>28</v>
      </c>
      <c r="AA58" s="26">
        <v>28</v>
      </c>
      <c r="AB58" s="26">
        <v>27</v>
      </c>
      <c r="AC58" s="26">
        <v>1</v>
      </c>
      <c r="AD58" s="45">
        <v>446</v>
      </c>
      <c r="AE58" s="26">
        <v>45</v>
      </c>
      <c r="AF58" s="26">
        <v>45</v>
      </c>
      <c r="AG58" s="26">
        <v>44</v>
      </c>
      <c r="AH58" s="26">
        <v>1</v>
      </c>
      <c r="AI58" s="26">
        <v>39</v>
      </c>
      <c r="AJ58" s="26">
        <v>39</v>
      </c>
      <c r="AK58" s="26">
        <v>29</v>
      </c>
      <c r="AL58" s="26">
        <v>10</v>
      </c>
      <c r="AM58" s="26">
        <f t="shared" si="4"/>
        <v>890</v>
      </c>
      <c r="AN58" s="32">
        <f t="shared" si="5"/>
        <v>100</v>
      </c>
      <c r="AO58" s="32">
        <f t="shared" si="6"/>
        <v>112</v>
      </c>
      <c r="AP58" s="32">
        <v>110</v>
      </c>
      <c r="AQ58" s="33">
        <f t="shared" si="7"/>
        <v>8.0909090909090917</v>
      </c>
      <c r="AR58" s="29">
        <f t="shared" si="8"/>
        <v>-0.78037904124860646</v>
      </c>
      <c r="AS58" s="26">
        <v>48</v>
      </c>
      <c r="AT58" s="26">
        <v>48</v>
      </c>
      <c r="AU58" s="26">
        <v>46</v>
      </c>
      <c r="AV58" s="26">
        <v>2</v>
      </c>
      <c r="AW58" s="26">
        <v>58</v>
      </c>
      <c r="AX58" s="26">
        <v>58</v>
      </c>
      <c r="AY58" s="26">
        <v>53</v>
      </c>
      <c r="AZ58" s="26">
        <v>5</v>
      </c>
      <c r="BA58" s="26">
        <v>61</v>
      </c>
      <c r="BB58" s="26">
        <v>59</v>
      </c>
      <c r="BC58" s="26">
        <v>36</v>
      </c>
      <c r="BD58" s="26">
        <v>22</v>
      </c>
      <c r="BE58" s="26">
        <v>22</v>
      </c>
      <c r="BF58" s="26">
        <v>3</v>
      </c>
      <c r="BG58" s="26">
        <v>2</v>
      </c>
      <c r="BH58" s="26">
        <v>20</v>
      </c>
      <c r="BI58" s="26">
        <v>2</v>
      </c>
      <c r="BJ58" s="26">
        <v>2</v>
      </c>
      <c r="BK58" s="26"/>
      <c r="BL58" s="27"/>
      <c r="BM58" s="34">
        <v>884</v>
      </c>
      <c r="BN58" s="26">
        <v>160</v>
      </c>
      <c r="BO58" s="35">
        <f t="shared" si="9"/>
        <v>139</v>
      </c>
      <c r="BP58" s="35">
        <f t="shared" si="10"/>
        <v>170</v>
      </c>
      <c r="BQ58" s="36">
        <f t="shared" si="11"/>
        <v>5.5250000000000004</v>
      </c>
      <c r="BR58" s="37">
        <f t="shared" si="12"/>
        <v>-0.6741573033707865</v>
      </c>
      <c r="BS58" s="26">
        <v>48</v>
      </c>
      <c r="BT58" s="26">
        <v>48</v>
      </c>
      <c r="BU58" s="26">
        <v>45</v>
      </c>
      <c r="BV58" s="26">
        <v>3</v>
      </c>
      <c r="BW58" s="26">
        <v>59</v>
      </c>
      <c r="BX58" s="26">
        <v>59</v>
      </c>
      <c r="BY58" s="26">
        <v>54</v>
      </c>
      <c r="BZ58" s="26">
        <v>5</v>
      </c>
      <c r="CA58" s="26">
        <v>61</v>
      </c>
      <c r="CB58" s="26">
        <v>51</v>
      </c>
      <c r="CC58" s="26">
        <v>40</v>
      </c>
      <c r="CD58" s="26">
        <v>19</v>
      </c>
      <c r="CE58" s="26">
        <v>19</v>
      </c>
      <c r="CF58" s="26">
        <v>3</v>
      </c>
      <c r="CG58" s="26">
        <v>2</v>
      </c>
      <c r="CH58" s="26">
        <v>17</v>
      </c>
      <c r="CI58" s="26">
        <v>19</v>
      </c>
      <c r="CJ58" s="26">
        <v>3</v>
      </c>
      <c r="CK58" s="26">
        <v>0</v>
      </c>
      <c r="CL58" s="26">
        <v>19</v>
      </c>
      <c r="CM58" s="26"/>
      <c r="CN58" s="26"/>
      <c r="CO58" s="27">
        <v>0</v>
      </c>
      <c r="CP58" s="34">
        <v>840</v>
      </c>
      <c r="CQ58" s="26">
        <f t="shared" si="13"/>
        <v>141</v>
      </c>
      <c r="CR58" s="26">
        <f t="shared" si="14"/>
        <v>164</v>
      </c>
      <c r="CS58" s="26">
        <v>160</v>
      </c>
      <c r="CT58" s="36">
        <f t="shared" si="15"/>
        <v>5.25</v>
      </c>
      <c r="CU58" s="38">
        <f t="shared" si="16"/>
        <v>-4.9773755656108598</v>
      </c>
      <c r="CV58" s="26">
        <v>48.0</v>
      </c>
      <c r="CW58" s="26">
        <v>47</v>
      </c>
      <c r="CX58" s="26">
        <v>43</v>
      </c>
      <c r="CY58" s="26">
        <v>5</v>
      </c>
      <c r="CZ58" s="26">
        <v>61.0</v>
      </c>
      <c r="DA58" s="26">
        <v>61</v>
      </c>
      <c r="DB58" s="26">
        <v>54</v>
      </c>
      <c r="DC58" s="26">
        <v>7</v>
      </c>
      <c r="DD58" s="26">
        <v>60.0</v>
      </c>
      <c r="DE58" s="26">
        <v>56</v>
      </c>
      <c r="DF58" s="26">
        <v>47</v>
      </c>
      <c r="DG58" s="26">
        <v>16</v>
      </c>
      <c r="DH58" s="26"/>
      <c r="DI58" s="78">
        <v>6</v>
      </c>
      <c r="DJ58" s="26">
        <v>3</v>
      </c>
      <c r="DK58" s="26"/>
      <c r="DL58" s="26">
        <v>28</v>
      </c>
      <c r="DM58" s="26">
        <v>3</v>
      </c>
      <c r="DN58" s="26">
        <v>2</v>
      </c>
      <c r="DO58" s="26"/>
      <c r="DP58" s="78">
        <v>0</v>
      </c>
      <c r="DQ58" s="80">
        <v>0</v>
      </c>
      <c r="DR58" s="27"/>
      <c r="DS58" s="81">
        <v>943</v>
      </c>
      <c r="DT58" s="43">
        <f t="shared" si="17"/>
        <v>149</v>
      </c>
      <c r="DU58" s="43">
        <f t="shared" si="18"/>
        <v>173</v>
      </c>
      <c r="DV58" s="26">
        <v>160.0</v>
      </c>
      <c r="DW58" s="33">
        <v>5.89375</v>
      </c>
      <c r="DX58" s="44">
        <f t="shared" si="20"/>
        <v>12.261904761904761</v>
      </c>
    </row>
    <row r="59" spans="1:128" ht="15.75" customHeight="1">
      <c r="A59" s="26">
        <v>53</v>
      </c>
      <c r="B59" s="26" t="s">
        <v>469</v>
      </c>
      <c r="C59" s="26" t="s">
        <v>470</v>
      </c>
      <c r="D59" s="27" t="s">
        <v>23</v>
      </c>
      <c r="E59" s="26">
        <v>66</v>
      </c>
      <c r="F59" s="26">
        <v>30</v>
      </c>
      <c r="G59" s="26">
        <v>30</v>
      </c>
      <c r="H59" s="26">
        <v>29</v>
      </c>
      <c r="I59" s="26">
        <v>1</v>
      </c>
      <c r="J59" s="28">
        <v>172</v>
      </c>
      <c r="K59" s="26">
        <v>55</v>
      </c>
      <c r="L59" s="26">
        <v>55</v>
      </c>
      <c r="M59" s="26">
        <v>52</v>
      </c>
      <c r="N59" s="26">
        <v>3</v>
      </c>
      <c r="O59" s="28">
        <v>62</v>
      </c>
      <c r="P59" s="26">
        <v>39</v>
      </c>
      <c r="Q59" s="26">
        <v>43</v>
      </c>
      <c r="R59" s="26">
        <v>22</v>
      </c>
      <c r="S59" s="27">
        <v>17</v>
      </c>
      <c r="T59" s="26">
        <f t="shared" si="0"/>
        <v>300</v>
      </c>
      <c r="U59" s="26">
        <f t="shared" si="1"/>
        <v>103</v>
      </c>
      <c r="V59" s="26">
        <f t="shared" si="2"/>
        <v>128</v>
      </c>
      <c r="W59" s="26">
        <v>120</v>
      </c>
      <c r="X59" s="29">
        <f t="shared" si="3"/>
        <v>2.5</v>
      </c>
      <c r="Y59" s="30">
        <v>203</v>
      </c>
      <c r="Z59" s="26">
        <v>31</v>
      </c>
      <c r="AA59" s="26">
        <v>31</v>
      </c>
      <c r="AB59" s="26">
        <v>28</v>
      </c>
      <c r="AC59" s="26">
        <v>3</v>
      </c>
      <c r="AD59" s="45">
        <v>177</v>
      </c>
      <c r="AE59" s="26">
        <v>53</v>
      </c>
      <c r="AF59" s="26">
        <v>53</v>
      </c>
      <c r="AG59" s="26">
        <v>50</v>
      </c>
      <c r="AH59" s="26">
        <v>3</v>
      </c>
      <c r="AI59" s="26">
        <v>47</v>
      </c>
      <c r="AJ59" s="26">
        <v>34</v>
      </c>
      <c r="AK59" s="26">
        <v>23</v>
      </c>
      <c r="AL59" s="26">
        <v>24</v>
      </c>
      <c r="AM59" s="26">
        <f t="shared" si="4"/>
        <v>380</v>
      </c>
      <c r="AN59" s="32">
        <f t="shared" si="5"/>
        <v>101</v>
      </c>
      <c r="AO59" s="32">
        <f t="shared" si="6"/>
        <v>118</v>
      </c>
      <c r="AP59" s="32">
        <v>125</v>
      </c>
      <c r="AQ59" s="33">
        <f t="shared" si="7"/>
        <v>3.04</v>
      </c>
      <c r="AR59" s="29">
        <f t="shared" si="8"/>
        <v>26.666666666666668</v>
      </c>
      <c r="AS59" s="26">
        <v>48</v>
      </c>
      <c r="AT59" s="26">
        <v>48</v>
      </c>
      <c r="AU59" s="26">
        <v>43</v>
      </c>
      <c r="AV59" s="26">
        <v>5</v>
      </c>
      <c r="AW59" s="26">
        <v>61</v>
      </c>
      <c r="AX59" s="26">
        <v>61</v>
      </c>
      <c r="AY59" s="26">
        <v>54</v>
      </c>
      <c r="AZ59" s="26">
        <v>7</v>
      </c>
      <c r="BA59" s="26">
        <v>63</v>
      </c>
      <c r="BB59" s="26">
        <v>60</v>
      </c>
      <c r="BC59" s="26">
        <v>38</v>
      </c>
      <c r="BD59" s="26">
        <v>23</v>
      </c>
      <c r="BE59" s="26">
        <v>23</v>
      </c>
      <c r="BF59" s="26">
        <v>28</v>
      </c>
      <c r="BG59" s="26">
        <v>24</v>
      </c>
      <c r="BH59" s="26">
        <v>-1</v>
      </c>
      <c r="BI59" s="26">
        <v>2</v>
      </c>
      <c r="BJ59" s="26">
        <v>0</v>
      </c>
      <c r="BK59" s="26"/>
      <c r="BL59" s="27"/>
      <c r="BM59" s="34">
        <v>524</v>
      </c>
      <c r="BN59" s="26">
        <v>160</v>
      </c>
      <c r="BO59" s="35">
        <f t="shared" si="9"/>
        <v>159</v>
      </c>
      <c r="BP59" s="35">
        <f t="shared" si="10"/>
        <v>199</v>
      </c>
      <c r="BQ59" s="36">
        <f t="shared" si="11"/>
        <v>3.2749999999999999</v>
      </c>
      <c r="BR59" s="37">
        <f t="shared" si="12"/>
        <v>37.894736842105267</v>
      </c>
      <c r="BS59" s="26">
        <v>60</v>
      </c>
      <c r="BT59" s="26">
        <v>60</v>
      </c>
      <c r="BU59" s="26">
        <v>53</v>
      </c>
      <c r="BV59" s="26">
        <v>7</v>
      </c>
      <c r="BW59" s="26">
        <v>77</v>
      </c>
      <c r="BX59" s="26">
        <v>77</v>
      </c>
      <c r="BY59" s="26">
        <v>69</v>
      </c>
      <c r="BZ59" s="26">
        <v>8</v>
      </c>
      <c r="CA59" s="26">
        <v>78</v>
      </c>
      <c r="CB59" s="26">
        <v>57</v>
      </c>
      <c r="CC59" s="26">
        <v>37</v>
      </c>
      <c r="CD59" s="26">
        <v>20</v>
      </c>
      <c r="CE59" s="26">
        <v>20</v>
      </c>
      <c r="CF59" s="26">
        <v>27</v>
      </c>
      <c r="CG59" s="26">
        <v>21</v>
      </c>
      <c r="CH59" s="26">
        <v>-1</v>
      </c>
      <c r="CI59" s="26">
        <v>19</v>
      </c>
      <c r="CJ59" s="26">
        <v>7</v>
      </c>
      <c r="CK59" s="26">
        <v>5</v>
      </c>
      <c r="CL59" s="26">
        <v>14</v>
      </c>
      <c r="CM59" s="26">
        <v>2</v>
      </c>
      <c r="CN59" s="26">
        <v>1</v>
      </c>
      <c r="CO59" s="27">
        <v>1</v>
      </c>
      <c r="CP59" s="34">
        <v>923</v>
      </c>
      <c r="CQ59" s="26">
        <f t="shared" si="13"/>
        <v>186</v>
      </c>
      <c r="CR59" s="26">
        <f t="shared" si="14"/>
        <v>230</v>
      </c>
      <c r="CS59" s="26">
        <v>200</v>
      </c>
      <c r="CT59" s="36">
        <f t="shared" si="15"/>
        <v>4.6150000000000002</v>
      </c>
      <c r="CU59" s="38">
        <f t="shared" si="16"/>
        <v>76.145038167938921</v>
      </c>
      <c r="CV59" s="26">
        <v>60.0</v>
      </c>
      <c r="CW59" s="26">
        <v>59</v>
      </c>
      <c r="CX59" s="26">
        <v>54</v>
      </c>
      <c r="CY59" s="26">
        <v>6</v>
      </c>
      <c r="CZ59" s="26">
        <v>76.0</v>
      </c>
      <c r="DA59" s="26">
        <v>76</v>
      </c>
      <c r="DB59" s="26">
        <v>67</v>
      </c>
      <c r="DC59" s="26">
        <v>9</v>
      </c>
      <c r="DD59" s="26">
        <v>52.0</v>
      </c>
      <c r="DE59" s="26">
        <v>52</v>
      </c>
      <c r="DF59" s="26">
        <v>45</v>
      </c>
      <c r="DG59" s="26">
        <v>34</v>
      </c>
      <c r="DH59" s="26"/>
      <c r="DI59" s="78">
        <v>40</v>
      </c>
      <c r="DJ59" s="26">
        <v>27</v>
      </c>
      <c r="DK59" s="26"/>
      <c r="DL59" s="26">
        <v>49</v>
      </c>
      <c r="DM59" s="26">
        <v>5</v>
      </c>
      <c r="DN59" s="26">
        <v>4</v>
      </c>
      <c r="DO59" s="26"/>
      <c r="DP59" s="82">
        <v>1</v>
      </c>
      <c r="DQ59" s="80">
        <v>1</v>
      </c>
      <c r="DR59" s="27"/>
      <c r="DS59" s="81">
        <v>812</v>
      </c>
      <c r="DT59" s="43">
        <f t="shared" si="17"/>
        <v>198</v>
      </c>
      <c r="DU59" s="43">
        <f t="shared" si="18"/>
        <v>233</v>
      </c>
      <c r="DV59" s="26">
        <v>200.0</v>
      </c>
      <c r="DW59" s="33">
        <v>4.06</v>
      </c>
      <c r="DX59" s="44">
        <f t="shared" si="20"/>
        <v>-12.026002166847237</v>
      </c>
    </row>
    <row r="60" spans="1:128" ht="15.75" customHeight="1">
      <c r="A60" s="26">
        <v>54</v>
      </c>
      <c r="B60" s="26" t="s">
        <v>471</v>
      </c>
      <c r="C60" s="26" t="s">
        <v>472</v>
      </c>
      <c r="D60" s="27" t="s">
        <v>23</v>
      </c>
      <c r="E60" s="26">
        <v>463</v>
      </c>
      <c r="F60" s="26">
        <v>25</v>
      </c>
      <c r="G60" s="26">
        <v>25</v>
      </c>
      <c r="H60" s="26">
        <v>23</v>
      </c>
      <c r="I60" s="26">
        <v>2</v>
      </c>
      <c r="J60" s="28">
        <v>582</v>
      </c>
      <c r="K60" s="26">
        <v>46</v>
      </c>
      <c r="L60" s="26">
        <v>46</v>
      </c>
      <c r="M60" s="26">
        <v>44</v>
      </c>
      <c r="N60" s="26">
        <v>2</v>
      </c>
      <c r="O60" s="28">
        <v>115</v>
      </c>
      <c r="P60" s="26">
        <v>32</v>
      </c>
      <c r="Q60" s="26">
        <v>35</v>
      </c>
      <c r="R60" s="26">
        <v>27</v>
      </c>
      <c r="S60" s="27">
        <v>6</v>
      </c>
      <c r="T60" s="26">
        <f t="shared" si="0"/>
        <v>1160</v>
      </c>
      <c r="U60" s="26">
        <f t="shared" si="1"/>
        <v>94</v>
      </c>
      <c r="V60" s="26">
        <f t="shared" si="2"/>
        <v>106</v>
      </c>
      <c r="W60" s="26">
        <v>100</v>
      </c>
      <c r="X60" s="29">
        <f t="shared" si="3"/>
        <v>11.6</v>
      </c>
      <c r="Y60" s="30">
        <v>644</v>
      </c>
      <c r="Z60" s="26">
        <v>28</v>
      </c>
      <c r="AA60" s="26">
        <v>28</v>
      </c>
      <c r="AB60" s="26">
        <v>24</v>
      </c>
      <c r="AC60" s="26">
        <v>4</v>
      </c>
      <c r="AD60" s="45">
        <v>592</v>
      </c>
      <c r="AE60" s="26">
        <v>48</v>
      </c>
      <c r="AF60" s="26">
        <v>48</v>
      </c>
      <c r="AG60" s="26">
        <v>43</v>
      </c>
      <c r="AH60" s="26">
        <v>5</v>
      </c>
      <c r="AI60" s="26">
        <v>42</v>
      </c>
      <c r="AJ60" s="26">
        <v>42</v>
      </c>
      <c r="AK60" s="26">
        <v>34</v>
      </c>
      <c r="AL60" s="26">
        <v>8</v>
      </c>
      <c r="AM60" s="26">
        <f t="shared" si="4"/>
        <v>1236</v>
      </c>
      <c r="AN60" s="32">
        <f t="shared" si="5"/>
        <v>101</v>
      </c>
      <c r="AO60" s="32">
        <f t="shared" si="6"/>
        <v>118</v>
      </c>
      <c r="AP60" s="32">
        <v>110</v>
      </c>
      <c r="AQ60" s="33">
        <f t="shared" si="7"/>
        <v>11.236363636363636</v>
      </c>
      <c r="AR60" s="29">
        <f t="shared" si="8"/>
        <v>6.5517241379310347</v>
      </c>
      <c r="AS60" s="26">
        <v>36</v>
      </c>
      <c r="AT60" s="26">
        <v>36</v>
      </c>
      <c r="AU60" s="26">
        <v>34</v>
      </c>
      <c r="AV60" s="26">
        <v>2</v>
      </c>
      <c r="AW60" s="26">
        <v>44</v>
      </c>
      <c r="AX60" s="26">
        <v>44</v>
      </c>
      <c r="AY60" s="26">
        <v>41</v>
      </c>
      <c r="AZ60" s="26">
        <v>3</v>
      </c>
      <c r="BA60" s="26">
        <v>45</v>
      </c>
      <c r="BB60" s="26">
        <v>45</v>
      </c>
      <c r="BC60" s="26">
        <v>38</v>
      </c>
      <c r="BD60" s="26">
        <v>6</v>
      </c>
      <c r="BE60" s="26">
        <v>6</v>
      </c>
      <c r="BF60" s="26">
        <v>1</v>
      </c>
      <c r="BG60" s="26">
        <v>1</v>
      </c>
      <c r="BH60" s="26">
        <v>5</v>
      </c>
      <c r="BI60" s="26">
        <v>1</v>
      </c>
      <c r="BJ60" s="26">
        <v>1</v>
      </c>
      <c r="BK60" s="26"/>
      <c r="BL60" s="27"/>
      <c r="BM60" s="34">
        <v>1720</v>
      </c>
      <c r="BN60" s="26">
        <v>120</v>
      </c>
      <c r="BO60" s="35">
        <f t="shared" si="9"/>
        <v>115</v>
      </c>
      <c r="BP60" s="35">
        <f t="shared" si="10"/>
        <v>127</v>
      </c>
      <c r="BQ60" s="36">
        <f t="shared" si="11"/>
        <v>14.333333333333334</v>
      </c>
      <c r="BR60" s="37">
        <f t="shared" si="12"/>
        <v>39.158576051779939</v>
      </c>
      <c r="BS60" s="26">
        <v>45</v>
      </c>
      <c r="BT60" s="26">
        <v>45</v>
      </c>
      <c r="BU60" s="26">
        <v>45</v>
      </c>
      <c r="BV60" s="26">
        <v>0</v>
      </c>
      <c r="BW60" s="26">
        <v>53</v>
      </c>
      <c r="BX60" s="26">
        <v>53</v>
      </c>
      <c r="BY60" s="26">
        <v>47</v>
      </c>
      <c r="BZ60" s="26">
        <v>6</v>
      </c>
      <c r="CA60" s="26">
        <v>58</v>
      </c>
      <c r="CB60" s="26">
        <v>52</v>
      </c>
      <c r="CC60" s="26">
        <v>42</v>
      </c>
      <c r="CD60" s="26">
        <v>7</v>
      </c>
      <c r="CE60" s="26">
        <v>7</v>
      </c>
      <c r="CF60" s="26">
        <v>13</v>
      </c>
      <c r="CG60" s="26">
        <v>9</v>
      </c>
      <c r="CH60" s="26">
        <v>-2</v>
      </c>
      <c r="CI60" s="26">
        <v>5</v>
      </c>
      <c r="CJ60" s="26">
        <v>3</v>
      </c>
      <c r="CK60" s="26">
        <v>2</v>
      </c>
      <c r="CL60" s="26">
        <v>3</v>
      </c>
      <c r="CM60" s="26">
        <v>2</v>
      </c>
      <c r="CN60" s="26"/>
      <c r="CO60" s="27">
        <v>2</v>
      </c>
      <c r="CP60" s="34">
        <v>2382</v>
      </c>
      <c r="CQ60" s="26">
        <f t="shared" si="13"/>
        <v>145</v>
      </c>
      <c r="CR60" s="26">
        <f t="shared" si="14"/>
        <v>168</v>
      </c>
      <c r="CS60" s="26">
        <v>150</v>
      </c>
      <c r="CT60" s="36">
        <f t="shared" si="15"/>
        <v>15.88</v>
      </c>
      <c r="CU60" s="38">
        <f t="shared" si="16"/>
        <v>38.488372093023251</v>
      </c>
      <c r="CV60" s="26">
        <v>45.0</v>
      </c>
      <c r="CW60" s="26">
        <v>45</v>
      </c>
      <c r="CX60" s="26">
        <v>42</v>
      </c>
      <c r="CY60" s="26">
        <v>3</v>
      </c>
      <c r="CZ60" s="26">
        <v>56.0</v>
      </c>
      <c r="DA60" s="26">
        <v>56</v>
      </c>
      <c r="DB60" s="26">
        <v>47</v>
      </c>
      <c r="DC60" s="26">
        <v>9</v>
      </c>
      <c r="DD60" s="26">
        <v>54.0</v>
      </c>
      <c r="DE60" s="26">
        <v>54</v>
      </c>
      <c r="DF60" s="26">
        <v>44</v>
      </c>
      <c r="DG60" s="26">
        <v>17</v>
      </c>
      <c r="DH60" s="26"/>
      <c r="DI60" s="78">
        <v>12</v>
      </c>
      <c r="DJ60" s="26">
        <v>7</v>
      </c>
      <c r="DK60" s="26"/>
      <c r="DL60" s="26">
        <v>29</v>
      </c>
      <c r="DM60" s="26">
        <v>5</v>
      </c>
      <c r="DN60" s="26">
        <v>5</v>
      </c>
      <c r="DO60" s="26"/>
      <c r="DP60" s="82">
        <v>0</v>
      </c>
      <c r="DQ60" s="80">
        <v>0</v>
      </c>
      <c r="DR60" s="27"/>
      <c r="DS60" s="81">
        <v>1754</v>
      </c>
      <c r="DT60" s="43">
        <f t="shared" si="17"/>
        <v>145</v>
      </c>
      <c r="DU60" s="43">
        <f t="shared" si="18"/>
        <v>172</v>
      </c>
      <c r="DV60" s="26">
        <v>150.0</v>
      </c>
      <c r="DW60" s="33">
        <v>11.69333333</v>
      </c>
      <c r="DX60" s="44">
        <f t="shared" si="20"/>
        <v>-26.364399664147776</v>
      </c>
    </row>
    <row r="61" spans="1:128" ht="15.75" customHeight="1">
      <c r="A61" s="26">
        <v>55</v>
      </c>
      <c r="B61" s="26" t="s">
        <v>473</v>
      </c>
      <c r="C61" s="26" t="s">
        <v>474</v>
      </c>
      <c r="D61" s="27" t="s">
        <v>23</v>
      </c>
      <c r="E61" s="26">
        <v>657</v>
      </c>
      <c r="F61" s="26">
        <v>30</v>
      </c>
      <c r="G61" s="26">
        <v>30</v>
      </c>
      <c r="H61" s="26">
        <v>30</v>
      </c>
      <c r="I61" s="26">
        <v>0</v>
      </c>
      <c r="J61" s="28">
        <v>825</v>
      </c>
      <c r="K61" s="26">
        <v>55</v>
      </c>
      <c r="L61" s="26">
        <v>55</v>
      </c>
      <c r="M61" s="26">
        <v>50</v>
      </c>
      <c r="N61" s="26">
        <v>5</v>
      </c>
      <c r="O61" s="28">
        <v>139</v>
      </c>
      <c r="P61" s="26">
        <v>41</v>
      </c>
      <c r="Q61" s="26">
        <v>45</v>
      </c>
      <c r="R61" s="26">
        <v>25</v>
      </c>
      <c r="S61" s="27">
        <v>15</v>
      </c>
      <c r="T61" s="26">
        <f t="shared" si="0"/>
        <v>1621</v>
      </c>
      <c r="U61" s="26">
        <f t="shared" si="1"/>
        <v>105</v>
      </c>
      <c r="V61" s="26">
        <f t="shared" si="2"/>
        <v>130</v>
      </c>
      <c r="W61" s="26">
        <v>120</v>
      </c>
      <c r="X61" s="29">
        <f t="shared" si="3"/>
        <v>13.508333333333333</v>
      </c>
      <c r="Y61" s="30">
        <v>903</v>
      </c>
      <c r="Z61" s="26">
        <v>33</v>
      </c>
      <c r="AA61" s="26">
        <v>33</v>
      </c>
      <c r="AB61" s="26">
        <v>27</v>
      </c>
      <c r="AC61" s="26">
        <v>6</v>
      </c>
      <c r="AD61" s="45">
        <v>827</v>
      </c>
      <c r="AE61" s="26">
        <v>58</v>
      </c>
      <c r="AF61" s="26">
        <v>58</v>
      </c>
      <c r="AG61" s="26">
        <v>43</v>
      </c>
      <c r="AH61" s="26">
        <v>15</v>
      </c>
      <c r="AI61" s="26">
        <v>57</v>
      </c>
      <c r="AJ61" s="26">
        <v>57</v>
      </c>
      <c r="AK61" s="26">
        <v>38</v>
      </c>
      <c r="AL61" s="26">
        <v>19</v>
      </c>
      <c r="AM61" s="26">
        <f t="shared" si="4"/>
        <v>1730</v>
      </c>
      <c r="AN61" s="32">
        <f t="shared" si="5"/>
        <v>108</v>
      </c>
      <c r="AO61" s="32">
        <f t="shared" si="6"/>
        <v>148</v>
      </c>
      <c r="AP61" s="32">
        <v>130</v>
      </c>
      <c r="AQ61" s="33">
        <f t="shared" si="7"/>
        <v>13.307692307692308</v>
      </c>
      <c r="AR61" s="29">
        <f t="shared" si="8"/>
        <v>6.7242442936458975</v>
      </c>
      <c r="AS61" s="26">
        <v>60</v>
      </c>
      <c r="AT61" s="26">
        <v>60</v>
      </c>
      <c r="AU61" s="26">
        <v>54</v>
      </c>
      <c r="AV61" s="26">
        <v>6</v>
      </c>
      <c r="AW61" s="26">
        <v>76</v>
      </c>
      <c r="AX61" s="26">
        <v>76</v>
      </c>
      <c r="AY61" s="26">
        <v>67</v>
      </c>
      <c r="AZ61" s="26">
        <v>9</v>
      </c>
      <c r="BA61" s="26">
        <v>79</v>
      </c>
      <c r="BB61" s="26">
        <v>79</v>
      </c>
      <c r="BC61" s="26">
        <v>58</v>
      </c>
      <c r="BD61" s="26">
        <v>18</v>
      </c>
      <c r="BE61" s="26">
        <v>18</v>
      </c>
      <c r="BF61" s="26">
        <v>6</v>
      </c>
      <c r="BG61" s="26">
        <v>5</v>
      </c>
      <c r="BH61" s="26">
        <v>13</v>
      </c>
      <c r="BI61" s="26">
        <v>1</v>
      </c>
      <c r="BJ61" s="26">
        <v>1</v>
      </c>
      <c r="BK61" s="26">
        <v>3</v>
      </c>
      <c r="BL61" s="27">
        <v>3</v>
      </c>
      <c r="BM61" s="34">
        <v>2269</v>
      </c>
      <c r="BN61" s="26">
        <v>200</v>
      </c>
      <c r="BO61" s="35">
        <f t="shared" si="9"/>
        <v>185</v>
      </c>
      <c r="BP61" s="35">
        <f t="shared" si="10"/>
        <v>225</v>
      </c>
      <c r="BQ61" s="36">
        <f t="shared" si="11"/>
        <v>11.345000000000001</v>
      </c>
      <c r="BR61" s="37">
        <f t="shared" si="12"/>
        <v>31.156069364161848</v>
      </c>
      <c r="BS61" s="26">
        <v>69</v>
      </c>
      <c r="BT61" s="26">
        <v>69</v>
      </c>
      <c r="BU61" s="26">
        <v>64</v>
      </c>
      <c r="BV61" s="26">
        <v>5</v>
      </c>
      <c r="BW61" s="26">
        <v>86</v>
      </c>
      <c r="BX61" s="26">
        <v>86</v>
      </c>
      <c r="BY61" s="26">
        <v>78</v>
      </c>
      <c r="BZ61" s="26">
        <v>8</v>
      </c>
      <c r="CA61" s="26">
        <v>88</v>
      </c>
      <c r="CB61" s="26">
        <v>84</v>
      </c>
      <c r="CC61" s="26">
        <v>54</v>
      </c>
      <c r="CD61" s="26">
        <v>30</v>
      </c>
      <c r="CE61" s="26">
        <v>30</v>
      </c>
      <c r="CF61" s="26">
        <v>9</v>
      </c>
      <c r="CG61" s="26">
        <v>4</v>
      </c>
      <c r="CH61" s="26">
        <v>26</v>
      </c>
      <c r="CI61" s="26">
        <v>29</v>
      </c>
      <c r="CJ61" s="26">
        <v>6</v>
      </c>
      <c r="CK61" s="26">
        <v>3</v>
      </c>
      <c r="CL61" s="26">
        <v>26</v>
      </c>
      <c r="CM61" s="26">
        <v>2</v>
      </c>
      <c r="CN61" s="26">
        <v>1</v>
      </c>
      <c r="CO61" s="27">
        <v>1</v>
      </c>
      <c r="CP61" s="34">
        <v>2324</v>
      </c>
      <c r="CQ61" s="26">
        <f t="shared" si="13"/>
        <v>204</v>
      </c>
      <c r="CR61" s="26">
        <f t="shared" si="14"/>
        <v>256</v>
      </c>
      <c r="CS61" s="26">
        <v>230</v>
      </c>
      <c r="CT61" s="36">
        <f t="shared" si="15"/>
        <v>10.104347826086956</v>
      </c>
      <c r="CU61" s="38">
        <f t="shared" si="16"/>
        <v>2.4239753195240197</v>
      </c>
      <c r="CV61" s="26">
        <v>69.0</v>
      </c>
      <c r="CW61" s="26">
        <v>68</v>
      </c>
      <c r="CX61" s="26">
        <v>61</v>
      </c>
      <c r="CY61" s="26">
        <v>8</v>
      </c>
      <c r="CZ61" s="26">
        <v>89.0</v>
      </c>
      <c r="DA61" s="26">
        <v>89</v>
      </c>
      <c r="DB61" s="26">
        <v>80</v>
      </c>
      <c r="DC61" s="26">
        <v>9</v>
      </c>
      <c r="DD61" s="26">
        <v>81.0</v>
      </c>
      <c r="DE61" s="26">
        <v>78</v>
      </c>
      <c r="DF61" s="26">
        <v>67</v>
      </c>
      <c r="DG61" s="26">
        <v>22</v>
      </c>
      <c r="DH61" s="26"/>
      <c r="DI61" s="78">
        <v>13</v>
      </c>
      <c r="DJ61" s="26">
        <v>8</v>
      </c>
      <c r="DK61" s="26"/>
      <c r="DL61" s="26">
        <v>39</v>
      </c>
      <c r="DM61" s="26">
        <v>1</v>
      </c>
      <c r="DN61" s="26">
        <v>0</v>
      </c>
      <c r="DO61" s="26"/>
      <c r="DP61" s="82">
        <v>1</v>
      </c>
      <c r="DQ61" s="80">
        <v>1</v>
      </c>
      <c r="DR61" s="27"/>
      <c r="DS61" s="81">
        <v>2175</v>
      </c>
      <c r="DT61" s="43">
        <f t="shared" si="17"/>
        <v>217</v>
      </c>
      <c r="DU61" s="43">
        <f t="shared" si="18"/>
        <v>250</v>
      </c>
      <c r="DV61" s="26">
        <v>230.0</v>
      </c>
      <c r="DW61" s="33">
        <v>9.456521739</v>
      </c>
      <c r="DX61" s="44">
        <f t="shared" si="20"/>
        <v>-6.4113597246127361</v>
      </c>
    </row>
    <row r="62" spans="1:128" ht="15.75" customHeight="1">
      <c r="A62" s="26">
        <v>56</v>
      </c>
      <c r="B62" s="26" t="s">
        <v>475</v>
      </c>
      <c r="C62" s="26" t="s">
        <v>476</v>
      </c>
      <c r="D62" s="27" t="s">
        <v>23</v>
      </c>
      <c r="E62" s="26">
        <v>398</v>
      </c>
      <c r="F62" s="26">
        <v>20</v>
      </c>
      <c r="G62" s="26">
        <v>21</v>
      </c>
      <c r="H62" s="26">
        <v>18</v>
      </c>
      <c r="I62" s="26">
        <v>2</v>
      </c>
      <c r="J62" s="28">
        <v>678</v>
      </c>
      <c r="K62" s="26">
        <v>37</v>
      </c>
      <c r="L62" s="26">
        <v>37</v>
      </c>
      <c r="M62" s="26">
        <v>32</v>
      </c>
      <c r="N62" s="26">
        <v>4</v>
      </c>
      <c r="O62" s="28">
        <v>71</v>
      </c>
      <c r="P62" s="26">
        <v>28</v>
      </c>
      <c r="Q62" s="26">
        <v>30</v>
      </c>
      <c r="R62" s="26">
        <v>26</v>
      </c>
      <c r="S62" s="27">
        <v>4</v>
      </c>
      <c r="T62" s="26">
        <f t="shared" si="0"/>
        <v>1147</v>
      </c>
      <c r="U62" s="26">
        <f t="shared" si="1"/>
        <v>76</v>
      </c>
      <c r="V62" s="26">
        <f t="shared" si="2"/>
        <v>88</v>
      </c>
      <c r="W62" s="26">
        <v>80</v>
      </c>
      <c r="X62" s="29">
        <f t="shared" si="3"/>
        <v>14.3375</v>
      </c>
      <c r="Y62" s="30">
        <v>637</v>
      </c>
      <c r="Z62" s="26">
        <v>20</v>
      </c>
      <c r="AA62" s="26">
        <v>20</v>
      </c>
      <c r="AB62" s="26">
        <v>20</v>
      </c>
      <c r="AC62" s="26">
        <v>0</v>
      </c>
      <c r="AD62" s="45">
        <v>800</v>
      </c>
      <c r="AE62" s="26">
        <v>32</v>
      </c>
      <c r="AF62" s="26">
        <v>32</v>
      </c>
      <c r="AG62" s="26">
        <v>27</v>
      </c>
      <c r="AH62" s="26">
        <v>5</v>
      </c>
      <c r="AI62" s="26">
        <v>31</v>
      </c>
      <c r="AJ62" s="26">
        <v>31</v>
      </c>
      <c r="AK62" s="26">
        <v>18</v>
      </c>
      <c r="AL62" s="26">
        <v>13</v>
      </c>
      <c r="AM62" s="26">
        <f t="shared" si="4"/>
        <v>1437</v>
      </c>
      <c r="AN62" s="32">
        <f t="shared" si="5"/>
        <v>65</v>
      </c>
      <c r="AO62" s="32">
        <f t="shared" si="6"/>
        <v>83</v>
      </c>
      <c r="AP62" s="32">
        <v>80</v>
      </c>
      <c r="AQ62" s="33">
        <f t="shared" si="7"/>
        <v>17.962499999999999</v>
      </c>
      <c r="AR62" s="29">
        <f t="shared" si="8"/>
        <v>25.283347863993029</v>
      </c>
      <c r="AS62" s="26">
        <v>24</v>
      </c>
      <c r="AT62" s="26">
        <v>24</v>
      </c>
      <c r="AU62" s="26">
        <v>23</v>
      </c>
      <c r="AV62" s="26">
        <v>1</v>
      </c>
      <c r="AW62" s="26">
        <v>29</v>
      </c>
      <c r="AX62" s="26">
        <v>29</v>
      </c>
      <c r="AY62" s="26">
        <v>25</v>
      </c>
      <c r="AZ62" s="26">
        <v>4</v>
      </c>
      <c r="BA62" s="26">
        <v>32</v>
      </c>
      <c r="BB62" s="26">
        <v>32</v>
      </c>
      <c r="BC62" s="26">
        <v>18</v>
      </c>
      <c r="BD62" s="26">
        <v>11</v>
      </c>
      <c r="BE62" s="26">
        <v>11</v>
      </c>
      <c r="BF62" s="26">
        <v>7</v>
      </c>
      <c r="BG62" s="26">
        <v>7</v>
      </c>
      <c r="BH62" s="26">
        <v>4</v>
      </c>
      <c r="BI62" s="26">
        <v>5</v>
      </c>
      <c r="BJ62" s="26">
        <v>3</v>
      </c>
      <c r="BK62" s="26"/>
      <c r="BL62" s="27"/>
      <c r="BM62" s="34">
        <v>1504</v>
      </c>
      <c r="BN62" s="26">
        <v>80</v>
      </c>
      <c r="BO62" s="35">
        <f t="shared" si="9"/>
        <v>76</v>
      </c>
      <c r="BP62" s="35">
        <f t="shared" si="10"/>
        <v>97</v>
      </c>
      <c r="BQ62" s="36">
        <f t="shared" si="11"/>
        <v>18.8</v>
      </c>
      <c r="BR62" s="37">
        <f t="shared" si="12"/>
        <v>4.6624913013221994</v>
      </c>
      <c r="BS62" s="26">
        <v>24</v>
      </c>
      <c r="BT62" s="26">
        <v>24</v>
      </c>
      <c r="BU62" s="26">
        <v>24</v>
      </c>
      <c r="BV62" s="26">
        <v>0</v>
      </c>
      <c r="BW62" s="26">
        <v>28</v>
      </c>
      <c r="BX62" s="26">
        <v>28</v>
      </c>
      <c r="BY62" s="26">
        <v>25</v>
      </c>
      <c r="BZ62" s="26">
        <v>3</v>
      </c>
      <c r="CA62" s="26">
        <v>31</v>
      </c>
      <c r="CB62" s="26">
        <v>27</v>
      </c>
      <c r="CC62" s="26">
        <v>11</v>
      </c>
      <c r="CD62" s="26">
        <v>13</v>
      </c>
      <c r="CE62" s="26">
        <v>13</v>
      </c>
      <c r="CF62" s="26">
        <v>9</v>
      </c>
      <c r="CG62" s="26">
        <v>7</v>
      </c>
      <c r="CH62" s="26">
        <v>6</v>
      </c>
      <c r="CI62" s="26">
        <v>13</v>
      </c>
      <c r="CJ62" s="26">
        <v>10</v>
      </c>
      <c r="CK62" s="26">
        <v>7</v>
      </c>
      <c r="CL62" s="26">
        <v>6</v>
      </c>
      <c r="CM62" s="26"/>
      <c r="CN62" s="26"/>
      <c r="CO62" s="27">
        <v>0</v>
      </c>
      <c r="CP62" s="34">
        <v>1447</v>
      </c>
      <c r="CQ62" s="26">
        <f t="shared" si="13"/>
        <v>74</v>
      </c>
      <c r="CR62" s="26">
        <f t="shared" si="14"/>
        <v>98</v>
      </c>
      <c r="CS62" s="26">
        <v>80</v>
      </c>
      <c r="CT62" s="36">
        <f t="shared" si="15"/>
        <v>18.087499999999999</v>
      </c>
      <c r="CU62" s="38">
        <f t="shared" si="16"/>
        <v>-3.7898936170212769</v>
      </c>
      <c r="CV62" s="26">
        <v>24.0</v>
      </c>
      <c r="CW62" s="26">
        <v>23</v>
      </c>
      <c r="CX62" s="26">
        <v>23</v>
      </c>
      <c r="CY62" s="26">
        <v>1</v>
      </c>
      <c r="CZ62" s="26">
        <v>29.0</v>
      </c>
      <c r="DA62" s="26">
        <v>29</v>
      </c>
      <c r="DB62" s="26">
        <v>24</v>
      </c>
      <c r="DC62" s="26">
        <v>5</v>
      </c>
      <c r="DD62" s="26">
        <v>23.0</v>
      </c>
      <c r="DE62" s="26">
        <v>23</v>
      </c>
      <c r="DF62" s="26">
        <v>11</v>
      </c>
      <c r="DG62" s="26">
        <v>22</v>
      </c>
      <c r="DH62" s="26"/>
      <c r="DI62" s="78">
        <v>13</v>
      </c>
      <c r="DJ62" s="26">
        <v>10</v>
      </c>
      <c r="DK62" s="26"/>
      <c r="DL62" s="26">
        <v>28</v>
      </c>
      <c r="DM62" s="26">
        <v>12</v>
      </c>
      <c r="DN62" s="26">
        <v>8</v>
      </c>
      <c r="DO62" s="26"/>
      <c r="DP62" s="78">
        <v>0</v>
      </c>
      <c r="DQ62" s="80">
        <v>0</v>
      </c>
      <c r="DR62" s="27"/>
      <c r="DS62" s="81">
        <v>1385</v>
      </c>
      <c r="DT62" s="43">
        <f t="shared" si="17"/>
        <v>76</v>
      </c>
      <c r="DU62" s="43">
        <f t="shared" si="18"/>
        <v>100</v>
      </c>
      <c r="DV62" s="26">
        <v>80.0</v>
      </c>
      <c r="DW62" s="33">
        <v>17.3125</v>
      </c>
      <c r="DX62" s="44">
        <f t="shared" si="20"/>
        <v>-4.2847270214236355</v>
      </c>
    </row>
    <row r="63" spans="1:128" ht="15.75" customHeight="1">
      <c r="A63" s="26">
        <v>57</v>
      </c>
      <c r="B63" s="26" t="s">
        <v>477</v>
      </c>
      <c r="C63" s="26" t="s">
        <v>478</v>
      </c>
      <c r="D63" s="27" t="s">
        <v>23</v>
      </c>
      <c r="E63" s="26">
        <v>116</v>
      </c>
      <c r="F63" s="26">
        <v>35</v>
      </c>
      <c r="G63" s="26">
        <v>34</v>
      </c>
      <c r="H63" s="26">
        <v>29</v>
      </c>
      <c r="I63" s="26">
        <v>6</v>
      </c>
      <c r="J63" s="28">
        <v>230</v>
      </c>
      <c r="K63" s="26">
        <v>68</v>
      </c>
      <c r="L63" s="26">
        <v>70</v>
      </c>
      <c r="M63" s="26">
        <v>60</v>
      </c>
      <c r="N63" s="26">
        <v>5</v>
      </c>
      <c r="O63" s="28">
        <v>102</v>
      </c>
      <c r="P63" s="26">
        <v>47</v>
      </c>
      <c r="Q63" s="26">
        <v>50</v>
      </c>
      <c r="R63" s="26">
        <v>35</v>
      </c>
      <c r="S63" s="27">
        <v>16</v>
      </c>
      <c r="T63" s="26">
        <f t="shared" si="0"/>
        <v>448</v>
      </c>
      <c r="U63" s="26">
        <f t="shared" si="1"/>
        <v>124</v>
      </c>
      <c r="V63" s="26">
        <f t="shared" si="2"/>
        <v>154</v>
      </c>
      <c r="W63" s="26">
        <v>140</v>
      </c>
      <c r="X63" s="29">
        <f t="shared" si="3"/>
        <v>3.2</v>
      </c>
      <c r="Y63" s="30">
        <v>148</v>
      </c>
      <c r="Z63" s="26">
        <v>38</v>
      </c>
      <c r="AA63" s="26">
        <v>38</v>
      </c>
      <c r="AB63" s="26">
        <v>27</v>
      </c>
      <c r="AC63" s="26">
        <v>11</v>
      </c>
      <c r="AD63" s="45">
        <v>222</v>
      </c>
      <c r="AE63" s="26">
        <v>71</v>
      </c>
      <c r="AF63" s="26">
        <v>71</v>
      </c>
      <c r="AG63" s="26">
        <v>60</v>
      </c>
      <c r="AH63" s="26">
        <v>11</v>
      </c>
      <c r="AI63" s="26">
        <v>60</v>
      </c>
      <c r="AJ63" s="26">
        <v>48</v>
      </c>
      <c r="AK63" s="26">
        <v>33</v>
      </c>
      <c r="AL63" s="26">
        <v>27</v>
      </c>
      <c r="AM63" s="26">
        <f t="shared" si="4"/>
        <v>370</v>
      </c>
      <c r="AN63" s="32">
        <f t="shared" si="5"/>
        <v>120</v>
      </c>
      <c r="AO63" s="32">
        <f t="shared" si="6"/>
        <v>157</v>
      </c>
      <c r="AP63" s="32">
        <v>150</v>
      </c>
      <c r="AQ63" s="33">
        <f t="shared" si="7"/>
        <v>2.4666666666666668</v>
      </c>
      <c r="AR63" s="29">
        <f t="shared" si="8"/>
        <v>-17.410714285714285</v>
      </c>
      <c r="AS63" s="26">
        <v>48</v>
      </c>
      <c r="AT63" s="26">
        <v>48</v>
      </c>
      <c r="AU63" s="26">
        <v>40</v>
      </c>
      <c r="AV63" s="26">
        <v>8</v>
      </c>
      <c r="AW63" s="26">
        <v>64</v>
      </c>
      <c r="AX63" s="26">
        <v>64</v>
      </c>
      <c r="AY63" s="26">
        <v>52</v>
      </c>
      <c r="AZ63" s="26">
        <v>12</v>
      </c>
      <c r="BA63" s="26">
        <v>68</v>
      </c>
      <c r="BB63" s="26">
        <v>59</v>
      </c>
      <c r="BC63" s="26">
        <v>41</v>
      </c>
      <c r="BD63" s="26">
        <v>23</v>
      </c>
      <c r="BE63" s="26">
        <v>23</v>
      </c>
      <c r="BF63" s="26">
        <v>0</v>
      </c>
      <c r="BG63" s="26">
        <v>0</v>
      </c>
      <c r="BH63" s="26">
        <v>23</v>
      </c>
      <c r="BI63" s="26">
        <v>0</v>
      </c>
      <c r="BJ63" s="26">
        <v>0</v>
      </c>
      <c r="BK63" s="26"/>
      <c r="BL63" s="27"/>
      <c r="BM63" s="34">
        <v>478</v>
      </c>
      <c r="BN63" s="26">
        <v>160</v>
      </c>
      <c r="BO63" s="35">
        <f t="shared" si="9"/>
        <v>133</v>
      </c>
      <c r="BP63" s="35">
        <f t="shared" si="10"/>
        <v>171</v>
      </c>
      <c r="BQ63" s="36">
        <f t="shared" si="11"/>
        <v>2.9874999999999998</v>
      </c>
      <c r="BR63" s="37">
        <f t="shared" si="12"/>
        <v>29.189189189189189</v>
      </c>
      <c r="BS63" s="26">
        <v>48</v>
      </c>
      <c r="BT63" s="26">
        <v>48</v>
      </c>
      <c r="BU63" s="26">
        <v>41</v>
      </c>
      <c r="BV63" s="26">
        <v>7</v>
      </c>
      <c r="BW63" s="26">
        <v>63</v>
      </c>
      <c r="BX63" s="26">
        <v>63</v>
      </c>
      <c r="BY63" s="26">
        <v>53</v>
      </c>
      <c r="BZ63" s="26">
        <v>10</v>
      </c>
      <c r="CA63" s="26">
        <v>66</v>
      </c>
      <c r="CB63" s="26">
        <v>38</v>
      </c>
      <c r="CC63" s="26">
        <v>30</v>
      </c>
      <c r="CD63" s="26">
        <v>36</v>
      </c>
      <c r="CE63" s="26">
        <v>36</v>
      </c>
      <c r="CF63" s="26">
        <v>1</v>
      </c>
      <c r="CG63" s="26">
        <v>0</v>
      </c>
      <c r="CH63" s="26">
        <v>36</v>
      </c>
      <c r="CI63" s="26">
        <v>36</v>
      </c>
      <c r="CJ63" s="26">
        <v>9</v>
      </c>
      <c r="CK63" s="26">
        <v>9</v>
      </c>
      <c r="CL63" s="26">
        <v>27</v>
      </c>
      <c r="CM63" s="26"/>
      <c r="CN63" s="26"/>
      <c r="CO63" s="27">
        <v>0</v>
      </c>
      <c r="CP63" s="34">
        <v>449</v>
      </c>
      <c r="CQ63" s="26">
        <f t="shared" si="13"/>
        <v>133</v>
      </c>
      <c r="CR63" s="26">
        <f t="shared" si="14"/>
        <v>159</v>
      </c>
      <c r="CS63" s="26">
        <v>160</v>
      </c>
      <c r="CT63" s="36">
        <f t="shared" si="15"/>
        <v>2.8062499999999999</v>
      </c>
      <c r="CU63" s="38">
        <f t="shared" si="16"/>
        <v>-6.0669456066945608</v>
      </c>
      <c r="CV63" s="26">
        <v>54.0</v>
      </c>
      <c r="CW63" s="26">
        <v>49</v>
      </c>
      <c r="CX63" s="26">
        <v>45</v>
      </c>
      <c r="CY63" s="26">
        <v>8</v>
      </c>
      <c r="CZ63" s="26">
        <v>63.0</v>
      </c>
      <c r="DA63" s="26">
        <v>69</v>
      </c>
      <c r="DB63" s="26">
        <v>53</v>
      </c>
      <c r="DC63" s="26">
        <v>16</v>
      </c>
      <c r="DD63" s="26">
        <v>63.0</v>
      </c>
      <c r="DE63" s="26">
        <v>53</v>
      </c>
      <c r="DF63" s="26">
        <v>39</v>
      </c>
      <c r="DG63" s="26">
        <v>33</v>
      </c>
      <c r="DH63" s="26"/>
      <c r="DI63" s="78">
        <v>6</v>
      </c>
      <c r="DJ63" s="26">
        <v>3</v>
      </c>
      <c r="DK63" s="26"/>
      <c r="DL63" s="26">
        <v>57</v>
      </c>
      <c r="DM63" s="26">
        <v>7</v>
      </c>
      <c r="DN63" s="26">
        <v>6</v>
      </c>
      <c r="DO63" s="26"/>
      <c r="DP63" s="78">
        <v>0</v>
      </c>
      <c r="DQ63" s="80">
        <v>0</v>
      </c>
      <c r="DR63" s="27"/>
      <c r="DS63" s="81">
        <v>499</v>
      </c>
      <c r="DT63" s="43">
        <f t="shared" si="17"/>
        <v>146</v>
      </c>
      <c r="DU63" s="43">
        <f t="shared" si="18"/>
        <v>184</v>
      </c>
      <c r="DV63" s="26">
        <v>180.0</v>
      </c>
      <c r="DW63" s="33">
        <v>2.772222222</v>
      </c>
      <c r="DX63" s="44">
        <f t="shared" si="20"/>
        <v>11.1358574610245</v>
      </c>
    </row>
    <row r="64" spans="1:128" ht="15.75" customHeight="1">
      <c r="A64" s="26">
        <v>58</v>
      </c>
      <c r="B64" s="26" t="s">
        <v>479</v>
      </c>
      <c r="C64" s="26" t="s">
        <v>480</v>
      </c>
      <c r="D64" s="27" t="s">
        <v>23</v>
      </c>
      <c r="E64" s="26">
        <v>210</v>
      </c>
      <c r="F64" s="26">
        <v>35</v>
      </c>
      <c r="G64" s="26">
        <v>35</v>
      </c>
      <c r="H64" s="26">
        <v>33</v>
      </c>
      <c r="I64" s="26">
        <v>2</v>
      </c>
      <c r="J64" s="28">
        <v>227</v>
      </c>
      <c r="K64" s="26">
        <v>64</v>
      </c>
      <c r="L64" s="26">
        <v>65</v>
      </c>
      <c r="M64" s="26">
        <v>54</v>
      </c>
      <c r="N64" s="26">
        <v>6</v>
      </c>
      <c r="O64" s="28">
        <v>47</v>
      </c>
      <c r="P64" s="26">
        <v>48</v>
      </c>
      <c r="Q64" s="26">
        <v>35</v>
      </c>
      <c r="R64" s="26">
        <v>21</v>
      </c>
      <c r="S64" s="27">
        <v>32</v>
      </c>
      <c r="T64" s="26">
        <f t="shared" si="0"/>
        <v>484</v>
      </c>
      <c r="U64" s="26">
        <f t="shared" si="1"/>
        <v>108</v>
      </c>
      <c r="V64" s="26">
        <f t="shared" si="2"/>
        <v>135</v>
      </c>
      <c r="W64" s="26">
        <v>140</v>
      </c>
      <c r="X64" s="29">
        <f t="shared" si="3"/>
        <v>3.4571428571428573</v>
      </c>
      <c r="Y64" s="30">
        <v>186</v>
      </c>
      <c r="Z64" s="26">
        <v>38</v>
      </c>
      <c r="AA64" s="26">
        <v>38</v>
      </c>
      <c r="AB64" s="26">
        <v>34</v>
      </c>
      <c r="AC64" s="26">
        <v>4</v>
      </c>
      <c r="AD64" s="45">
        <v>204</v>
      </c>
      <c r="AE64" s="26">
        <v>64</v>
      </c>
      <c r="AF64" s="26">
        <v>64</v>
      </c>
      <c r="AG64" s="26">
        <v>57</v>
      </c>
      <c r="AH64" s="26">
        <v>7</v>
      </c>
      <c r="AI64" s="26">
        <v>57</v>
      </c>
      <c r="AJ64" s="26">
        <v>17</v>
      </c>
      <c r="AK64" s="26">
        <v>10</v>
      </c>
      <c r="AL64" s="26">
        <v>47</v>
      </c>
      <c r="AM64" s="26">
        <f t="shared" si="4"/>
        <v>390</v>
      </c>
      <c r="AN64" s="32">
        <f t="shared" si="5"/>
        <v>101</v>
      </c>
      <c r="AO64" s="32">
        <f t="shared" si="6"/>
        <v>119</v>
      </c>
      <c r="AP64" s="32">
        <v>150</v>
      </c>
      <c r="AQ64" s="33">
        <f t="shared" si="7"/>
        <v>2.6</v>
      </c>
      <c r="AR64" s="29">
        <f t="shared" si="8"/>
        <v>-19.421487603305785</v>
      </c>
      <c r="AS64" s="26">
        <v>48</v>
      </c>
      <c r="AT64" s="26">
        <v>48</v>
      </c>
      <c r="AU64" s="26">
        <v>46</v>
      </c>
      <c r="AV64" s="26">
        <v>2</v>
      </c>
      <c r="AW64" s="26">
        <v>58</v>
      </c>
      <c r="AX64" s="26">
        <v>58</v>
      </c>
      <c r="AY64" s="26">
        <v>44</v>
      </c>
      <c r="AZ64" s="26">
        <v>14</v>
      </c>
      <c r="BA64" s="26">
        <v>70</v>
      </c>
      <c r="BB64" s="26">
        <v>16</v>
      </c>
      <c r="BC64" s="26">
        <v>11</v>
      </c>
      <c r="BD64" s="26">
        <v>47</v>
      </c>
      <c r="BE64" s="26">
        <v>47</v>
      </c>
      <c r="BF64" s="26">
        <v>1</v>
      </c>
      <c r="BG64" s="26">
        <v>1</v>
      </c>
      <c r="BH64" s="26">
        <v>46</v>
      </c>
      <c r="BI64" s="26">
        <v>0</v>
      </c>
      <c r="BJ64" s="26">
        <v>0</v>
      </c>
      <c r="BK64" s="26"/>
      <c r="BL64" s="27"/>
      <c r="BM64" s="34">
        <v>411</v>
      </c>
      <c r="BN64" s="26">
        <v>160</v>
      </c>
      <c r="BO64" s="35">
        <f t="shared" si="9"/>
        <v>102</v>
      </c>
      <c r="BP64" s="35">
        <f t="shared" si="10"/>
        <v>123</v>
      </c>
      <c r="BQ64" s="36">
        <f t="shared" si="11"/>
        <v>2.5687500000000001</v>
      </c>
      <c r="BR64" s="37">
        <f t="shared" si="12"/>
        <v>5.384615384615385</v>
      </c>
      <c r="BS64" s="26">
        <v>36</v>
      </c>
      <c r="BT64" s="26">
        <v>36</v>
      </c>
      <c r="BU64" s="26">
        <v>27</v>
      </c>
      <c r="BV64" s="26">
        <v>9</v>
      </c>
      <c r="BW64" s="26">
        <v>51</v>
      </c>
      <c r="BX64" s="26">
        <v>51</v>
      </c>
      <c r="BY64" s="26">
        <v>46</v>
      </c>
      <c r="BZ64" s="26">
        <v>5</v>
      </c>
      <c r="CA64" s="26">
        <v>47</v>
      </c>
      <c r="CB64" s="26">
        <v>15</v>
      </c>
      <c r="CC64" s="26">
        <v>11</v>
      </c>
      <c r="CD64" s="26">
        <v>36</v>
      </c>
      <c r="CE64" s="26">
        <v>36</v>
      </c>
      <c r="CF64" s="26"/>
      <c r="CG64" s="26">
        <v>0</v>
      </c>
      <c r="CH64" s="26">
        <v>36</v>
      </c>
      <c r="CI64" s="26">
        <v>35</v>
      </c>
      <c r="CJ64" s="26">
        <v>0</v>
      </c>
      <c r="CK64" s="26">
        <v>0</v>
      </c>
      <c r="CL64" s="26">
        <v>35</v>
      </c>
      <c r="CM64" s="26">
        <v>1</v>
      </c>
      <c r="CN64" s="26"/>
      <c r="CO64" s="27">
        <v>1</v>
      </c>
      <c r="CP64" s="34">
        <v>447</v>
      </c>
      <c r="CQ64" s="26">
        <f t="shared" si="13"/>
        <v>84</v>
      </c>
      <c r="CR64" s="26">
        <f t="shared" si="14"/>
        <v>103</v>
      </c>
      <c r="CS64" s="26">
        <v>120</v>
      </c>
      <c r="CT64" s="36">
        <f t="shared" si="15"/>
        <v>3.7250000000000001</v>
      </c>
      <c r="CU64" s="38">
        <f t="shared" si="16"/>
        <v>8.7591240875912408</v>
      </c>
      <c r="CV64" s="26">
        <v>48.0</v>
      </c>
      <c r="CW64" s="26">
        <v>40</v>
      </c>
      <c r="CX64" s="26">
        <v>36</v>
      </c>
      <c r="CY64" s="26">
        <v>5</v>
      </c>
      <c r="CZ64" s="26">
        <v>56.0</v>
      </c>
      <c r="DA64" s="26">
        <v>52</v>
      </c>
      <c r="DB64" s="26">
        <v>46</v>
      </c>
      <c r="DC64" s="26">
        <v>6</v>
      </c>
      <c r="DD64" s="26">
        <v>56.0</v>
      </c>
      <c r="DE64" s="26">
        <v>12</v>
      </c>
      <c r="DF64" s="26">
        <v>9</v>
      </c>
      <c r="DG64" s="26">
        <v>39</v>
      </c>
      <c r="DH64" s="26"/>
      <c r="DI64" s="78">
        <v>2</v>
      </c>
      <c r="DJ64" s="26">
        <v>0</v>
      </c>
      <c r="DK64" s="26"/>
      <c r="DL64" s="26">
        <v>50</v>
      </c>
      <c r="DM64" s="26">
        <v>1</v>
      </c>
      <c r="DN64" s="26">
        <v>0</v>
      </c>
      <c r="DO64" s="26"/>
      <c r="DP64" s="82">
        <v>1</v>
      </c>
      <c r="DQ64" s="80">
        <v>1</v>
      </c>
      <c r="DR64" s="27"/>
      <c r="DS64" s="81">
        <v>519</v>
      </c>
      <c r="DT64" s="43">
        <f t="shared" si="17"/>
        <v>92</v>
      </c>
      <c r="DU64" s="43">
        <f t="shared" si="18"/>
        <v>108</v>
      </c>
      <c r="DV64" s="26">
        <v>160.0</v>
      </c>
      <c r="DW64" s="33">
        <v>3.24375</v>
      </c>
      <c r="DX64" s="44">
        <f t="shared" si="20"/>
        <v>16.107382550335569</v>
      </c>
    </row>
    <row r="65" spans="1:128" ht="15.75" customHeight="1">
      <c r="A65" s="26">
        <v>59</v>
      </c>
      <c r="B65" s="26" t="s">
        <v>481</v>
      </c>
      <c r="C65" s="26" t="s">
        <v>482</v>
      </c>
      <c r="D65" s="27" t="s">
        <v>23</v>
      </c>
      <c r="E65" s="26">
        <v>356</v>
      </c>
      <c r="F65" s="26">
        <v>35</v>
      </c>
      <c r="G65" s="26">
        <v>37</v>
      </c>
      <c r="H65" s="26">
        <v>36</v>
      </c>
      <c r="I65" s="26">
        <v>-1</v>
      </c>
      <c r="J65" s="28">
        <v>823</v>
      </c>
      <c r="K65" s="26">
        <v>63</v>
      </c>
      <c r="L65" s="26">
        <v>64</v>
      </c>
      <c r="M65" s="26">
        <v>57</v>
      </c>
      <c r="N65" s="26">
        <v>5</v>
      </c>
      <c r="O65" s="28">
        <v>347</v>
      </c>
      <c r="P65" s="26">
        <v>47</v>
      </c>
      <c r="Q65" s="26">
        <v>51</v>
      </c>
      <c r="R65" s="26">
        <v>47</v>
      </c>
      <c r="S65" s="27">
        <v>0</v>
      </c>
      <c r="T65" s="26">
        <f t="shared" si="0"/>
        <v>1526</v>
      </c>
      <c r="U65" s="26">
        <f t="shared" si="1"/>
        <v>140</v>
      </c>
      <c r="V65" s="26">
        <f t="shared" si="2"/>
        <v>152</v>
      </c>
      <c r="W65" s="26">
        <v>140</v>
      </c>
      <c r="X65" s="29">
        <f t="shared" si="3"/>
        <v>10.9</v>
      </c>
      <c r="Y65" s="30">
        <v>569</v>
      </c>
      <c r="Z65" s="26">
        <v>38</v>
      </c>
      <c r="AA65" s="26">
        <v>36</v>
      </c>
      <c r="AB65" s="26">
        <v>34</v>
      </c>
      <c r="AC65" s="26">
        <v>4</v>
      </c>
      <c r="AD65" s="45">
        <v>723</v>
      </c>
      <c r="AE65" s="26">
        <v>64</v>
      </c>
      <c r="AF65" s="26">
        <v>64</v>
      </c>
      <c r="AG65" s="26">
        <v>58</v>
      </c>
      <c r="AH65" s="26">
        <v>6</v>
      </c>
      <c r="AI65" s="26">
        <v>57</v>
      </c>
      <c r="AJ65" s="26">
        <v>57</v>
      </c>
      <c r="AK65" s="26">
        <v>44</v>
      </c>
      <c r="AL65" s="26">
        <v>13</v>
      </c>
      <c r="AM65" s="26">
        <f t="shared" si="4"/>
        <v>1292</v>
      </c>
      <c r="AN65" s="32">
        <f t="shared" si="5"/>
        <v>136</v>
      </c>
      <c r="AO65" s="32">
        <f t="shared" si="6"/>
        <v>157</v>
      </c>
      <c r="AP65" s="32">
        <v>150</v>
      </c>
      <c r="AQ65" s="33">
        <f t="shared" si="7"/>
        <v>8.6133333333333333</v>
      </c>
      <c r="AR65" s="29">
        <f t="shared" si="8"/>
        <v>-15.334207077326342</v>
      </c>
      <c r="AS65" s="26">
        <v>54</v>
      </c>
      <c r="AT65" s="26">
        <v>54</v>
      </c>
      <c r="AU65" s="26">
        <v>53</v>
      </c>
      <c r="AV65" s="26">
        <v>1</v>
      </c>
      <c r="AW65" s="26">
        <v>64</v>
      </c>
      <c r="AX65" s="26">
        <v>64</v>
      </c>
      <c r="AY65" s="26">
        <v>55</v>
      </c>
      <c r="AZ65" s="26">
        <v>9</v>
      </c>
      <c r="BA65" s="26">
        <v>72</v>
      </c>
      <c r="BB65" s="26">
        <v>73</v>
      </c>
      <c r="BC65" s="26">
        <v>62</v>
      </c>
      <c r="BD65" s="26">
        <v>2</v>
      </c>
      <c r="BE65" s="26">
        <v>2</v>
      </c>
      <c r="BF65" s="26">
        <v>7</v>
      </c>
      <c r="BG65" s="26">
        <v>3</v>
      </c>
      <c r="BH65" s="26">
        <v>-1</v>
      </c>
      <c r="BI65" s="26">
        <v>5</v>
      </c>
      <c r="BJ65" s="26">
        <v>3</v>
      </c>
      <c r="BK65" s="26">
        <v>1</v>
      </c>
      <c r="BL65" s="27">
        <v>1</v>
      </c>
      <c r="BM65" s="34">
        <v>1764</v>
      </c>
      <c r="BN65" s="26">
        <v>180</v>
      </c>
      <c r="BO65" s="35">
        <f t="shared" si="9"/>
        <v>176</v>
      </c>
      <c r="BP65" s="35">
        <f t="shared" si="10"/>
        <v>204</v>
      </c>
      <c r="BQ65" s="36">
        <f t="shared" si="11"/>
        <v>9.8000000000000007</v>
      </c>
      <c r="BR65" s="37">
        <f t="shared" si="12"/>
        <v>36.532507739938083</v>
      </c>
      <c r="BS65" s="26">
        <v>54</v>
      </c>
      <c r="BT65" s="26">
        <v>54</v>
      </c>
      <c r="BU65" s="26">
        <v>51</v>
      </c>
      <c r="BV65" s="26">
        <v>3</v>
      </c>
      <c r="BW65" s="26">
        <v>66</v>
      </c>
      <c r="BX65" s="26">
        <v>66</v>
      </c>
      <c r="BY65" s="26">
        <v>56</v>
      </c>
      <c r="BZ65" s="26">
        <v>10</v>
      </c>
      <c r="CA65" s="26">
        <v>73</v>
      </c>
      <c r="CB65" s="26">
        <v>68</v>
      </c>
      <c r="CC65" s="26">
        <v>62</v>
      </c>
      <c r="CD65" s="26">
        <v>6</v>
      </c>
      <c r="CE65" s="26">
        <v>6</v>
      </c>
      <c r="CF65" s="26">
        <v>13</v>
      </c>
      <c r="CG65" s="26">
        <v>5</v>
      </c>
      <c r="CH65" s="26">
        <v>1</v>
      </c>
      <c r="CI65" s="26">
        <v>6</v>
      </c>
      <c r="CJ65" s="26">
        <v>7</v>
      </c>
      <c r="CK65" s="26">
        <v>6</v>
      </c>
      <c r="CL65" s="26">
        <v>0</v>
      </c>
      <c r="CM65" s="26">
        <v>1</v>
      </c>
      <c r="CN65" s="26">
        <v>1</v>
      </c>
      <c r="CO65" s="27">
        <v>0</v>
      </c>
      <c r="CP65" s="34">
        <v>1675</v>
      </c>
      <c r="CQ65" s="26">
        <f t="shared" si="13"/>
        <v>181</v>
      </c>
      <c r="CR65" s="26">
        <f t="shared" si="14"/>
        <v>209</v>
      </c>
      <c r="CS65" s="26">
        <v>180</v>
      </c>
      <c r="CT65" s="36">
        <f t="shared" si="15"/>
        <v>9.3055555555555554</v>
      </c>
      <c r="CU65" s="38">
        <f t="shared" si="16"/>
        <v>-5.045351473922902</v>
      </c>
      <c r="CV65" s="26">
        <v>54.0</v>
      </c>
      <c r="CW65" s="26">
        <v>52</v>
      </c>
      <c r="CX65" s="26">
        <v>50</v>
      </c>
      <c r="CY65" s="26">
        <v>4</v>
      </c>
      <c r="CZ65" s="26">
        <v>67.0</v>
      </c>
      <c r="DA65" s="26">
        <v>67</v>
      </c>
      <c r="DB65" s="26">
        <v>58</v>
      </c>
      <c r="DC65" s="26">
        <v>8</v>
      </c>
      <c r="DD65" s="26">
        <v>56.0</v>
      </c>
      <c r="DE65" s="26">
        <v>56</v>
      </c>
      <c r="DF65" s="26">
        <v>48</v>
      </c>
      <c r="DG65" s="26">
        <v>23</v>
      </c>
      <c r="DH65" s="26"/>
      <c r="DI65" s="78">
        <v>20</v>
      </c>
      <c r="DJ65" s="26">
        <v>15</v>
      </c>
      <c r="DK65" s="26"/>
      <c r="DL65" s="26">
        <v>35</v>
      </c>
      <c r="DM65" s="26">
        <v>11</v>
      </c>
      <c r="DN65" s="26">
        <v>9</v>
      </c>
      <c r="DO65" s="26"/>
      <c r="DP65" s="82">
        <v>0</v>
      </c>
      <c r="DQ65" s="80">
        <v>0</v>
      </c>
      <c r="DR65" s="27"/>
      <c r="DS65" s="81">
        <v>1788</v>
      </c>
      <c r="DT65" s="43">
        <f t="shared" si="17"/>
        <v>180</v>
      </c>
      <c r="DU65" s="43">
        <f t="shared" si="18"/>
        <v>206</v>
      </c>
      <c r="DV65" s="26">
        <v>180.0</v>
      </c>
      <c r="DW65" s="33">
        <v>9.933333333</v>
      </c>
      <c r="DX65" s="44">
        <f t="shared" si="20"/>
        <v>6.7462686567164187</v>
      </c>
    </row>
    <row r="66" spans="1:128" ht="15.75" customHeight="1">
      <c r="A66" s="26">
        <v>60</v>
      </c>
      <c r="B66" s="26" t="s">
        <v>483</v>
      </c>
      <c r="C66" s="26" t="s">
        <v>484</v>
      </c>
      <c r="D66" s="27" t="s">
        <v>23</v>
      </c>
      <c r="E66" s="26">
        <v>281</v>
      </c>
      <c r="F66" s="26">
        <v>25</v>
      </c>
      <c r="G66" s="26">
        <v>25</v>
      </c>
      <c r="H66" s="26">
        <v>23</v>
      </c>
      <c r="I66" s="26">
        <v>2</v>
      </c>
      <c r="J66" s="28">
        <v>254</v>
      </c>
      <c r="K66" s="26">
        <v>47</v>
      </c>
      <c r="L66" s="26">
        <v>48</v>
      </c>
      <c r="M66" s="26">
        <v>44</v>
      </c>
      <c r="N66" s="26">
        <v>2</v>
      </c>
      <c r="O66" s="28">
        <v>51</v>
      </c>
      <c r="P66" s="26">
        <v>32</v>
      </c>
      <c r="Q66" s="26">
        <v>29</v>
      </c>
      <c r="R66" s="26">
        <v>18</v>
      </c>
      <c r="S66" s="27">
        <v>15</v>
      </c>
      <c r="T66" s="26">
        <f t="shared" si="0"/>
        <v>586</v>
      </c>
      <c r="U66" s="26">
        <f t="shared" si="1"/>
        <v>85</v>
      </c>
      <c r="V66" s="26">
        <f t="shared" si="2"/>
        <v>102</v>
      </c>
      <c r="W66" s="26">
        <v>100</v>
      </c>
      <c r="X66" s="29">
        <f t="shared" si="3"/>
        <v>5.86</v>
      </c>
      <c r="Y66" s="30">
        <v>342</v>
      </c>
      <c r="Z66" s="26">
        <v>28</v>
      </c>
      <c r="AA66" s="26">
        <v>28</v>
      </c>
      <c r="AB66" s="26">
        <v>22</v>
      </c>
      <c r="AC66" s="26">
        <v>6</v>
      </c>
      <c r="AD66" s="45">
        <v>333</v>
      </c>
      <c r="AE66" s="26">
        <v>50</v>
      </c>
      <c r="AF66" s="26">
        <v>50</v>
      </c>
      <c r="AG66" s="26">
        <v>43</v>
      </c>
      <c r="AH66" s="26">
        <v>7</v>
      </c>
      <c r="AI66" s="26">
        <v>45</v>
      </c>
      <c r="AJ66" s="26">
        <v>23</v>
      </c>
      <c r="AK66" s="26">
        <v>13</v>
      </c>
      <c r="AL66" s="26">
        <v>32</v>
      </c>
      <c r="AM66" s="26">
        <f t="shared" si="4"/>
        <v>675</v>
      </c>
      <c r="AN66" s="32">
        <f t="shared" si="5"/>
        <v>78</v>
      </c>
      <c r="AO66" s="32">
        <f t="shared" si="6"/>
        <v>101</v>
      </c>
      <c r="AP66" s="32">
        <v>110</v>
      </c>
      <c r="AQ66" s="33">
        <f t="shared" si="7"/>
        <v>6.1363636363636367</v>
      </c>
      <c r="AR66" s="29">
        <f t="shared" si="8"/>
        <v>15.187713310580206</v>
      </c>
      <c r="AS66" s="26">
        <v>42</v>
      </c>
      <c r="AT66" s="26">
        <v>42</v>
      </c>
      <c r="AU66" s="26">
        <v>39</v>
      </c>
      <c r="AV66" s="26">
        <v>3</v>
      </c>
      <c r="AW66" s="26">
        <v>52</v>
      </c>
      <c r="AX66" s="26">
        <v>52</v>
      </c>
      <c r="AY66" s="26">
        <v>42</v>
      </c>
      <c r="AZ66" s="26">
        <v>10</v>
      </c>
      <c r="BA66" s="26">
        <v>59</v>
      </c>
      <c r="BB66" s="26">
        <v>23</v>
      </c>
      <c r="BC66" s="26">
        <v>14</v>
      </c>
      <c r="BD66" s="26">
        <v>38</v>
      </c>
      <c r="BE66" s="26">
        <v>38</v>
      </c>
      <c r="BF66" s="26">
        <v>3</v>
      </c>
      <c r="BG66" s="26">
        <v>2</v>
      </c>
      <c r="BH66" s="26">
        <v>36</v>
      </c>
      <c r="BI66" s="26">
        <v>0</v>
      </c>
      <c r="BJ66" s="26">
        <v>0</v>
      </c>
      <c r="BK66" s="26"/>
      <c r="BL66" s="27"/>
      <c r="BM66" s="34">
        <v>716</v>
      </c>
      <c r="BN66" s="26">
        <v>140</v>
      </c>
      <c r="BO66" s="35">
        <f t="shared" si="9"/>
        <v>97</v>
      </c>
      <c r="BP66" s="35">
        <f t="shared" si="10"/>
        <v>120</v>
      </c>
      <c r="BQ66" s="36">
        <f t="shared" si="11"/>
        <v>5.1142857142857139</v>
      </c>
      <c r="BR66" s="37">
        <f t="shared" si="12"/>
        <v>6.0740740740740744</v>
      </c>
      <c r="BS66" s="26">
        <v>42</v>
      </c>
      <c r="BT66" s="26">
        <v>42</v>
      </c>
      <c r="BU66" s="26">
        <v>35</v>
      </c>
      <c r="BV66" s="26">
        <v>7</v>
      </c>
      <c r="BW66" s="26">
        <v>56</v>
      </c>
      <c r="BX66" s="26">
        <v>56</v>
      </c>
      <c r="BY66" s="26">
        <v>51</v>
      </c>
      <c r="BZ66" s="26">
        <v>5</v>
      </c>
      <c r="CA66" s="26">
        <v>54</v>
      </c>
      <c r="CB66" s="26">
        <v>16</v>
      </c>
      <c r="CC66" s="26">
        <v>10</v>
      </c>
      <c r="CD66" s="26">
        <v>41</v>
      </c>
      <c r="CE66" s="26">
        <v>41</v>
      </c>
      <c r="CF66" s="26">
        <v>5</v>
      </c>
      <c r="CG66" s="26">
        <v>3</v>
      </c>
      <c r="CH66" s="26">
        <v>38</v>
      </c>
      <c r="CI66" s="26">
        <v>41</v>
      </c>
      <c r="CJ66" s="26">
        <v>1</v>
      </c>
      <c r="CK66" s="26">
        <v>0</v>
      </c>
      <c r="CL66" s="26">
        <v>41</v>
      </c>
      <c r="CM66" s="26"/>
      <c r="CN66" s="26"/>
      <c r="CO66" s="27">
        <v>0</v>
      </c>
      <c r="CP66" s="34">
        <v>664</v>
      </c>
      <c r="CQ66" s="26">
        <f t="shared" si="13"/>
        <v>99</v>
      </c>
      <c r="CR66" s="26">
        <f t="shared" si="14"/>
        <v>120</v>
      </c>
      <c r="CS66" s="26">
        <v>140</v>
      </c>
      <c r="CT66" s="36">
        <f t="shared" si="15"/>
        <v>4.7428571428571429</v>
      </c>
      <c r="CU66" s="38">
        <f t="shared" si="16"/>
        <v>-7.2625698324022352</v>
      </c>
      <c r="CV66" s="26">
        <v>42.0</v>
      </c>
      <c r="CW66" s="26">
        <v>40</v>
      </c>
      <c r="CX66" s="26">
        <v>38</v>
      </c>
      <c r="CY66" s="26">
        <v>4</v>
      </c>
      <c r="CZ66" s="26">
        <v>53.0</v>
      </c>
      <c r="DA66" s="26">
        <v>53</v>
      </c>
      <c r="DB66" s="26">
        <v>38</v>
      </c>
      <c r="DC66" s="26">
        <v>15</v>
      </c>
      <c r="DD66" s="26">
        <v>59.0</v>
      </c>
      <c r="DE66" s="26">
        <v>27</v>
      </c>
      <c r="DF66" s="26">
        <v>21</v>
      </c>
      <c r="DG66" s="26">
        <v>43</v>
      </c>
      <c r="DH66" s="26"/>
      <c r="DI66" s="78">
        <v>11</v>
      </c>
      <c r="DJ66" s="26">
        <v>5</v>
      </c>
      <c r="DK66" s="26"/>
      <c r="DL66" s="26">
        <v>62</v>
      </c>
      <c r="DM66" s="26">
        <v>0</v>
      </c>
      <c r="DN66" s="26">
        <v>0</v>
      </c>
      <c r="DO66" s="26"/>
      <c r="DP66" s="78">
        <v>1</v>
      </c>
      <c r="DQ66" s="80">
        <v>1</v>
      </c>
      <c r="DR66" s="27"/>
      <c r="DS66" s="81">
        <v>764</v>
      </c>
      <c r="DT66" s="43">
        <f t="shared" si="17"/>
        <v>103</v>
      </c>
      <c r="DU66" s="43">
        <f t="shared" si="18"/>
        <v>132</v>
      </c>
      <c r="DV66" s="26">
        <v>140.0</v>
      </c>
      <c r="DW66" s="33">
        <v>5.457142857</v>
      </c>
      <c r="DX66" s="44">
        <f t="shared" si="20"/>
        <v>15.060240963855422</v>
      </c>
    </row>
    <row r="67" spans="1:128" ht="15.75" customHeight="1">
      <c r="A67" s="26">
        <v>61</v>
      </c>
      <c r="B67" s="26" t="s">
        <v>485</v>
      </c>
      <c r="C67" s="26" t="s">
        <v>486</v>
      </c>
      <c r="D67" s="27" t="s">
        <v>23</v>
      </c>
      <c r="E67" s="26">
        <v>233</v>
      </c>
      <c r="F67" s="26">
        <v>35</v>
      </c>
      <c r="G67" s="26">
        <v>35</v>
      </c>
      <c r="H67" s="26">
        <v>33</v>
      </c>
      <c r="I67" s="26">
        <v>2</v>
      </c>
      <c r="J67" s="28">
        <v>406</v>
      </c>
      <c r="K67" s="26">
        <v>65</v>
      </c>
      <c r="L67" s="26">
        <v>65</v>
      </c>
      <c r="M67" s="26">
        <v>60</v>
      </c>
      <c r="N67" s="26">
        <v>5</v>
      </c>
      <c r="O67" s="28">
        <v>247</v>
      </c>
      <c r="P67" s="26">
        <v>47</v>
      </c>
      <c r="Q67" s="26">
        <v>50</v>
      </c>
      <c r="R67" s="26">
        <v>39</v>
      </c>
      <c r="S67" s="27">
        <v>8</v>
      </c>
      <c r="T67" s="26">
        <f t="shared" si="0"/>
        <v>886</v>
      </c>
      <c r="U67" s="26">
        <f t="shared" si="1"/>
        <v>132</v>
      </c>
      <c r="V67" s="26">
        <f t="shared" si="2"/>
        <v>150</v>
      </c>
      <c r="W67" s="26">
        <v>140</v>
      </c>
      <c r="X67" s="29">
        <f t="shared" si="3"/>
        <v>6.3285714285714283</v>
      </c>
      <c r="Y67" s="30">
        <v>246</v>
      </c>
      <c r="Z67" s="26">
        <v>38</v>
      </c>
      <c r="AA67" s="26">
        <v>38</v>
      </c>
      <c r="AB67" s="26">
        <v>35</v>
      </c>
      <c r="AC67" s="26">
        <v>3</v>
      </c>
      <c r="AD67" s="45">
        <v>356</v>
      </c>
      <c r="AE67" s="26">
        <v>63</v>
      </c>
      <c r="AF67" s="26">
        <v>63</v>
      </c>
      <c r="AG67" s="26">
        <v>51</v>
      </c>
      <c r="AH67" s="26">
        <v>12</v>
      </c>
      <c r="AI67" s="26">
        <v>60</v>
      </c>
      <c r="AJ67" s="26">
        <v>60</v>
      </c>
      <c r="AK67" s="26">
        <v>50</v>
      </c>
      <c r="AL67" s="26">
        <v>10</v>
      </c>
      <c r="AM67" s="26">
        <f t="shared" si="4"/>
        <v>602</v>
      </c>
      <c r="AN67" s="32">
        <f t="shared" si="5"/>
        <v>136</v>
      </c>
      <c r="AO67" s="32">
        <f t="shared" si="6"/>
        <v>161</v>
      </c>
      <c r="AP67" s="32">
        <v>150</v>
      </c>
      <c r="AQ67" s="33">
        <f t="shared" si="7"/>
        <v>4.0133333333333336</v>
      </c>
      <c r="AR67" s="29">
        <f t="shared" si="8"/>
        <v>-32.05417607223476</v>
      </c>
      <c r="AS67" s="26">
        <v>54</v>
      </c>
      <c r="AT67" s="26">
        <v>54</v>
      </c>
      <c r="AU67" s="26">
        <v>50</v>
      </c>
      <c r="AV67" s="26">
        <v>4</v>
      </c>
      <c r="AW67" s="26">
        <v>67</v>
      </c>
      <c r="AX67" s="26">
        <v>67</v>
      </c>
      <c r="AY67" s="26">
        <v>57</v>
      </c>
      <c r="AZ67" s="26">
        <v>10</v>
      </c>
      <c r="BA67" s="26">
        <v>73</v>
      </c>
      <c r="BB67" s="26">
        <v>74</v>
      </c>
      <c r="BC67" s="26">
        <v>60</v>
      </c>
      <c r="BD67" s="26">
        <v>7</v>
      </c>
      <c r="BE67" s="26">
        <v>7</v>
      </c>
      <c r="BF67" s="26">
        <v>3</v>
      </c>
      <c r="BG67" s="26">
        <v>3</v>
      </c>
      <c r="BH67" s="26">
        <v>4</v>
      </c>
      <c r="BI67" s="26">
        <v>2</v>
      </c>
      <c r="BJ67" s="26">
        <v>2</v>
      </c>
      <c r="BK67" s="26"/>
      <c r="BL67" s="27"/>
      <c r="BM67" s="34">
        <v>944</v>
      </c>
      <c r="BN67" s="26">
        <v>180</v>
      </c>
      <c r="BO67" s="35">
        <f t="shared" si="9"/>
        <v>172</v>
      </c>
      <c r="BP67" s="35">
        <f t="shared" si="10"/>
        <v>200</v>
      </c>
      <c r="BQ67" s="36">
        <f t="shared" si="11"/>
        <v>5.2444444444444445</v>
      </c>
      <c r="BR67" s="37">
        <f t="shared" si="12"/>
        <v>56.810631229235874</v>
      </c>
      <c r="BS67" s="26">
        <v>54</v>
      </c>
      <c r="BT67" s="26">
        <v>54</v>
      </c>
      <c r="BU67" s="26">
        <v>46</v>
      </c>
      <c r="BV67" s="26">
        <v>8</v>
      </c>
      <c r="BW67" s="26">
        <v>71</v>
      </c>
      <c r="BX67" s="26">
        <v>71</v>
      </c>
      <c r="BY67" s="26">
        <v>63</v>
      </c>
      <c r="BZ67" s="26">
        <v>8</v>
      </c>
      <c r="CA67" s="26">
        <v>71</v>
      </c>
      <c r="CB67" s="26">
        <v>70</v>
      </c>
      <c r="CC67" s="26">
        <v>54</v>
      </c>
      <c r="CD67" s="26">
        <v>15</v>
      </c>
      <c r="CE67" s="26">
        <v>15</v>
      </c>
      <c r="CF67" s="26">
        <v>3</v>
      </c>
      <c r="CG67" s="26">
        <v>2</v>
      </c>
      <c r="CH67" s="26">
        <v>13</v>
      </c>
      <c r="CI67" s="26">
        <v>15</v>
      </c>
      <c r="CJ67" s="26">
        <v>14</v>
      </c>
      <c r="CK67" s="26">
        <v>9</v>
      </c>
      <c r="CL67" s="26">
        <v>6</v>
      </c>
      <c r="CM67" s="26"/>
      <c r="CN67" s="26"/>
      <c r="CO67" s="27">
        <v>0</v>
      </c>
      <c r="CP67" s="34">
        <v>1020</v>
      </c>
      <c r="CQ67" s="26">
        <f t="shared" si="13"/>
        <v>174</v>
      </c>
      <c r="CR67" s="26">
        <f t="shared" si="14"/>
        <v>212</v>
      </c>
      <c r="CS67" s="26">
        <v>180</v>
      </c>
      <c r="CT67" s="36">
        <f t="shared" si="15"/>
        <v>5.666666666666667</v>
      </c>
      <c r="CU67" s="38">
        <f t="shared" si="16"/>
        <v>8.0508474576271176</v>
      </c>
      <c r="CV67" s="26">
        <v>54.0</v>
      </c>
      <c r="CW67" s="26">
        <v>52</v>
      </c>
      <c r="CX67" s="26">
        <v>46</v>
      </c>
      <c r="CY67" s="26">
        <v>8</v>
      </c>
      <c r="CZ67" s="26">
        <v>71.0</v>
      </c>
      <c r="DA67" s="26">
        <v>71</v>
      </c>
      <c r="DB67" s="26">
        <v>59</v>
      </c>
      <c r="DC67" s="26">
        <v>12</v>
      </c>
      <c r="DD67" s="26">
        <v>69.0</v>
      </c>
      <c r="DE67" s="26">
        <v>69</v>
      </c>
      <c r="DF67" s="26">
        <v>60</v>
      </c>
      <c r="DG67" s="26">
        <v>15</v>
      </c>
      <c r="DH67" s="26"/>
      <c r="DI67" s="83">
        <v>8</v>
      </c>
      <c r="DJ67" s="26">
        <v>6</v>
      </c>
      <c r="DK67" s="26"/>
      <c r="DL67" s="26">
        <v>35</v>
      </c>
      <c r="DM67" s="26">
        <v>11</v>
      </c>
      <c r="DN67" s="26">
        <v>9</v>
      </c>
      <c r="DO67" s="26"/>
      <c r="DP67" s="84">
        <v>1</v>
      </c>
      <c r="DQ67" s="85">
        <v>1</v>
      </c>
      <c r="DR67" s="27"/>
      <c r="DS67" s="85">
        <v>1220</v>
      </c>
      <c r="DT67" s="43">
        <f t="shared" si="17"/>
        <v>181</v>
      </c>
      <c r="DU67" s="43">
        <f t="shared" si="18"/>
        <v>212</v>
      </c>
      <c r="DV67" s="26">
        <v>180.0</v>
      </c>
      <c r="DW67" s="33">
        <v>6.777777778</v>
      </c>
      <c r="DX67" s="44">
        <f t="shared" si="20"/>
        <v>19.607843137254903</v>
      </c>
    </row>
    <row r="68" spans="1:128" ht="15.75" customHeight="1">
      <c r="A68" s="26">
        <v>62</v>
      </c>
      <c r="B68" s="26" t="s">
        <v>487</v>
      </c>
      <c r="C68" s="26" t="s">
        <v>488</v>
      </c>
      <c r="D68" s="27" t="s">
        <v>23</v>
      </c>
      <c r="E68" s="26">
        <v>296</v>
      </c>
      <c r="F68" s="26">
        <v>54</v>
      </c>
      <c r="G68" s="26">
        <v>54</v>
      </c>
      <c r="H68" s="26">
        <v>50</v>
      </c>
      <c r="I68" s="26">
        <v>4</v>
      </c>
      <c r="J68" s="28">
        <v>449</v>
      </c>
      <c r="K68" s="26">
        <v>100</v>
      </c>
      <c r="L68" s="26">
        <v>100</v>
      </c>
      <c r="M68" s="26">
        <v>85</v>
      </c>
      <c r="N68" s="26">
        <v>12</v>
      </c>
      <c r="O68" s="28">
        <v>62</v>
      </c>
      <c r="P68" s="26">
        <v>76</v>
      </c>
      <c r="Q68" s="26">
        <v>43</v>
      </c>
      <c r="R68" s="26">
        <v>30</v>
      </c>
      <c r="S68" s="27">
        <v>50</v>
      </c>
      <c r="T68" s="26">
        <f t="shared" si="0"/>
        <v>807</v>
      </c>
      <c r="U68" s="26">
        <f t="shared" si="1"/>
        <v>165</v>
      </c>
      <c r="V68" s="26">
        <f t="shared" si="2"/>
        <v>197</v>
      </c>
      <c r="W68" s="26">
        <v>215</v>
      </c>
      <c r="X68" s="29">
        <f t="shared" si="3"/>
        <v>3.7534883720930234</v>
      </c>
      <c r="Y68" s="30">
        <v>273</v>
      </c>
      <c r="Z68" s="26">
        <v>40</v>
      </c>
      <c r="AA68" s="26">
        <v>40</v>
      </c>
      <c r="AB68" s="26">
        <v>36</v>
      </c>
      <c r="AC68" s="26">
        <v>4</v>
      </c>
      <c r="AD68" s="45">
        <v>388</v>
      </c>
      <c r="AE68" s="26">
        <v>68</v>
      </c>
      <c r="AF68" s="26">
        <v>68</v>
      </c>
      <c r="AG68" s="26">
        <v>65</v>
      </c>
      <c r="AH68" s="26">
        <v>3</v>
      </c>
      <c r="AI68" s="26">
        <v>59</v>
      </c>
      <c r="AJ68" s="26">
        <v>46</v>
      </c>
      <c r="AK68" s="26">
        <v>29</v>
      </c>
      <c r="AL68" s="26">
        <v>30</v>
      </c>
      <c r="AM68" s="26">
        <f t="shared" si="4"/>
        <v>661</v>
      </c>
      <c r="AN68" s="32">
        <f t="shared" si="5"/>
        <v>130</v>
      </c>
      <c r="AO68" s="32">
        <f t="shared" si="6"/>
        <v>154</v>
      </c>
      <c r="AP68" s="32">
        <v>160</v>
      </c>
      <c r="AQ68" s="33">
        <f t="shared" si="7"/>
        <v>4.1312499999999996</v>
      </c>
      <c r="AR68" s="29">
        <f t="shared" si="8"/>
        <v>-18.091697645600991</v>
      </c>
      <c r="AS68" s="26">
        <v>48</v>
      </c>
      <c r="AT68" s="26">
        <v>48</v>
      </c>
      <c r="AU68" s="26">
        <v>41</v>
      </c>
      <c r="AV68" s="26">
        <v>7</v>
      </c>
      <c r="AW68" s="26">
        <v>63</v>
      </c>
      <c r="AX68" s="26">
        <v>63</v>
      </c>
      <c r="AY68" s="26">
        <v>55</v>
      </c>
      <c r="AZ68" s="26">
        <v>8</v>
      </c>
      <c r="BA68" s="26">
        <v>64</v>
      </c>
      <c r="BB68" s="26">
        <v>44</v>
      </c>
      <c r="BC68" s="26">
        <v>33</v>
      </c>
      <c r="BD68" s="26">
        <v>30</v>
      </c>
      <c r="BE68" s="26">
        <v>30</v>
      </c>
      <c r="BF68" s="26">
        <v>2</v>
      </c>
      <c r="BG68" s="26">
        <v>1</v>
      </c>
      <c r="BH68" s="26">
        <v>29</v>
      </c>
      <c r="BI68" s="26">
        <v>0</v>
      </c>
      <c r="BJ68" s="26">
        <v>0</v>
      </c>
      <c r="BK68" s="26"/>
      <c r="BL68" s="27"/>
      <c r="BM68" s="34">
        <v>698</v>
      </c>
      <c r="BN68" s="26">
        <v>160</v>
      </c>
      <c r="BO68" s="35">
        <f t="shared" si="9"/>
        <v>130</v>
      </c>
      <c r="BP68" s="35">
        <f t="shared" si="10"/>
        <v>157</v>
      </c>
      <c r="BQ68" s="36">
        <f t="shared" si="11"/>
        <v>4.3624999999999998</v>
      </c>
      <c r="BR68" s="37">
        <f t="shared" si="12"/>
        <v>5.5975794251134641</v>
      </c>
      <c r="BS68" s="26">
        <v>48</v>
      </c>
      <c r="BT68" s="26">
        <v>48</v>
      </c>
      <c r="BU68" s="26">
        <v>46</v>
      </c>
      <c r="BV68" s="26">
        <v>2</v>
      </c>
      <c r="BW68" s="26">
        <v>58</v>
      </c>
      <c r="BX68" s="26">
        <v>58</v>
      </c>
      <c r="BY68" s="26">
        <v>50</v>
      </c>
      <c r="BZ68" s="26">
        <v>8</v>
      </c>
      <c r="CA68" s="26">
        <v>64</v>
      </c>
      <c r="CB68" s="26">
        <v>29</v>
      </c>
      <c r="CC68" s="26">
        <v>21</v>
      </c>
      <c r="CD68" s="26">
        <v>40</v>
      </c>
      <c r="CE68" s="26">
        <v>40</v>
      </c>
      <c r="CF68" s="26">
        <v>5</v>
      </c>
      <c r="CG68" s="26">
        <v>3</v>
      </c>
      <c r="CH68" s="26">
        <v>37</v>
      </c>
      <c r="CI68" s="26">
        <v>39</v>
      </c>
      <c r="CJ68" s="26">
        <v>4</v>
      </c>
      <c r="CK68" s="26">
        <v>2</v>
      </c>
      <c r="CL68" s="26">
        <v>37</v>
      </c>
      <c r="CM68" s="26">
        <v>2</v>
      </c>
      <c r="CN68" s="26">
        <v>1</v>
      </c>
      <c r="CO68" s="27">
        <v>1</v>
      </c>
      <c r="CP68" s="34">
        <v>640</v>
      </c>
      <c r="CQ68" s="26">
        <f t="shared" si="13"/>
        <v>123</v>
      </c>
      <c r="CR68" s="26">
        <f t="shared" si="14"/>
        <v>146</v>
      </c>
      <c r="CS68" s="26">
        <v>160</v>
      </c>
      <c r="CT68" s="36">
        <f t="shared" si="15"/>
        <v>4</v>
      </c>
      <c r="CU68" s="38">
        <f t="shared" si="16"/>
        <v>-8.3094555873925504</v>
      </c>
      <c r="CV68" s="26">
        <v>48.0</v>
      </c>
      <c r="CW68" s="26">
        <v>45</v>
      </c>
      <c r="CX68" s="26">
        <v>42</v>
      </c>
      <c r="CY68" s="26">
        <v>6</v>
      </c>
      <c r="CZ68" s="26">
        <v>62.0</v>
      </c>
      <c r="DA68" s="26">
        <v>62</v>
      </c>
      <c r="DB68" s="26">
        <v>58</v>
      </c>
      <c r="DC68" s="26">
        <v>4</v>
      </c>
      <c r="DD68" s="26">
        <v>57.0</v>
      </c>
      <c r="DE68" s="26">
        <v>26</v>
      </c>
      <c r="DF68" s="26">
        <v>19</v>
      </c>
      <c r="DG68" s="26">
        <v>41</v>
      </c>
      <c r="DH68" s="26"/>
      <c r="DI68" s="86">
        <v>5</v>
      </c>
      <c r="DJ68" s="26">
        <v>3</v>
      </c>
      <c r="DK68" s="26"/>
      <c r="DL68" s="26">
        <v>51</v>
      </c>
      <c r="DM68" s="26">
        <v>0</v>
      </c>
      <c r="DN68" s="26">
        <v>0</v>
      </c>
      <c r="DO68" s="26"/>
      <c r="DP68" s="40">
        <v>0</v>
      </c>
      <c r="DQ68" s="87">
        <v>0</v>
      </c>
      <c r="DR68" s="27"/>
      <c r="DS68" s="42">
        <v>595</v>
      </c>
      <c r="DT68" s="43">
        <f t="shared" si="17"/>
        <v>122</v>
      </c>
      <c r="DU68" s="43">
        <f t="shared" si="18"/>
        <v>138</v>
      </c>
      <c r="DV68" s="26">
        <v>160.0</v>
      </c>
      <c r="DW68" s="33">
        <v>3.71875</v>
      </c>
      <c r="DX68" s="44">
        <f t="shared" si="20"/>
        <v>-7.03125</v>
      </c>
    </row>
    <row r="69" spans="1:128" ht="15.75" customHeight="1">
      <c r="A69" s="26">
        <v>63</v>
      </c>
      <c r="B69" s="26" t="s">
        <v>489</v>
      </c>
      <c r="C69" s="26" t="s">
        <v>490</v>
      </c>
      <c r="D69" s="27" t="s">
        <v>23</v>
      </c>
      <c r="E69" s="26">
        <v>12</v>
      </c>
      <c r="F69" s="26">
        <v>13</v>
      </c>
      <c r="G69" s="26">
        <v>7</v>
      </c>
      <c r="H69" s="26">
        <v>6</v>
      </c>
      <c r="I69" s="26">
        <v>7</v>
      </c>
      <c r="J69" s="28">
        <v>21</v>
      </c>
      <c r="K69" s="26">
        <v>29</v>
      </c>
      <c r="L69" s="26">
        <v>10</v>
      </c>
      <c r="M69" s="26">
        <v>7</v>
      </c>
      <c r="N69" s="26">
        <v>21</v>
      </c>
      <c r="O69" s="28">
        <v>2</v>
      </c>
      <c r="P69" s="26">
        <v>36</v>
      </c>
      <c r="Q69" s="26">
        <v>2</v>
      </c>
      <c r="R69" s="26">
        <v>1</v>
      </c>
      <c r="S69" s="27">
        <v>36</v>
      </c>
      <c r="T69" s="26">
        <f t="shared" si="0"/>
        <v>35</v>
      </c>
      <c r="U69" s="26">
        <f t="shared" si="1"/>
        <v>14</v>
      </c>
      <c r="V69" s="26">
        <f t="shared" si="2"/>
        <v>19</v>
      </c>
      <c r="W69" s="26">
        <v>50</v>
      </c>
      <c r="X69" s="29">
        <f t="shared" si="3"/>
        <v>0.7</v>
      </c>
      <c r="Y69" s="30">
        <v>28</v>
      </c>
      <c r="Z69" s="26">
        <v>15</v>
      </c>
      <c r="AA69" s="26">
        <v>15</v>
      </c>
      <c r="AB69" s="26">
        <v>10</v>
      </c>
      <c r="AC69" s="26">
        <v>5</v>
      </c>
      <c r="AD69" s="45">
        <v>32</v>
      </c>
      <c r="AE69" s="26">
        <v>29</v>
      </c>
      <c r="AF69" s="26">
        <v>22</v>
      </c>
      <c r="AG69" s="26">
        <v>16</v>
      </c>
      <c r="AH69" s="26">
        <v>13</v>
      </c>
      <c r="AI69" s="26">
        <v>30</v>
      </c>
      <c r="AJ69" s="26">
        <v>1</v>
      </c>
      <c r="AK69" s="26">
        <v>0</v>
      </c>
      <c r="AL69" s="26">
        <v>30</v>
      </c>
      <c r="AM69" s="26">
        <f t="shared" si="4"/>
        <v>60</v>
      </c>
      <c r="AN69" s="32">
        <f t="shared" si="5"/>
        <v>26</v>
      </c>
      <c r="AO69" s="32">
        <f t="shared" si="6"/>
        <v>38</v>
      </c>
      <c r="AP69" s="32">
        <v>60</v>
      </c>
      <c r="AQ69" s="33">
        <f t="shared" si="7"/>
        <v>1</v>
      </c>
      <c r="AR69" s="29">
        <f t="shared" si="8"/>
        <v>71.428571428571431</v>
      </c>
      <c r="AS69" s="26">
        <v>24</v>
      </c>
      <c r="AT69" s="26">
        <v>19</v>
      </c>
      <c r="AU69" s="26">
        <v>12</v>
      </c>
      <c r="AV69" s="26">
        <v>12</v>
      </c>
      <c r="AW69" s="26">
        <v>40</v>
      </c>
      <c r="AX69" s="26">
        <v>17</v>
      </c>
      <c r="AY69" s="26">
        <v>11</v>
      </c>
      <c r="AZ69" s="26">
        <v>29</v>
      </c>
      <c r="BA69" s="26">
        <v>57</v>
      </c>
      <c r="BB69" s="26">
        <v>1</v>
      </c>
      <c r="BC69" s="26">
        <v>1</v>
      </c>
      <c r="BD69" s="26">
        <v>39</v>
      </c>
      <c r="BE69" s="26">
        <v>39</v>
      </c>
      <c r="BF69" s="26">
        <v>0</v>
      </c>
      <c r="BG69" s="26">
        <v>0</v>
      </c>
      <c r="BH69" s="26">
        <v>39</v>
      </c>
      <c r="BI69" s="26">
        <v>0</v>
      </c>
      <c r="BJ69" s="26">
        <v>0</v>
      </c>
      <c r="BK69" s="26"/>
      <c r="BL69" s="27"/>
      <c r="BM69" s="34">
        <v>65</v>
      </c>
      <c r="BN69" s="26">
        <v>80</v>
      </c>
      <c r="BO69" s="35">
        <f t="shared" si="9"/>
        <v>24</v>
      </c>
      <c r="BP69" s="35">
        <f t="shared" si="10"/>
        <v>37</v>
      </c>
      <c r="BQ69" s="36">
        <f t="shared" si="11"/>
        <v>0.8125</v>
      </c>
      <c r="BR69" s="37">
        <f t="shared" si="12"/>
        <v>8.3333333333333321</v>
      </c>
      <c r="BS69" s="26">
        <v>24</v>
      </c>
      <c r="BT69" s="26">
        <v>16</v>
      </c>
      <c r="BU69" s="26">
        <v>10</v>
      </c>
      <c r="BV69" s="26">
        <v>14</v>
      </c>
      <c r="BW69" s="26">
        <v>42</v>
      </c>
      <c r="BX69" s="26">
        <v>8</v>
      </c>
      <c r="BY69" s="26">
        <v>4</v>
      </c>
      <c r="BZ69" s="26">
        <v>38</v>
      </c>
      <c r="CA69" s="26">
        <v>66</v>
      </c>
      <c r="CB69" s="26">
        <v>1</v>
      </c>
      <c r="CC69" s="26">
        <v>0</v>
      </c>
      <c r="CD69" s="26">
        <v>66</v>
      </c>
      <c r="CE69" s="26">
        <v>66</v>
      </c>
      <c r="CF69" s="26"/>
      <c r="CG69" s="26">
        <v>0</v>
      </c>
      <c r="CH69" s="26">
        <v>66</v>
      </c>
      <c r="CI69" s="26">
        <v>66</v>
      </c>
      <c r="CJ69" s="26">
        <v>0</v>
      </c>
      <c r="CK69" s="26">
        <v>0</v>
      </c>
      <c r="CL69" s="26">
        <v>66</v>
      </c>
      <c r="CM69" s="26"/>
      <c r="CN69" s="26"/>
      <c r="CO69" s="27">
        <v>0</v>
      </c>
      <c r="CP69" s="34">
        <v>33</v>
      </c>
      <c r="CQ69" s="26">
        <f t="shared" si="13"/>
        <v>14</v>
      </c>
      <c r="CR69" s="26">
        <f t="shared" si="14"/>
        <v>25</v>
      </c>
      <c r="CS69" s="26">
        <v>80</v>
      </c>
      <c r="CT69" s="36">
        <f t="shared" si="15"/>
        <v>0.41249999999999998</v>
      </c>
      <c r="CU69" s="38">
        <f t="shared" si="16"/>
        <v>-49.230769230769234</v>
      </c>
      <c r="CV69" s="26">
        <v>24.0</v>
      </c>
      <c r="CW69" s="26">
        <v>9</v>
      </c>
      <c r="CX69" s="26">
        <v>8</v>
      </c>
      <c r="CY69" s="26">
        <v>16</v>
      </c>
      <c r="CZ69" s="26">
        <v>44.0</v>
      </c>
      <c r="DA69" s="26">
        <v>9</v>
      </c>
      <c r="DB69" s="26">
        <v>5</v>
      </c>
      <c r="DC69" s="26">
        <v>39</v>
      </c>
      <c r="DD69" s="26">
        <v>67.0</v>
      </c>
      <c r="DE69" s="26">
        <v>2</v>
      </c>
      <c r="DF69" s="26">
        <v>0</v>
      </c>
      <c r="DG69" s="26">
        <v>67</v>
      </c>
      <c r="DH69" s="26"/>
      <c r="DI69" s="86">
        <v>2</v>
      </c>
      <c r="DJ69" s="26">
        <v>0</v>
      </c>
      <c r="DK69" s="26"/>
      <c r="DL69" s="26">
        <v>122</v>
      </c>
      <c r="DM69" s="26">
        <v>0</v>
      </c>
      <c r="DN69" s="26">
        <v>0</v>
      </c>
      <c r="DO69" s="26"/>
      <c r="DP69" s="88">
        <v>0</v>
      </c>
      <c r="DQ69" s="87">
        <v>0</v>
      </c>
      <c r="DR69" s="27"/>
      <c r="DS69" s="42">
        <v>29</v>
      </c>
      <c r="DT69" s="43">
        <f t="shared" si="17"/>
        <v>13</v>
      </c>
      <c r="DU69" s="43">
        <f t="shared" si="18"/>
        <v>22</v>
      </c>
      <c r="DV69" s="26">
        <v>80.0</v>
      </c>
      <c r="DW69" s="33">
        <v>0.3625</v>
      </c>
      <c r="DX69" s="44">
        <f t="shared" si="20"/>
        <v>-12.121212121212121</v>
      </c>
    </row>
    <row r="70" spans="1:128" ht="15.75" customHeight="1">
      <c r="A70" s="26">
        <v>64</v>
      </c>
      <c r="B70" s="26" t="s">
        <v>491</v>
      </c>
      <c r="C70" s="26" t="s">
        <v>492</v>
      </c>
      <c r="D70" s="27" t="s">
        <v>282</v>
      </c>
      <c r="E70" s="26"/>
      <c r="F70" s="26">
        <v>0</v>
      </c>
      <c r="G70" s="26">
        <v>0</v>
      </c>
      <c r="H70" s="26">
        <v>0</v>
      </c>
      <c r="I70" s="26">
        <v>0</v>
      </c>
      <c r="J70" s="28"/>
      <c r="K70" s="26">
        <v>0</v>
      </c>
      <c r="L70" s="26">
        <v>0</v>
      </c>
      <c r="M70" s="26">
        <v>0</v>
      </c>
      <c r="N70" s="26">
        <v>0</v>
      </c>
      <c r="O70" s="28">
        <v>26</v>
      </c>
      <c r="P70" s="26">
        <v>80</v>
      </c>
      <c r="Q70" s="26">
        <v>17</v>
      </c>
      <c r="R70" s="26">
        <v>13</v>
      </c>
      <c r="S70" s="27">
        <v>67</v>
      </c>
      <c r="T70" s="26">
        <f t="shared" si="0"/>
        <v>26</v>
      </c>
      <c r="U70" s="26">
        <f t="shared" si="1"/>
        <v>13</v>
      </c>
      <c r="V70" s="26">
        <f t="shared" si="2"/>
        <v>17</v>
      </c>
      <c r="W70" s="26">
        <v>80</v>
      </c>
      <c r="X70" s="29">
        <f t="shared" si="3"/>
        <v>0.32500000000000001</v>
      </c>
      <c r="Y70" s="30">
        <v>49</v>
      </c>
      <c r="Z70" s="26">
        <v>10</v>
      </c>
      <c r="AA70" s="26">
        <v>6</v>
      </c>
      <c r="AB70" s="26">
        <v>5</v>
      </c>
      <c r="AC70" s="26">
        <v>5</v>
      </c>
      <c r="AD70" s="45">
        <v>90</v>
      </c>
      <c r="AE70" s="26">
        <v>21</v>
      </c>
      <c r="AF70" s="26">
        <v>19</v>
      </c>
      <c r="AG70" s="26">
        <v>11</v>
      </c>
      <c r="AH70" s="26">
        <v>10</v>
      </c>
      <c r="AI70" s="26">
        <v>20</v>
      </c>
      <c r="AJ70" s="26">
        <v>7</v>
      </c>
      <c r="AK70" s="26">
        <v>5</v>
      </c>
      <c r="AL70" s="26">
        <v>15</v>
      </c>
      <c r="AM70" s="26">
        <f t="shared" si="4"/>
        <v>139</v>
      </c>
      <c r="AN70" s="32">
        <f t="shared" si="5"/>
        <v>21</v>
      </c>
      <c r="AO70" s="32">
        <f t="shared" si="6"/>
        <v>32</v>
      </c>
      <c r="AP70" s="32">
        <v>40</v>
      </c>
      <c r="AQ70" s="33">
        <f t="shared" si="7"/>
        <v>3.4750000000000001</v>
      </c>
      <c r="AR70" s="29">
        <f t="shared" si="8"/>
        <v>434.61538461538458</v>
      </c>
      <c r="AS70" s="26">
        <v>24</v>
      </c>
      <c r="AT70" s="26">
        <v>24</v>
      </c>
      <c r="AU70" s="26">
        <v>24</v>
      </c>
      <c r="AV70" s="26">
        <v>0</v>
      </c>
      <c r="AW70" s="26">
        <v>28</v>
      </c>
      <c r="AX70" s="26">
        <v>28</v>
      </c>
      <c r="AY70" s="26">
        <v>23</v>
      </c>
      <c r="AZ70" s="26">
        <v>5</v>
      </c>
      <c r="BA70" s="26">
        <v>33</v>
      </c>
      <c r="BB70" s="26">
        <v>32</v>
      </c>
      <c r="BC70" s="26">
        <v>22</v>
      </c>
      <c r="BD70" s="26">
        <v>6</v>
      </c>
      <c r="BE70" s="26">
        <v>6</v>
      </c>
      <c r="BF70" s="26">
        <v>1</v>
      </c>
      <c r="BG70" s="26">
        <v>1</v>
      </c>
      <c r="BH70" s="26">
        <v>5</v>
      </c>
      <c r="BI70" s="26">
        <v>1</v>
      </c>
      <c r="BJ70" s="26">
        <v>1</v>
      </c>
      <c r="BK70" s="26"/>
      <c r="BL70" s="27"/>
      <c r="BM70" s="34">
        <v>1824</v>
      </c>
      <c r="BN70" s="26">
        <v>80</v>
      </c>
      <c r="BO70" s="35">
        <f t="shared" si="9"/>
        <v>71</v>
      </c>
      <c r="BP70" s="35">
        <f t="shared" si="10"/>
        <v>86</v>
      </c>
      <c r="BQ70" s="36">
        <f t="shared" si="11"/>
        <v>22.8</v>
      </c>
      <c r="BR70" s="37">
        <f t="shared" si="12"/>
        <v>1212.230215827338</v>
      </c>
      <c r="BS70" s="26">
        <v>24</v>
      </c>
      <c r="BT70" s="26">
        <v>24</v>
      </c>
      <c r="BU70" s="26">
        <v>24</v>
      </c>
      <c r="BV70" s="26">
        <v>0</v>
      </c>
      <c r="BW70" s="26">
        <v>28</v>
      </c>
      <c r="BX70" s="26">
        <v>28</v>
      </c>
      <c r="BY70" s="26">
        <v>15</v>
      </c>
      <c r="BZ70" s="26">
        <v>13</v>
      </c>
      <c r="CA70" s="26">
        <v>41</v>
      </c>
      <c r="CB70" s="26">
        <v>32</v>
      </c>
      <c r="CC70" s="26">
        <v>8</v>
      </c>
      <c r="CD70" s="26">
        <v>32</v>
      </c>
      <c r="CE70" s="26">
        <v>32</v>
      </c>
      <c r="CF70" s="26">
        <v>2</v>
      </c>
      <c r="CG70" s="26">
        <v>1</v>
      </c>
      <c r="CH70" s="26">
        <v>31</v>
      </c>
      <c r="CI70" s="26">
        <v>32</v>
      </c>
      <c r="CJ70" s="26">
        <v>3</v>
      </c>
      <c r="CK70" s="26">
        <v>2</v>
      </c>
      <c r="CL70" s="26">
        <v>30</v>
      </c>
      <c r="CM70" s="26"/>
      <c r="CN70" s="26"/>
      <c r="CO70" s="27">
        <v>0</v>
      </c>
      <c r="CP70" s="34">
        <v>1764</v>
      </c>
      <c r="CQ70" s="26">
        <f t="shared" si="13"/>
        <v>50</v>
      </c>
      <c r="CR70" s="26">
        <f t="shared" si="14"/>
        <v>89</v>
      </c>
      <c r="CS70" s="26">
        <v>80</v>
      </c>
      <c r="CT70" s="36">
        <f t="shared" si="15"/>
        <v>22.05</v>
      </c>
      <c r="CU70" s="38">
        <f t="shared" si="16"/>
        <v>-3.2894736842105261</v>
      </c>
      <c r="CV70" s="26">
        <v>24.0</v>
      </c>
      <c r="CW70" s="26">
        <v>21</v>
      </c>
      <c r="CX70" s="26">
        <v>19</v>
      </c>
      <c r="CY70" s="26">
        <v>5</v>
      </c>
      <c r="CZ70" s="26">
        <v>33.0</v>
      </c>
      <c r="DA70" s="26">
        <v>33</v>
      </c>
      <c r="DB70" s="26">
        <v>28</v>
      </c>
      <c r="DC70" s="26">
        <v>5</v>
      </c>
      <c r="DD70" s="26">
        <v>33.0</v>
      </c>
      <c r="DE70" s="26">
        <v>17</v>
      </c>
      <c r="DF70" s="26">
        <v>11</v>
      </c>
      <c r="DG70" s="26">
        <v>22</v>
      </c>
      <c r="DH70" s="26"/>
      <c r="DI70" s="89">
        <v>2</v>
      </c>
      <c r="DJ70" s="26">
        <v>0</v>
      </c>
      <c r="DK70" s="26"/>
      <c r="DL70" s="26">
        <v>32</v>
      </c>
      <c r="DM70" s="26">
        <v>1</v>
      </c>
      <c r="DN70" s="26">
        <v>1</v>
      </c>
      <c r="DO70" s="26"/>
      <c r="DP70" s="88">
        <v>0</v>
      </c>
      <c r="DQ70" s="87">
        <v>0</v>
      </c>
      <c r="DR70" s="27"/>
      <c r="DS70" s="42">
        <v>1794</v>
      </c>
      <c r="DT70" s="43">
        <f t="shared" si="17"/>
        <v>59</v>
      </c>
      <c r="DU70" s="43">
        <f t="shared" si="18"/>
        <v>74</v>
      </c>
      <c r="DV70" s="26">
        <v>80.0</v>
      </c>
      <c r="DW70" s="33">
        <v>22.425</v>
      </c>
      <c r="DX70" s="44">
        <f t="shared" si="20"/>
        <v>1.7006802721088436</v>
      </c>
    </row>
    <row r="71" spans="1:128" ht="15.75" customHeight="1">
      <c r="A71" s="26">
        <v>65</v>
      </c>
      <c r="B71" s="26" t="s">
        <v>493</v>
      </c>
      <c r="C71" s="26" t="s">
        <v>494</v>
      </c>
      <c r="D71" s="27" t="s">
        <v>240</v>
      </c>
      <c r="E71" s="26"/>
      <c r="F71" s="26"/>
      <c r="G71" s="26"/>
      <c r="H71" s="26"/>
      <c r="I71" s="26"/>
      <c r="J71" s="28"/>
      <c r="K71" s="26"/>
      <c r="L71" s="26"/>
      <c r="M71" s="26"/>
      <c r="N71" s="26"/>
      <c r="O71" s="28"/>
      <c r="P71" s="26"/>
      <c r="Q71" s="26"/>
      <c r="R71" s="26"/>
      <c r="S71" s="27"/>
      <c r="T71" s="26">
        <f t="shared" si="0"/>
        <v>0</v>
      </c>
      <c r="U71" s="26">
        <f t="shared" si="1"/>
        <v>0</v>
      </c>
      <c r="V71" s="26">
        <f t="shared" si="2"/>
        <v>0</v>
      </c>
      <c r="W71" s="26"/>
      <c r="X71" s="29" t="e">
        <f t="shared" si="3"/>
        <v>#DIV/0!</v>
      </c>
      <c r="Y71" s="30">
        <v>8</v>
      </c>
      <c r="Z71" s="26">
        <v>20</v>
      </c>
      <c r="AA71" s="26">
        <v>20</v>
      </c>
      <c r="AB71" s="26">
        <v>17</v>
      </c>
      <c r="AC71" s="26">
        <v>3</v>
      </c>
      <c r="AD71" s="45">
        <v>25</v>
      </c>
      <c r="AE71" s="26">
        <v>35</v>
      </c>
      <c r="AF71" s="26">
        <v>35</v>
      </c>
      <c r="AG71" s="26">
        <v>30</v>
      </c>
      <c r="AH71" s="26">
        <v>5</v>
      </c>
      <c r="AI71" s="26">
        <v>33</v>
      </c>
      <c r="AJ71" s="26">
        <v>19</v>
      </c>
      <c r="AK71" s="26">
        <v>15</v>
      </c>
      <c r="AL71" s="26">
        <v>18</v>
      </c>
      <c r="AM71" s="26">
        <f t="shared" si="4"/>
        <v>33</v>
      </c>
      <c r="AN71" s="32">
        <f t="shared" si="5"/>
        <v>62</v>
      </c>
      <c r="AO71" s="32">
        <f t="shared" si="6"/>
        <v>74</v>
      </c>
      <c r="AP71" s="32">
        <v>80</v>
      </c>
      <c r="AQ71" s="33">
        <f t="shared" si="7"/>
        <v>0.41249999999999998</v>
      </c>
      <c r="AR71" s="90"/>
      <c r="AS71" s="26">
        <v>9</v>
      </c>
      <c r="AT71" s="26">
        <v>9</v>
      </c>
      <c r="AU71" s="26">
        <v>6</v>
      </c>
      <c r="AV71" s="26">
        <v>3</v>
      </c>
      <c r="AW71" s="26">
        <v>14</v>
      </c>
      <c r="AX71" s="26">
        <v>14</v>
      </c>
      <c r="AY71" s="26">
        <v>0</v>
      </c>
      <c r="AZ71" s="26">
        <v>14</v>
      </c>
      <c r="BA71" s="26">
        <v>24</v>
      </c>
      <c r="BB71" s="26">
        <v>5</v>
      </c>
      <c r="BC71" s="26">
        <v>2</v>
      </c>
      <c r="BD71" s="26">
        <v>12</v>
      </c>
      <c r="BE71" s="26">
        <v>12</v>
      </c>
      <c r="BF71" s="26">
        <v>0</v>
      </c>
      <c r="BG71" s="26">
        <v>0</v>
      </c>
      <c r="BH71" s="26">
        <v>12</v>
      </c>
      <c r="BI71" s="26">
        <v>0</v>
      </c>
      <c r="BJ71" s="26">
        <v>0</v>
      </c>
      <c r="BK71" s="26"/>
      <c r="BL71" s="27"/>
      <c r="BM71" s="34">
        <v>409</v>
      </c>
      <c r="BN71" s="26">
        <v>30</v>
      </c>
      <c r="BO71" s="35">
        <f t="shared" si="9"/>
        <v>8</v>
      </c>
      <c r="BP71" s="35">
        <f t="shared" si="10"/>
        <v>28</v>
      </c>
      <c r="BQ71" s="36">
        <f t="shared" si="11"/>
        <v>13.633333333333333</v>
      </c>
      <c r="BR71" s="37">
        <f t="shared" si="12"/>
        <v>1139.3939393939395</v>
      </c>
      <c r="BS71" s="26">
        <v>9</v>
      </c>
      <c r="BT71" s="26">
        <v>9</v>
      </c>
      <c r="BU71" s="26">
        <v>5</v>
      </c>
      <c r="BV71" s="26">
        <v>4</v>
      </c>
      <c r="BW71" s="26">
        <v>15</v>
      </c>
      <c r="BX71" s="26">
        <v>15</v>
      </c>
      <c r="BY71" s="26">
        <v>3</v>
      </c>
      <c r="BZ71" s="26">
        <v>12</v>
      </c>
      <c r="CA71" s="26">
        <v>22</v>
      </c>
      <c r="CB71" s="26">
        <v>5</v>
      </c>
      <c r="CC71" s="26">
        <v>5</v>
      </c>
      <c r="CD71" s="26">
        <v>17</v>
      </c>
      <c r="CE71" s="26">
        <v>17</v>
      </c>
      <c r="CF71" s="26"/>
      <c r="CG71" s="26">
        <v>0</v>
      </c>
      <c r="CH71" s="26">
        <v>17</v>
      </c>
      <c r="CI71" s="26">
        <v>17</v>
      </c>
      <c r="CJ71" s="26">
        <v>0</v>
      </c>
      <c r="CK71" s="26">
        <v>0</v>
      </c>
      <c r="CL71" s="26">
        <v>17</v>
      </c>
      <c r="CM71" s="26"/>
      <c r="CN71" s="26"/>
      <c r="CO71" s="27">
        <v>0</v>
      </c>
      <c r="CP71" s="34">
        <v>473</v>
      </c>
      <c r="CQ71" s="26">
        <f t="shared" si="13"/>
        <v>13</v>
      </c>
      <c r="CR71" s="26">
        <f t="shared" si="14"/>
        <v>29</v>
      </c>
      <c r="CS71" s="26">
        <v>30</v>
      </c>
      <c r="CT71" s="36">
        <f t="shared" si="15"/>
        <v>15.766666666666667</v>
      </c>
      <c r="CU71" s="38">
        <f t="shared" si="16"/>
        <v>15.647921760391197</v>
      </c>
      <c r="CV71" s="26">
        <v>9.0</v>
      </c>
      <c r="CW71" s="26">
        <v>9</v>
      </c>
      <c r="CX71" s="26">
        <v>7</v>
      </c>
      <c r="CY71" s="26">
        <v>2</v>
      </c>
      <c r="CZ71" s="26">
        <v>13.0</v>
      </c>
      <c r="DA71" s="26">
        <v>12</v>
      </c>
      <c r="DB71" s="26">
        <v>5</v>
      </c>
      <c r="DC71" s="26">
        <v>8</v>
      </c>
      <c r="DD71" s="26">
        <v>18.0</v>
      </c>
      <c r="DE71" s="26">
        <v>5</v>
      </c>
      <c r="DF71" s="26">
        <v>3</v>
      </c>
      <c r="DG71" s="26">
        <v>15</v>
      </c>
      <c r="DH71" s="26"/>
      <c r="DI71" s="89">
        <v>0</v>
      </c>
      <c r="DJ71" s="26">
        <v>0</v>
      </c>
      <c r="DK71" s="26"/>
      <c r="DL71" s="26">
        <v>25</v>
      </c>
      <c r="DM71" s="26">
        <v>0</v>
      </c>
      <c r="DN71" s="26">
        <v>0</v>
      </c>
      <c r="DO71" s="26"/>
      <c r="DP71" s="88">
        <v>0</v>
      </c>
      <c r="DQ71" s="87">
        <v>0</v>
      </c>
      <c r="DR71" s="27"/>
      <c r="DS71" s="42">
        <v>572</v>
      </c>
      <c r="DT71" s="43">
        <f t="shared" si="17"/>
        <v>15</v>
      </c>
      <c r="DU71" s="43">
        <f t="shared" si="18"/>
        <v>26</v>
      </c>
      <c r="DV71" s="26">
        <v>30.0</v>
      </c>
      <c r="DW71" s="33">
        <v>19.06666667</v>
      </c>
      <c r="DX71" s="44">
        <f t="shared" si="20"/>
        <v>20.930232558139537</v>
      </c>
    </row>
    <row r="72" spans="1:128" ht="15.75" customHeight="1">
      <c r="A72" s="26">
        <v>66</v>
      </c>
      <c r="B72" s="26" t="s">
        <v>495</v>
      </c>
      <c r="C72" s="26" t="s">
        <v>496</v>
      </c>
      <c r="D72" s="27" t="s">
        <v>240</v>
      </c>
      <c r="E72" s="26"/>
      <c r="F72" s="26"/>
      <c r="G72" s="26"/>
      <c r="H72" s="26"/>
      <c r="I72" s="26"/>
      <c r="J72" s="28"/>
      <c r="K72" s="26"/>
      <c r="L72" s="26"/>
      <c r="M72" s="26"/>
      <c r="N72" s="26"/>
      <c r="O72" s="28"/>
      <c r="P72" s="26"/>
      <c r="Q72" s="26"/>
      <c r="R72" s="26"/>
      <c r="S72" s="27"/>
      <c r="T72" s="26">
        <f t="shared" si="0"/>
        <v>0</v>
      </c>
      <c r="U72" s="26">
        <f t="shared" si="1"/>
        <v>0</v>
      </c>
      <c r="V72" s="26">
        <f t="shared" si="2"/>
        <v>0</v>
      </c>
      <c r="W72" s="26"/>
      <c r="X72" s="29" t="e">
        <f t="shared" si="3"/>
        <v>#DIV/0!</v>
      </c>
      <c r="Y72" s="30">
        <v>13</v>
      </c>
      <c r="Z72" s="26">
        <v>25</v>
      </c>
      <c r="AA72" s="26">
        <v>11</v>
      </c>
      <c r="AB72" s="26">
        <v>5</v>
      </c>
      <c r="AC72" s="26">
        <v>20</v>
      </c>
      <c r="AD72" s="45">
        <v>20</v>
      </c>
      <c r="AE72" s="26">
        <v>60</v>
      </c>
      <c r="AF72" s="26">
        <v>14</v>
      </c>
      <c r="AG72" s="26">
        <v>10</v>
      </c>
      <c r="AH72" s="26">
        <v>50</v>
      </c>
      <c r="AI72" s="26">
        <v>50</v>
      </c>
      <c r="AJ72" s="26">
        <v>3</v>
      </c>
      <c r="AK72" s="26">
        <v>3</v>
      </c>
      <c r="AL72" s="26">
        <v>47</v>
      </c>
      <c r="AM72" s="26">
        <f t="shared" si="4"/>
        <v>33</v>
      </c>
      <c r="AN72" s="32">
        <f t="shared" si="5"/>
        <v>18</v>
      </c>
      <c r="AO72" s="32">
        <f t="shared" si="6"/>
        <v>28</v>
      </c>
      <c r="AP72" s="32">
        <v>100</v>
      </c>
      <c r="AQ72" s="33">
        <f t="shared" si="7"/>
        <v>0.33</v>
      </c>
      <c r="AR72" s="90"/>
      <c r="AS72" s="26">
        <v>24</v>
      </c>
      <c r="AT72" s="26">
        <v>15</v>
      </c>
      <c r="AU72" s="26">
        <v>12</v>
      </c>
      <c r="AV72" s="26">
        <v>12</v>
      </c>
      <c r="AW72" s="26">
        <v>40</v>
      </c>
      <c r="AX72" s="26">
        <v>40</v>
      </c>
      <c r="AY72" s="26">
        <v>14</v>
      </c>
      <c r="AZ72" s="26">
        <v>26</v>
      </c>
      <c r="BA72" s="26">
        <v>54</v>
      </c>
      <c r="BB72" s="26">
        <v>2</v>
      </c>
      <c r="BC72" s="26">
        <v>0</v>
      </c>
      <c r="BD72" s="26">
        <v>40</v>
      </c>
      <c r="BE72" s="26">
        <v>40</v>
      </c>
      <c r="BF72" s="26">
        <v>0</v>
      </c>
      <c r="BG72" s="26">
        <v>0</v>
      </c>
      <c r="BH72" s="26">
        <v>40</v>
      </c>
      <c r="BI72" s="26">
        <v>0</v>
      </c>
      <c r="BJ72" s="26">
        <v>0</v>
      </c>
      <c r="BK72" s="26"/>
      <c r="BL72" s="27"/>
      <c r="BM72" s="34">
        <v>631</v>
      </c>
      <c r="BN72" s="26">
        <v>80</v>
      </c>
      <c r="BO72" s="35">
        <f t="shared" si="9"/>
        <v>26</v>
      </c>
      <c r="BP72" s="35">
        <f t="shared" si="10"/>
        <v>57</v>
      </c>
      <c r="BQ72" s="36">
        <f t="shared" si="11"/>
        <v>7.8875000000000002</v>
      </c>
      <c r="BR72" s="37">
        <f t="shared" si="12"/>
        <v>1812.121212121212</v>
      </c>
      <c r="BS72" s="26">
        <v>30</v>
      </c>
      <c r="BT72" s="26">
        <v>7</v>
      </c>
      <c r="BU72" s="26">
        <v>3</v>
      </c>
      <c r="BV72" s="26">
        <v>27</v>
      </c>
      <c r="BW72" s="26">
        <v>62</v>
      </c>
      <c r="BX72" s="26">
        <v>62</v>
      </c>
      <c r="BY72" s="26">
        <v>27</v>
      </c>
      <c r="BZ72" s="26">
        <v>35</v>
      </c>
      <c r="CA72" s="26">
        <v>70</v>
      </c>
      <c r="CB72" s="26">
        <v>2</v>
      </c>
      <c r="CC72" s="26">
        <v>2</v>
      </c>
      <c r="CD72" s="26">
        <v>68</v>
      </c>
      <c r="CE72" s="26">
        <v>68</v>
      </c>
      <c r="CF72" s="26"/>
      <c r="CG72" s="26">
        <v>0</v>
      </c>
      <c r="CH72" s="26">
        <v>68</v>
      </c>
      <c r="CI72" s="26">
        <v>68</v>
      </c>
      <c r="CJ72" s="26">
        <v>0</v>
      </c>
      <c r="CK72" s="26">
        <v>0</v>
      </c>
      <c r="CL72" s="26">
        <v>68</v>
      </c>
      <c r="CM72" s="26"/>
      <c r="CN72" s="26"/>
      <c r="CO72" s="27">
        <v>0</v>
      </c>
      <c r="CP72" s="34">
        <v>842</v>
      </c>
      <c r="CQ72" s="26">
        <f t="shared" si="13"/>
        <v>32</v>
      </c>
      <c r="CR72" s="26">
        <f t="shared" si="14"/>
        <v>71</v>
      </c>
      <c r="CS72" s="26">
        <v>100</v>
      </c>
      <c r="CT72" s="36">
        <f t="shared" si="15"/>
        <v>8.42</v>
      </c>
      <c r="CU72" s="38">
        <f t="shared" si="16"/>
        <v>33.438985736925517</v>
      </c>
      <c r="CV72" s="26">
        <v>30.0</v>
      </c>
      <c r="CW72" s="26">
        <v>10</v>
      </c>
      <c r="CX72" s="26">
        <v>8</v>
      </c>
      <c r="CY72" s="26">
        <v>22</v>
      </c>
      <c r="CZ72" s="26">
        <v>57.0</v>
      </c>
      <c r="DA72" s="26">
        <v>57</v>
      </c>
      <c r="DB72" s="26">
        <v>17</v>
      </c>
      <c r="DC72" s="26">
        <v>40</v>
      </c>
      <c r="DD72" s="26">
        <v>75.0</v>
      </c>
      <c r="DE72" s="26">
        <v>4</v>
      </c>
      <c r="DF72" s="26">
        <v>2</v>
      </c>
      <c r="DG72" s="26">
        <v>73</v>
      </c>
      <c r="DH72" s="26"/>
      <c r="DI72" s="89">
        <v>0</v>
      </c>
      <c r="DJ72" s="26">
        <v>0</v>
      </c>
      <c r="DK72" s="26"/>
      <c r="DL72" s="26">
        <v>135</v>
      </c>
      <c r="DM72" s="26">
        <v>0</v>
      </c>
      <c r="DN72" s="26">
        <v>0</v>
      </c>
      <c r="DO72" s="26"/>
      <c r="DP72" s="88">
        <v>0</v>
      </c>
      <c r="DQ72" s="87">
        <v>0</v>
      </c>
      <c r="DR72" s="27"/>
      <c r="DS72" s="42">
        <v>801</v>
      </c>
      <c r="DT72" s="43">
        <f t="shared" si="17"/>
        <v>27</v>
      </c>
      <c r="DU72" s="43">
        <f t="shared" si="18"/>
        <v>71</v>
      </c>
      <c r="DV72" s="26">
        <v>100.0</v>
      </c>
      <c r="DW72" s="33">
        <v>8.01</v>
      </c>
      <c r="DX72" s="44">
        <f t="shared" si="20"/>
        <v>-4.8693586698337299</v>
      </c>
    </row>
    <row r="73" spans="1:128" ht="15.75" customHeight="1">
      <c r="A73" s="26">
        <v>67</v>
      </c>
      <c r="B73" s="26" t="s">
        <v>497</v>
      </c>
      <c r="C73" s="26" t="s">
        <v>498</v>
      </c>
      <c r="D73" s="27" t="s">
        <v>240</v>
      </c>
      <c r="E73" s="26"/>
      <c r="F73" s="26"/>
      <c r="G73" s="26"/>
      <c r="H73" s="26"/>
      <c r="I73" s="26"/>
      <c r="J73" s="28"/>
      <c r="K73" s="26"/>
      <c r="L73" s="26"/>
      <c r="M73" s="26"/>
      <c r="N73" s="26"/>
      <c r="O73" s="28"/>
      <c r="P73" s="26"/>
      <c r="Q73" s="26"/>
      <c r="R73" s="26"/>
      <c r="S73" s="27"/>
      <c r="T73" s="26">
        <f t="shared" si="0"/>
        <v>0</v>
      </c>
      <c r="U73" s="26">
        <f t="shared" si="1"/>
        <v>0</v>
      </c>
      <c r="V73" s="26">
        <f t="shared" si="2"/>
        <v>0</v>
      </c>
      <c r="W73" s="26"/>
      <c r="X73" s="29" t="e">
        <f t="shared" si="3"/>
        <v>#DIV/0!</v>
      </c>
      <c r="Y73" s="30">
        <v>9</v>
      </c>
      <c r="Z73" s="26">
        <v>8</v>
      </c>
      <c r="AA73" s="26">
        <v>3</v>
      </c>
      <c r="AB73" s="26">
        <v>0</v>
      </c>
      <c r="AC73" s="26">
        <v>8</v>
      </c>
      <c r="AD73" s="45">
        <v>9</v>
      </c>
      <c r="AE73" s="26">
        <v>20</v>
      </c>
      <c r="AF73" s="26">
        <v>9</v>
      </c>
      <c r="AG73" s="26">
        <v>7</v>
      </c>
      <c r="AH73" s="26">
        <v>13</v>
      </c>
      <c r="AI73" s="26">
        <v>15</v>
      </c>
      <c r="AJ73" s="26">
        <v>3</v>
      </c>
      <c r="AK73" s="26">
        <v>3</v>
      </c>
      <c r="AL73" s="26">
        <v>12</v>
      </c>
      <c r="AM73" s="26">
        <f t="shared" si="4"/>
        <v>18</v>
      </c>
      <c r="AN73" s="32">
        <f t="shared" si="5"/>
        <v>10</v>
      </c>
      <c r="AO73" s="32">
        <f t="shared" si="6"/>
        <v>15</v>
      </c>
      <c r="AP73" s="32">
        <v>30</v>
      </c>
      <c r="AQ73" s="33">
        <f t="shared" si="7"/>
        <v>0.6</v>
      </c>
      <c r="AR73" s="90"/>
      <c r="AS73" s="26">
        <v>12</v>
      </c>
      <c r="AT73" s="26">
        <v>7</v>
      </c>
      <c r="AU73" s="26">
        <v>5</v>
      </c>
      <c r="AV73" s="26">
        <v>7</v>
      </c>
      <c r="AW73" s="26">
        <v>21</v>
      </c>
      <c r="AX73" s="26">
        <v>21</v>
      </c>
      <c r="AY73" s="26">
        <v>14</v>
      </c>
      <c r="AZ73" s="26">
        <v>7</v>
      </c>
      <c r="BA73" s="26">
        <v>21</v>
      </c>
      <c r="BB73" s="26">
        <v>4</v>
      </c>
      <c r="BC73" s="26">
        <v>3</v>
      </c>
      <c r="BD73" s="26">
        <v>18</v>
      </c>
      <c r="BE73" s="26">
        <v>18</v>
      </c>
      <c r="BF73" s="26">
        <v>0</v>
      </c>
      <c r="BG73" s="26">
        <v>0</v>
      </c>
      <c r="BH73" s="26">
        <v>18</v>
      </c>
      <c r="BI73" s="26">
        <v>0</v>
      </c>
      <c r="BJ73" s="26">
        <v>0</v>
      </c>
      <c r="BK73" s="26"/>
      <c r="BL73" s="27"/>
      <c r="BM73" s="34">
        <v>216</v>
      </c>
      <c r="BN73" s="26">
        <v>40</v>
      </c>
      <c r="BO73" s="35">
        <f t="shared" si="9"/>
        <v>22</v>
      </c>
      <c r="BP73" s="35">
        <f t="shared" si="10"/>
        <v>32</v>
      </c>
      <c r="BQ73" s="36">
        <f t="shared" si="11"/>
        <v>5.4</v>
      </c>
      <c r="BR73" s="37">
        <f t="shared" si="12"/>
        <v>1100</v>
      </c>
      <c r="BS73" s="26">
        <v>12</v>
      </c>
      <c r="BT73" s="26">
        <v>12</v>
      </c>
      <c r="BU73" s="26">
        <v>6</v>
      </c>
      <c r="BV73" s="26">
        <v>6</v>
      </c>
      <c r="BW73" s="26">
        <v>20</v>
      </c>
      <c r="BX73" s="26">
        <v>20</v>
      </c>
      <c r="BY73" s="26">
        <v>11</v>
      </c>
      <c r="BZ73" s="26">
        <v>9</v>
      </c>
      <c r="CA73" s="26">
        <v>23</v>
      </c>
      <c r="CB73" s="26">
        <v>4</v>
      </c>
      <c r="CC73" s="26">
        <v>3</v>
      </c>
      <c r="CD73" s="26">
        <v>20</v>
      </c>
      <c r="CE73" s="26">
        <v>20</v>
      </c>
      <c r="CF73" s="26"/>
      <c r="CG73" s="26">
        <v>0</v>
      </c>
      <c r="CH73" s="26">
        <v>20</v>
      </c>
      <c r="CI73" s="26">
        <v>20</v>
      </c>
      <c r="CJ73" s="26">
        <v>0</v>
      </c>
      <c r="CK73" s="26">
        <v>0</v>
      </c>
      <c r="CL73" s="26">
        <v>20</v>
      </c>
      <c r="CM73" s="26"/>
      <c r="CN73" s="26"/>
      <c r="CO73" s="27">
        <v>0</v>
      </c>
      <c r="CP73" s="34">
        <v>331</v>
      </c>
      <c r="CQ73" s="26">
        <f t="shared" si="13"/>
        <v>20</v>
      </c>
      <c r="CR73" s="26">
        <f t="shared" si="14"/>
        <v>36</v>
      </c>
      <c r="CS73" s="26">
        <v>40</v>
      </c>
      <c r="CT73" s="36">
        <f t="shared" si="15"/>
        <v>8.2750000000000004</v>
      </c>
      <c r="CU73" s="38">
        <f t="shared" si="16"/>
        <v>53.240740740740748</v>
      </c>
      <c r="CV73" s="26">
        <v>12.0</v>
      </c>
      <c r="CW73" s="26">
        <v>4</v>
      </c>
      <c r="CX73" s="26">
        <v>2</v>
      </c>
      <c r="CY73" s="26">
        <v>10</v>
      </c>
      <c r="CZ73" s="26">
        <v>24.0</v>
      </c>
      <c r="DA73" s="26">
        <v>23</v>
      </c>
      <c r="DB73" s="26">
        <v>13</v>
      </c>
      <c r="DC73" s="26">
        <v>11</v>
      </c>
      <c r="DD73" s="26">
        <v>25.0</v>
      </c>
      <c r="DE73" s="26">
        <v>8</v>
      </c>
      <c r="DF73" s="26">
        <v>7</v>
      </c>
      <c r="DG73" s="26">
        <v>18</v>
      </c>
      <c r="DH73" s="26"/>
      <c r="DI73" s="89">
        <v>0</v>
      </c>
      <c r="DJ73" s="26">
        <v>0</v>
      </c>
      <c r="DK73" s="26"/>
      <c r="DL73" s="26">
        <v>39</v>
      </c>
      <c r="DM73" s="26">
        <v>0</v>
      </c>
      <c r="DN73" s="26">
        <v>0</v>
      </c>
      <c r="DO73" s="26"/>
      <c r="DP73" s="88">
        <v>0</v>
      </c>
      <c r="DQ73" s="87">
        <v>0</v>
      </c>
      <c r="DR73" s="27"/>
      <c r="DS73" s="42">
        <v>281</v>
      </c>
      <c r="DT73" s="43">
        <f t="shared" si="17"/>
        <v>22</v>
      </c>
      <c r="DU73" s="43">
        <f t="shared" si="18"/>
        <v>35</v>
      </c>
      <c r="DV73" s="26">
        <v>40.0</v>
      </c>
      <c r="DW73" s="33">
        <v>7.025</v>
      </c>
      <c r="DX73" s="44">
        <f t="shared" si="20"/>
        <v>-15.105740181268882</v>
      </c>
    </row>
    <row r="74" spans="1:128" ht="15.75" customHeight="1">
      <c r="A74" s="26">
        <v>68</v>
      </c>
      <c r="B74" s="26" t="s">
        <v>499</v>
      </c>
      <c r="C74" s="26" t="s">
        <v>500</v>
      </c>
      <c r="D74" s="27" t="s">
        <v>240</v>
      </c>
      <c r="E74" s="26"/>
      <c r="F74" s="26"/>
      <c r="G74" s="26"/>
      <c r="H74" s="26"/>
      <c r="I74" s="26"/>
      <c r="J74" s="28"/>
      <c r="K74" s="26"/>
      <c r="L74" s="26"/>
      <c r="M74" s="26"/>
      <c r="N74" s="26"/>
      <c r="O74" s="28"/>
      <c r="P74" s="26"/>
      <c r="Q74" s="26"/>
      <c r="R74" s="26"/>
      <c r="S74" s="27"/>
      <c r="T74" s="26">
        <f t="shared" si="0"/>
        <v>0</v>
      </c>
      <c r="U74" s="26">
        <f t="shared" si="1"/>
        <v>0</v>
      </c>
      <c r="V74" s="26">
        <f t="shared" si="2"/>
        <v>0</v>
      </c>
      <c r="W74" s="26"/>
      <c r="X74" s="29" t="e">
        <f t="shared" si="3"/>
        <v>#DIV/0!</v>
      </c>
      <c r="Y74" s="30">
        <v>8</v>
      </c>
      <c r="Z74" s="26">
        <v>10</v>
      </c>
      <c r="AA74" s="26">
        <v>6</v>
      </c>
      <c r="AB74" s="26">
        <v>3</v>
      </c>
      <c r="AC74" s="26">
        <v>7</v>
      </c>
      <c r="AD74" s="45">
        <v>11</v>
      </c>
      <c r="AE74" s="26">
        <v>23</v>
      </c>
      <c r="AF74" s="26">
        <v>9</v>
      </c>
      <c r="AG74" s="26">
        <v>5</v>
      </c>
      <c r="AH74" s="26">
        <v>18</v>
      </c>
      <c r="AI74" s="26">
        <v>20</v>
      </c>
      <c r="AJ74" s="26">
        <v>1</v>
      </c>
      <c r="AK74" s="26">
        <v>1</v>
      </c>
      <c r="AL74" s="26">
        <v>19</v>
      </c>
      <c r="AM74" s="26">
        <f t="shared" si="4"/>
        <v>19</v>
      </c>
      <c r="AN74" s="32">
        <f t="shared" si="5"/>
        <v>9</v>
      </c>
      <c r="AO74" s="32">
        <f t="shared" si="6"/>
        <v>16</v>
      </c>
      <c r="AP74" s="32">
        <v>40</v>
      </c>
      <c r="AQ74" s="33">
        <f t="shared" si="7"/>
        <v>0.47499999999999998</v>
      </c>
      <c r="AR74" s="90"/>
      <c r="AS74" s="26">
        <v>12</v>
      </c>
      <c r="AT74" s="26">
        <v>2</v>
      </c>
      <c r="AU74" s="26">
        <v>0</v>
      </c>
      <c r="AV74" s="26">
        <v>12</v>
      </c>
      <c r="AW74" s="26">
        <v>26</v>
      </c>
      <c r="AX74" s="26">
        <v>26</v>
      </c>
      <c r="AY74" s="26">
        <v>9</v>
      </c>
      <c r="AZ74" s="26">
        <v>17</v>
      </c>
      <c r="BA74" s="26">
        <v>31</v>
      </c>
      <c r="BB74" s="26">
        <v>1</v>
      </c>
      <c r="BC74" s="26">
        <v>1</v>
      </c>
      <c r="BD74" s="26">
        <v>25</v>
      </c>
      <c r="BE74" s="26">
        <v>25</v>
      </c>
      <c r="BF74" s="26">
        <v>0</v>
      </c>
      <c r="BG74" s="26">
        <v>0</v>
      </c>
      <c r="BH74" s="26">
        <v>25</v>
      </c>
      <c r="BI74" s="26">
        <v>0</v>
      </c>
      <c r="BJ74" s="26">
        <v>0</v>
      </c>
      <c r="BK74" s="26"/>
      <c r="BL74" s="27"/>
      <c r="BM74" s="34">
        <v>301</v>
      </c>
      <c r="BN74" s="26">
        <v>40</v>
      </c>
      <c r="BO74" s="35">
        <f t="shared" si="9"/>
        <v>10</v>
      </c>
      <c r="BP74" s="35">
        <f t="shared" si="10"/>
        <v>29</v>
      </c>
      <c r="BQ74" s="36">
        <f t="shared" si="11"/>
        <v>7.5250000000000004</v>
      </c>
      <c r="BR74" s="37">
        <f t="shared" si="12"/>
        <v>1484.2105263157896</v>
      </c>
      <c r="BS74" s="26">
        <v>18</v>
      </c>
      <c r="BT74" s="26">
        <v>4</v>
      </c>
      <c r="BU74" s="26">
        <v>2</v>
      </c>
      <c r="BV74" s="26">
        <v>16</v>
      </c>
      <c r="BW74" s="26">
        <v>37</v>
      </c>
      <c r="BX74" s="26">
        <v>37</v>
      </c>
      <c r="BY74" s="26">
        <v>19</v>
      </c>
      <c r="BZ74" s="26">
        <v>18</v>
      </c>
      <c r="CA74" s="26">
        <v>39</v>
      </c>
      <c r="CB74" s="26">
        <v>1</v>
      </c>
      <c r="CC74" s="26">
        <v>1</v>
      </c>
      <c r="CD74" s="26">
        <v>38</v>
      </c>
      <c r="CE74" s="26">
        <v>38</v>
      </c>
      <c r="CF74" s="26"/>
      <c r="CG74" s="26">
        <v>0</v>
      </c>
      <c r="CH74" s="26">
        <v>38</v>
      </c>
      <c r="CI74" s="26">
        <v>38</v>
      </c>
      <c r="CJ74" s="26">
        <v>0</v>
      </c>
      <c r="CK74" s="26">
        <v>0</v>
      </c>
      <c r="CL74" s="26">
        <v>38</v>
      </c>
      <c r="CM74" s="26"/>
      <c r="CN74" s="26"/>
      <c r="CO74" s="27">
        <v>0</v>
      </c>
      <c r="CP74" s="34">
        <v>422</v>
      </c>
      <c r="CQ74" s="26">
        <f t="shared" si="13"/>
        <v>22</v>
      </c>
      <c r="CR74" s="26">
        <f t="shared" si="14"/>
        <v>42</v>
      </c>
      <c r="CS74" s="26">
        <v>60</v>
      </c>
      <c r="CT74" s="36">
        <f t="shared" si="15"/>
        <v>7.0333333333333332</v>
      </c>
      <c r="CU74" s="38">
        <f t="shared" si="16"/>
        <v>40.199335548172762</v>
      </c>
      <c r="CV74" s="26">
        <v>18.0</v>
      </c>
      <c r="CW74" s="26">
        <v>6</v>
      </c>
      <c r="CX74" s="26">
        <v>6</v>
      </c>
      <c r="CY74" s="26">
        <v>12</v>
      </c>
      <c r="CZ74" s="26">
        <v>33.0</v>
      </c>
      <c r="DA74" s="26">
        <v>33</v>
      </c>
      <c r="DB74" s="26">
        <v>14</v>
      </c>
      <c r="DC74" s="26">
        <v>19</v>
      </c>
      <c r="DD74" s="26">
        <v>40.0</v>
      </c>
      <c r="DE74" s="26">
        <v>3</v>
      </c>
      <c r="DF74" s="26">
        <v>3</v>
      </c>
      <c r="DG74" s="26">
        <v>37</v>
      </c>
      <c r="DH74" s="26"/>
      <c r="DI74" s="89">
        <v>0</v>
      </c>
      <c r="DJ74" s="26">
        <v>0</v>
      </c>
      <c r="DK74" s="26"/>
      <c r="DL74" s="26">
        <v>68</v>
      </c>
      <c r="DM74" s="26">
        <v>0</v>
      </c>
      <c r="DN74" s="26">
        <v>0</v>
      </c>
      <c r="DO74" s="26"/>
      <c r="DP74" s="88">
        <v>0</v>
      </c>
      <c r="DQ74" s="87">
        <v>0</v>
      </c>
      <c r="DR74" s="27"/>
      <c r="DS74" s="42">
        <v>454</v>
      </c>
      <c r="DT74" s="43">
        <f t="shared" si="17"/>
        <v>23</v>
      </c>
      <c r="DU74" s="43">
        <f t="shared" si="18"/>
        <v>42</v>
      </c>
      <c r="DV74" s="26">
        <v>60.0</v>
      </c>
      <c r="DW74" s="33">
        <v>7.566666667</v>
      </c>
      <c r="DX74" s="44">
        <f t="shared" si="20"/>
        <v>7.5829383886255926</v>
      </c>
    </row>
    <row r="75" spans="1:128" ht="15.75" customHeight="1">
      <c r="A75" s="26">
        <v>69</v>
      </c>
      <c r="B75" s="26" t="s">
        <v>501</v>
      </c>
      <c r="C75" s="26" t="s">
        <v>275</v>
      </c>
      <c r="D75" s="27" t="s">
        <v>240</v>
      </c>
      <c r="E75" s="26"/>
      <c r="F75" s="26"/>
      <c r="G75" s="26"/>
      <c r="H75" s="26"/>
      <c r="I75" s="26"/>
      <c r="J75" s="28"/>
      <c r="K75" s="26"/>
      <c r="L75" s="26"/>
      <c r="M75" s="26"/>
      <c r="N75" s="26"/>
      <c r="O75" s="28"/>
      <c r="P75" s="26"/>
      <c r="Q75" s="26"/>
      <c r="R75" s="26"/>
      <c r="S75" s="27"/>
      <c r="T75" s="26">
        <f t="shared" si="0"/>
        <v>0</v>
      </c>
      <c r="U75" s="26">
        <f t="shared" si="1"/>
        <v>0</v>
      </c>
      <c r="V75" s="26">
        <f t="shared" si="2"/>
        <v>0</v>
      </c>
      <c r="W75" s="26"/>
      <c r="X75" s="29" t="e">
        <f t="shared" si="3"/>
        <v>#DIV/0!</v>
      </c>
      <c r="Y75" s="30">
        <v>11</v>
      </c>
      <c r="Z75" s="26">
        <v>8</v>
      </c>
      <c r="AA75" s="26">
        <v>3</v>
      </c>
      <c r="AB75" s="26">
        <v>1</v>
      </c>
      <c r="AC75" s="26">
        <v>7</v>
      </c>
      <c r="AD75" s="91">
        <v>23</v>
      </c>
      <c r="AE75" s="26">
        <v>19</v>
      </c>
      <c r="AF75" s="26">
        <v>16</v>
      </c>
      <c r="AG75" s="26">
        <v>10</v>
      </c>
      <c r="AH75" s="26">
        <v>9</v>
      </c>
      <c r="AI75" s="26">
        <v>15</v>
      </c>
      <c r="AJ75" s="26">
        <v>2</v>
      </c>
      <c r="AK75" s="26">
        <v>1</v>
      </c>
      <c r="AL75" s="26">
        <v>14</v>
      </c>
      <c r="AM75" s="26">
        <f t="shared" si="4"/>
        <v>34</v>
      </c>
      <c r="AN75" s="32">
        <f t="shared" si="5"/>
        <v>12</v>
      </c>
      <c r="AO75" s="32">
        <f t="shared" si="6"/>
        <v>21</v>
      </c>
      <c r="AP75" s="32">
        <v>30</v>
      </c>
      <c r="AQ75" s="33">
        <f t="shared" si="7"/>
        <v>1.1333333333333333</v>
      </c>
      <c r="AR75" s="90"/>
      <c r="AS75" s="26">
        <v>12</v>
      </c>
      <c r="AT75" s="26">
        <v>12</v>
      </c>
      <c r="AU75" s="26">
        <v>7</v>
      </c>
      <c r="AV75" s="26">
        <v>5</v>
      </c>
      <c r="AW75" s="26">
        <v>19</v>
      </c>
      <c r="AX75" s="26">
        <v>19</v>
      </c>
      <c r="AY75" s="26">
        <v>10</v>
      </c>
      <c r="AZ75" s="26">
        <v>9</v>
      </c>
      <c r="BA75" s="26">
        <v>23</v>
      </c>
      <c r="BB75" s="26">
        <v>2</v>
      </c>
      <c r="BC75" s="26">
        <v>1</v>
      </c>
      <c r="BD75" s="26">
        <v>18</v>
      </c>
      <c r="BE75" s="26">
        <v>18</v>
      </c>
      <c r="BF75" s="26">
        <v>0</v>
      </c>
      <c r="BG75" s="26">
        <v>0</v>
      </c>
      <c r="BH75" s="26">
        <v>18</v>
      </c>
      <c r="BI75" s="26">
        <v>1</v>
      </c>
      <c r="BJ75" s="26">
        <v>1</v>
      </c>
      <c r="BK75" s="26"/>
      <c r="BL75" s="27"/>
      <c r="BM75" s="34">
        <v>300</v>
      </c>
      <c r="BN75" s="26">
        <v>40</v>
      </c>
      <c r="BO75" s="35">
        <f t="shared" si="9"/>
        <v>19</v>
      </c>
      <c r="BP75" s="35">
        <f t="shared" si="10"/>
        <v>34</v>
      </c>
      <c r="BQ75" s="36">
        <f t="shared" si="11"/>
        <v>7.5</v>
      </c>
      <c r="BR75" s="37">
        <f t="shared" si="12"/>
        <v>782.35294117647061</v>
      </c>
      <c r="BS75" s="26">
        <v>12</v>
      </c>
      <c r="BT75" s="26">
        <v>12</v>
      </c>
      <c r="BU75" s="26">
        <v>8</v>
      </c>
      <c r="BV75" s="26">
        <v>4</v>
      </c>
      <c r="BW75" s="26">
        <v>18</v>
      </c>
      <c r="BX75" s="26">
        <v>18</v>
      </c>
      <c r="BY75" s="26">
        <v>11</v>
      </c>
      <c r="BZ75" s="26">
        <v>7</v>
      </c>
      <c r="CA75" s="26">
        <v>21</v>
      </c>
      <c r="CB75" s="26">
        <v>2</v>
      </c>
      <c r="CC75" s="26">
        <v>4</v>
      </c>
      <c r="CD75" s="26">
        <v>17</v>
      </c>
      <c r="CE75" s="26">
        <v>17</v>
      </c>
      <c r="CF75" s="26"/>
      <c r="CG75" s="26">
        <v>0</v>
      </c>
      <c r="CH75" s="26">
        <v>17</v>
      </c>
      <c r="CI75" s="26">
        <v>17</v>
      </c>
      <c r="CJ75" s="26">
        <v>0</v>
      </c>
      <c r="CK75" s="26">
        <v>0</v>
      </c>
      <c r="CL75" s="26">
        <v>17</v>
      </c>
      <c r="CM75" s="26"/>
      <c r="CN75" s="26"/>
      <c r="CO75" s="27">
        <v>0</v>
      </c>
      <c r="CP75" s="34">
        <v>394</v>
      </c>
      <c r="CQ75" s="26">
        <f t="shared" si="13"/>
        <v>23</v>
      </c>
      <c r="CR75" s="26">
        <f t="shared" si="14"/>
        <v>32</v>
      </c>
      <c r="CS75" s="26">
        <v>40</v>
      </c>
      <c r="CT75" s="36">
        <f t="shared" si="15"/>
        <v>9.85</v>
      </c>
      <c r="CU75" s="38">
        <f t="shared" si="16"/>
        <v>31.333333333333336</v>
      </c>
      <c r="CV75" s="26">
        <v>12.0</v>
      </c>
      <c r="CW75" s="26">
        <v>11</v>
      </c>
      <c r="CX75" s="26">
        <v>9</v>
      </c>
      <c r="CY75" s="26">
        <v>3</v>
      </c>
      <c r="CZ75" s="26">
        <v>17.0</v>
      </c>
      <c r="DA75" s="26">
        <v>17</v>
      </c>
      <c r="DB75" s="26">
        <v>10</v>
      </c>
      <c r="DC75" s="26">
        <v>7</v>
      </c>
      <c r="DD75" s="26">
        <v>21.0</v>
      </c>
      <c r="DE75" s="26">
        <v>6</v>
      </c>
      <c r="DF75" s="26">
        <v>3</v>
      </c>
      <c r="DG75" s="26">
        <v>18</v>
      </c>
      <c r="DH75" s="26"/>
      <c r="DI75" s="89">
        <v>0</v>
      </c>
      <c r="DJ75" s="26">
        <v>0</v>
      </c>
      <c r="DK75" s="26"/>
      <c r="DL75" s="26">
        <v>28</v>
      </c>
      <c r="DM75" s="26">
        <v>1</v>
      </c>
      <c r="DN75" s="26">
        <v>1</v>
      </c>
      <c r="DO75" s="26"/>
      <c r="DP75" s="88">
        <v>0</v>
      </c>
      <c r="DQ75" s="87">
        <v>0</v>
      </c>
      <c r="DR75" s="27"/>
      <c r="DS75" s="42">
        <v>468</v>
      </c>
      <c r="DT75" s="43">
        <f t="shared" si="17"/>
        <v>23</v>
      </c>
      <c r="DU75" s="43">
        <f t="shared" si="18"/>
        <v>35</v>
      </c>
      <c r="DV75" s="26">
        <v>40.0</v>
      </c>
      <c r="DW75" s="33">
        <v>11.7</v>
      </c>
      <c r="DX75" s="44">
        <f t="shared" si="20"/>
        <v>18.781725888324875</v>
      </c>
    </row>
    <row r="76" spans="1:128" ht="15.75" customHeight="1">
      <c r="A76" s="26">
        <v>70</v>
      </c>
      <c r="B76" s="26" t="s">
        <v>502</v>
      </c>
      <c r="C76" s="26" t="s">
        <v>273</v>
      </c>
      <c r="D76" s="27" t="s">
        <v>240</v>
      </c>
      <c r="E76" s="26"/>
      <c r="F76" s="26"/>
      <c r="G76" s="26"/>
      <c r="H76" s="26"/>
      <c r="I76" s="26"/>
      <c r="J76" s="28"/>
      <c r="K76" s="26"/>
      <c r="L76" s="26"/>
      <c r="M76" s="26"/>
      <c r="N76" s="26"/>
      <c r="O76" s="28"/>
      <c r="P76" s="26"/>
      <c r="Q76" s="26"/>
      <c r="R76" s="26"/>
      <c r="S76" s="27"/>
      <c r="T76" s="26">
        <f t="shared" si="0"/>
        <v>0</v>
      </c>
      <c r="U76" s="26">
        <f t="shared" si="1"/>
        <v>0</v>
      </c>
      <c r="V76" s="26">
        <f t="shared" si="2"/>
        <v>0</v>
      </c>
      <c r="W76" s="26"/>
      <c r="X76" s="29" t="e">
        <f t="shared" si="3"/>
        <v>#DIV/0!</v>
      </c>
      <c r="Y76" s="30">
        <v>5</v>
      </c>
      <c r="Z76" s="26">
        <v>10</v>
      </c>
      <c r="AA76" s="26">
        <v>2</v>
      </c>
      <c r="AB76" s="26">
        <v>0</v>
      </c>
      <c r="AC76" s="26">
        <v>10</v>
      </c>
      <c r="AD76" s="91">
        <v>6</v>
      </c>
      <c r="AE76" s="26">
        <v>26</v>
      </c>
      <c r="AF76" s="26">
        <v>3</v>
      </c>
      <c r="AG76" s="26">
        <v>0</v>
      </c>
      <c r="AH76" s="26">
        <v>26</v>
      </c>
      <c r="AI76" s="26">
        <v>20</v>
      </c>
      <c r="AJ76" s="26">
        <v>2</v>
      </c>
      <c r="AK76" s="26">
        <v>0</v>
      </c>
      <c r="AL76" s="26">
        <v>20</v>
      </c>
      <c r="AM76" s="26">
        <f t="shared" si="4"/>
        <v>11</v>
      </c>
      <c r="AN76" s="32">
        <f t="shared" si="5"/>
        <v>0</v>
      </c>
      <c r="AO76" s="32">
        <f t="shared" si="6"/>
        <v>7</v>
      </c>
      <c r="AP76" s="32">
        <v>40</v>
      </c>
      <c r="AQ76" s="33">
        <f t="shared" si="7"/>
        <v>0.27500000000000002</v>
      </c>
      <c r="AR76" s="90"/>
      <c r="AS76" s="26">
        <v>24</v>
      </c>
      <c r="AT76" s="26">
        <v>13</v>
      </c>
      <c r="AU76" s="26">
        <v>11</v>
      </c>
      <c r="AV76" s="26">
        <v>13</v>
      </c>
      <c r="AW76" s="26">
        <v>41</v>
      </c>
      <c r="AX76" s="26">
        <v>41</v>
      </c>
      <c r="AY76" s="26">
        <v>22</v>
      </c>
      <c r="AZ76" s="26">
        <v>19</v>
      </c>
      <c r="BA76" s="26">
        <v>47</v>
      </c>
      <c r="BB76" s="26">
        <v>8</v>
      </c>
      <c r="BC76" s="26">
        <v>6</v>
      </c>
      <c r="BD76" s="26">
        <v>35</v>
      </c>
      <c r="BE76" s="26">
        <v>35</v>
      </c>
      <c r="BF76" s="26">
        <v>0</v>
      </c>
      <c r="BG76" s="26">
        <v>0</v>
      </c>
      <c r="BH76" s="26">
        <v>35</v>
      </c>
      <c r="BI76" s="26">
        <v>0</v>
      </c>
      <c r="BJ76" s="26">
        <v>0</v>
      </c>
      <c r="BK76" s="26"/>
      <c r="BL76" s="27"/>
      <c r="BM76" s="34">
        <v>772</v>
      </c>
      <c r="BN76" s="26">
        <v>80</v>
      </c>
      <c r="BO76" s="35">
        <f t="shared" si="9"/>
        <v>39</v>
      </c>
      <c r="BP76" s="35">
        <f t="shared" si="10"/>
        <v>62</v>
      </c>
      <c r="BQ76" s="36">
        <f t="shared" si="11"/>
        <v>9.65</v>
      </c>
      <c r="BR76" s="37">
        <f t="shared" si="12"/>
        <v>6918.1818181818189</v>
      </c>
      <c r="BS76" s="26">
        <v>24</v>
      </c>
      <c r="BT76" s="26">
        <v>8</v>
      </c>
      <c r="BU76" s="26">
        <v>5</v>
      </c>
      <c r="BV76" s="26">
        <v>19</v>
      </c>
      <c r="BW76" s="26">
        <v>47</v>
      </c>
      <c r="BX76" s="26">
        <v>47</v>
      </c>
      <c r="BY76" s="26">
        <v>25</v>
      </c>
      <c r="BZ76" s="26">
        <v>22</v>
      </c>
      <c r="CA76" s="26">
        <v>50</v>
      </c>
      <c r="CB76" s="26">
        <v>8</v>
      </c>
      <c r="CC76" s="26">
        <v>6</v>
      </c>
      <c r="CD76" s="26">
        <v>44</v>
      </c>
      <c r="CE76" s="26">
        <v>44</v>
      </c>
      <c r="CF76" s="26"/>
      <c r="CG76" s="26">
        <v>0</v>
      </c>
      <c r="CH76" s="26">
        <v>44</v>
      </c>
      <c r="CI76" s="26">
        <v>44</v>
      </c>
      <c r="CJ76" s="26">
        <v>0</v>
      </c>
      <c r="CK76" s="26">
        <v>0</v>
      </c>
      <c r="CL76" s="26">
        <v>44</v>
      </c>
      <c r="CM76" s="26"/>
      <c r="CN76" s="26"/>
      <c r="CO76" s="27">
        <v>0</v>
      </c>
      <c r="CP76" s="34">
        <v>876</v>
      </c>
      <c r="CQ76" s="26">
        <f t="shared" si="13"/>
        <v>36</v>
      </c>
      <c r="CR76" s="26">
        <f t="shared" si="14"/>
        <v>63</v>
      </c>
      <c r="CS76" s="26">
        <v>80</v>
      </c>
      <c r="CT76" s="36">
        <f t="shared" si="15"/>
        <v>10.95</v>
      </c>
      <c r="CU76" s="38">
        <f t="shared" si="16"/>
        <v>13.471502590673575</v>
      </c>
      <c r="CV76" s="26">
        <v>24.0</v>
      </c>
      <c r="CW76" s="26">
        <v>10</v>
      </c>
      <c r="CX76" s="26">
        <v>9</v>
      </c>
      <c r="CY76" s="26">
        <v>15</v>
      </c>
      <c r="CZ76" s="26">
        <v>43.0</v>
      </c>
      <c r="DA76" s="26">
        <v>45</v>
      </c>
      <c r="DB76" s="26">
        <v>21</v>
      </c>
      <c r="DC76" s="26">
        <v>22</v>
      </c>
      <c r="DD76" s="26">
        <v>50.0</v>
      </c>
      <c r="DE76" s="26">
        <v>28</v>
      </c>
      <c r="DF76" s="26">
        <v>25</v>
      </c>
      <c r="DG76" s="26">
        <v>25</v>
      </c>
      <c r="DH76" s="26"/>
      <c r="DI76" s="89">
        <v>0</v>
      </c>
      <c r="DJ76" s="26">
        <v>0</v>
      </c>
      <c r="DK76" s="26"/>
      <c r="DL76" s="26">
        <v>62</v>
      </c>
      <c r="DM76" s="26">
        <v>0</v>
      </c>
      <c r="DN76" s="26">
        <v>0</v>
      </c>
      <c r="DO76" s="26"/>
      <c r="DP76" s="88">
        <v>0</v>
      </c>
      <c r="DQ76" s="87">
        <v>0</v>
      </c>
      <c r="DR76" s="27"/>
      <c r="DS76" s="42">
        <v>925</v>
      </c>
      <c r="DT76" s="43">
        <f t="shared" si="17"/>
        <v>55</v>
      </c>
      <c r="DU76" s="43">
        <f t="shared" si="18"/>
        <v>83</v>
      </c>
      <c r="DV76" s="26">
        <v>80.0</v>
      </c>
      <c r="DW76" s="33">
        <v>11.5625</v>
      </c>
      <c r="DX76" s="44">
        <f t="shared" si="20"/>
        <v>5.5936073059360725</v>
      </c>
    </row>
    <row r="77" spans="1:128" ht="15.75" customHeight="1">
      <c r="A77" s="26">
        <v>71</v>
      </c>
      <c r="B77" s="26" t="s">
        <v>503</v>
      </c>
      <c r="C77" s="26" t="s">
        <v>504</v>
      </c>
      <c r="D77" s="27" t="s">
        <v>240</v>
      </c>
      <c r="E77" s="26"/>
      <c r="F77" s="26"/>
      <c r="G77" s="26"/>
      <c r="H77" s="26"/>
      <c r="I77" s="26"/>
      <c r="J77" s="28"/>
      <c r="K77" s="26"/>
      <c r="L77" s="26"/>
      <c r="M77" s="26"/>
      <c r="N77" s="26"/>
      <c r="O77" s="28"/>
      <c r="P77" s="26"/>
      <c r="Q77" s="26"/>
      <c r="R77" s="26"/>
      <c r="S77" s="27"/>
      <c r="T77" s="26">
        <f t="shared" si="0"/>
        <v>0</v>
      </c>
      <c r="U77" s="26">
        <f t="shared" si="1"/>
        <v>0</v>
      </c>
      <c r="V77" s="26">
        <f t="shared" si="2"/>
        <v>0</v>
      </c>
      <c r="W77" s="26"/>
      <c r="X77" s="29" t="e">
        <f t="shared" si="3"/>
        <v>#DIV/0!</v>
      </c>
      <c r="Y77" s="30">
        <v>15</v>
      </c>
      <c r="Z77" s="26">
        <v>15</v>
      </c>
      <c r="AA77" s="26">
        <v>4</v>
      </c>
      <c r="AB77" s="26">
        <v>3</v>
      </c>
      <c r="AC77" s="26">
        <v>12</v>
      </c>
      <c r="AD77" s="91">
        <v>38</v>
      </c>
      <c r="AE77" s="26">
        <v>36</v>
      </c>
      <c r="AF77" s="26">
        <v>26</v>
      </c>
      <c r="AG77" s="26">
        <v>20</v>
      </c>
      <c r="AH77" s="26">
        <v>16</v>
      </c>
      <c r="AI77" s="26">
        <v>30</v>
      </c>
      <c r="AJ77" s="26">
        <v>7</v>
      </c>
      <c r="AK77" s="26">
        <v>5</v>
      </c>
      <c r="AL77" s="26">
        <v>25</v>
      </c>
      <c r="AM77" s="26">
        <f t="shared" si="4"/>
        <v>53</v>
      </c>
      <c r="AN77" s="32">
        <f t="shared" si="5"/>
        <v>28</v>
      </c>
      <c r="AO77" s="32">
        <f t="shared" si="6"/>
        <v>37</v>
      </c>
      <c r="AP77" s="32">
        <v>60</v>
      </c>
      <c r="AQ77" s="33">
        <f t="shared" si="7"/>
        <v>0.8833333333333333</v>
      </c>
      <c r="AR77" s="90"/>
      <c r="AS77" s="26">
        <v>12</v>
      </c>
      <c r="AT77" s="26">
        <v>12</v>
      </c>
      <c r="AU77" s="26">
        <v>7</v>
      </c>
      <c r="AV77" s="26">
        <v>5</v>
      </c>
      <c r="AW77" s="26">
        <v>19</v>
      </c>
      <c r="AX77" s="26">
        <v>19</v>
      </c>
      <c r="AY77" s="26">
        <v>8</v>
      </c>
      <c r="AZ77" s="26">
        <v>11</v>
      </c>
      <c r="BA77" s="26">
        <v>25</v>
      </c>
      <c r="BB77" s="26">
        <v>2</v>
      </c>
      <c r="BC77" s="26">
        <v>1</v>
      </c>
      <c r="BD77" s="26">
        <v>18</v>
      </c>
      <c r="BE77" s="26">
        <v>18</v>
      </c>
      <c r="BF77" s="26">
        <v>0</v>
      </c>
      <c r="BG77" s="26">
        <v>0</v>
      </c>
      <c r="BH77" s="26">
        <v>18</v>
      </c>
      <c r="BI77" s="26">
        <v>0</v>
      </c>
      <c r="BJ77" s="26">
        <v>0</v>
      </c>
      <c r="BK77" s="26"/>
      <c r="BL77" s="27"/>
      <c r="BM77" s="34">
        <v>358</v>
      </c>
      <c r="BN77" s="26">
        <v>40</v>
      </c>
      <c r="BO77" s="35">
        <f t="shared" si="9"/>
        <v>16</v>
      </c>
      <c r="BP77" s="35">
        <f t="shared" si="10"/>
        <v>33</v>
      </c>
      <c r="BQ77" s="36">
        <f t="shared" si="11"/>
        <v>8.9499999999999993</v>
      </c>
      <c r="BR77" s="37">
        <f t="shared" si="12"/>
        <v>575.47169811320748</v>
      </c>
      <c r="BS77" s="26">
        <v>12</v>
      </c>
      <c r="BT77" s="26">
        <v>12</v>
      </c>
      <c r="BU77" s="26">
        <v>8</v>
      </c>
      <c r="BV77" s="26">
        <v>4</v>
      </c>
      <c r="BW77" s="26">
        <v>18</v>
      </c>
      <c r="BX77" s="26">
        <v>18</v>
      </c>
      <c r="BY77" s="26">
        <v>10</v>
      </c>
      <c r="BZ77" s="26">
        <v>8</v>
      </c>
      <c r="CA77" s="26">
        <v>22</v>
      </c>
      <c r="CB77" s="26">
        <v>2</v>
      </c>
      <c r="CC77" s="26">
        <v>3</v>
      </c>
      <c r="CD77" s="26">
        <v>19</v>
      </c>
      <c r="CE77" s="26">
        <v>19</v>
      </c>
      <c r="CF77" s="26"/>
      <c r="CG77" s="26">
        <v>0</v>
      </c>
      <c r="CH77" s="26">
        <v>19</v>
      </c>
      <c r="CI77" s="26">
        <v>19</v>
      </c>
      <c r="CJ77" s="26">
        <v>0</v>
      </c>
      <c r="CK77" s="26">
        <v>0</v>
      </c>
      <c r="CL77" s="26">
        <v>19</v>
      </c>
      <c r="CM77" s="26"/>
      <c r="CN77" s="26"/>
      <c r="CO77" s="27">
        <v>0</v>
      </c>
      <c r="CP77" s="34">
        <v>426</v>
      </c>
      <c r="CQ77" s="26">
        <f t="shared" si="13"/>
        <v>21</v>
      </c>
      <c r="CR77" s="26">
        <f t="shared" si="14"/>
        <v>32</v>
      </c>
      <c r="CS77" s="26">
        <v>40</v>
      </c>
      <c r="CT77" s="36">
        <f t="shared" si="15"/>
        <v>10.65</v>
      </c>
      <c r="CU77" s="38">
        <f t="shared" si="16"/>
        <v>18.994413407821227</v>
      </c>
      <c r="CV77" s="26">
        <v>12.0</v>
      </c>
      <c r="CW77" s="26">
        <v>7</v>
      </c>
      <c r="CX77" s="26">
        <v>7</v>
      </c>
      <c r="CY77" s="26">
        <v>5</v>
      </c>
      <c r="CZ77" s="26">
        <v>19.0</v>
      </c>
      <c r="DA77" s="26">
        <v>19</v>
      </c>
      <c r="DB77" s="26">
        <v>10</v>
      </c>
      <c r="DC77" s="26">
        <v>9</v>
      </c>
      <c r="DD77" s="26">
        <v>23.0</v>
      </c>
      <c r="DE77" s="26">
        <v>1</v>
      </c>
      <c r="DF77" s="26">
        <v>1</v>
      </c>
      <c r="DG77" s="26">
        <v>22</v>
      </c>
      <c r="DH77" s="26"/>
      <c r="DI77" s="89">
        <v>0</v>
      </c>
      <c r="DJ77" s="26">
        <v>0</v>
      </c>
      <c r="DK77" s="26"/>
      <c r="DL77" s="26">
        <v>36</v>
      </c>
      <c r="DM77" s="26">
        <v>0</v>
      </c>
      <c r="DN77" s="26">
        <v>0</v>
      </c>
      <c r="DO77" s="26"/>
      <c r="DP77" s="88">
        <v>0</v>
      </c>
      <c r="DQ77" s="87">
        <v>0</v>
      </c>
      <c r="DR77" s="27"/>
      <c r="DS77" s="42">
        <v>342</v>
      </c>
      <c r="DT77" s="43">
        <f t="shared" si="17"/>
        <v>18</v>
      </c>
      <c r="DU77" s="43">
        <f t="shared" si="18"/>
        <v>27</v>
      </c>
      <c r="DV77" s="26">
        <v>40.0</v>
      </c>
      <c r="DW77" s="33">
        <v>8.55</v>
      </c>
      <c r="DX77" s="44">
        <f t="shared" si="20"/>
        <v>-19.718309859154928</v>
      </c>
    </row>
    <row r="78" spans="1:128" ht="15.75" customHeight="1">
      <c r="A78" s="26">
        <v>12</v>
      </c>
      <c r="B78" s="26" t="s">
        <v>505</v>
      </c>
      <c r="C78" s="26" t="s">
        <v>506</v>
      </c>
      <c r="D78" s="27" t="s">
        <v>240</v>
      </c>
      <c r="E78" s="26"/>
      <c r="F78" s="26"/>
      <c r="G78" s="26"/>
      <c r="H78" s="26"/>
      <c r="I78" s="26"/>
      <c r="J78" s="28"/>
      <c r="K78" s="26"/>
      <c r="L78" s="26"/>
      <c r="M78" s="26"/>
      <c r="N78" s="26"/>
      <c r="O78" s="28"/>
      <c r="P78" s="26"/>
      <c r="Q78" s="26"/>
      <c r="R78" s="26"/>
      <c r="S78" s="27"/>
      <c r="T78" s="26">
        <f t="shared" si="0"/>
        <v>0</v>
      </c>
      <c r="U78" s="26">
        <f t="shared" si="1"/>
        <v>0</v>
      </c>
      <c r="V78" s="26">
        <f t="shared" si="2"/>
        <v>0</v>
      </c>
      <c r="W78" s="26"/>
      <c r="X78" s="29" t="e">
        <f t="shared" si="3"/>
        <v>#DIV/0!</v>
      </c>
      <c r="Y78" s="30">
        <v>3</v>
      </c>
      <c r="Z78" s="26">
        <v>13</v>
      </c>
      <c r="AA78" s="26">
        <v>2</v>
      </c>
      <c r="AB78" s="26">
        <v>2</v>
      </c>
      <c r="AC78" s="26">
        <v>11</v>
      </c>
      <c r="AD78" s="91">
        <v>6</v>
      </c>
      <c r="AE78" s="26">
        <v>31</v>
      </c>
      <c r="AF78" s="26">
        <v>6</v>
      </c>
      <c r="AG78" s="26">
        <v>6</v>
      </c>
      <c r="AH78" s="26">
        <v>25</v>
      </c>
      <c r="AI78" s="26">
        <v>25</v>
      </c>
      <c r="AJ78" s="26">
        <v>1</v>
      </c>
      <c r="AK78" s="26">
        <v>1</v>
      </c>
      <c r="AL78" s="26">
        <v>24</v>
      </c>
      <c r="AM78" s="26">
        <f t="shared" si="4"/>
        <v>9</v>
      </c>
      <c r="AN78" s="32">
        <f t="shared" si="5"/>
        <v>9</v>
      </c>
      <c r="AO78" s="32">
        <f t="shared" si="6"/>
        <v>9</v>
      </c>
      <c r="AP78" s="32">
        <v>50</v>
      </c>
      <c r="AQ78" s="33">
        <f t="shared" si="7"/>
        <v>0.18</v>
      </c>
      <c r="AR78" s="90"/>
      <c r="AS78" s="26">
        <v>12</v>
      </c>
      <c r="AT78" s="26">
        <v>12</v>
      </c>
      <c r="AU78" s="26">
        <v>6</v>
      </c>
      <c r="AV78" s="26">
        <v>6</v>
      </c>
      <c r="AW78" s="26">
        <v>20</v>
      </c>
      <c r="AX78" s="26">
        <v>20</v>
      </c>
      <c r="AY78" s="26">
        <v>8</v>
      </c>
      <c r="AZ78" s="26">
        <v>12</v>
      </c>
      <c r="BA78" s="26">
        <v>26</v>
      </c>
      <c r="BB78" s="26">
        <v>5</v>
      </c>
      <c r="BC78" s="26">
        <v>3</v>
      </c>
      <c r="BD78" s="26">
        <v>17</v>
      </c>
      <c r="BE78" s="26">
        <v>17</v>
      </c>
      <c r="BF78" s="26">
        <v>0</v>
      </c>
      <c r="BG78" s="26">
        <v>0</v>
      </c>
      <c r="BH78" s="26">
        <v>17</v>
      </c>
      <c r="BI78" s="26">
        <v>0</v>
      </c>
      <c r="BJ78" s="26">
        <v>0</v>
      </c>
      <c r="BK78" s="26"/>
      <c r="BL78" s="27"/>
      <c r="BM78" s="34">
        <v>869</v>
      </c>
      <c r="BN78" s="26">
        <v>40</v>
      </c>
      <c r="BO78" s="35">
        <f t="shared" si="9"/>
        <v>17</v>
      </c>
      <c r="BP78" s="35">
        <f t="shared" si="10"/>
        <v>37</v>
      </c>
      <c r="BQ78" s="36">
        <f t="shared" si="11"/>
        <v>21.725000000000001</v>
      </c>
      <c r="BR78" s="37">
        <f t="shared" si="12"/>
        <v>9555.5555555555566</v>
      </c>
      <c r="BS78" s="26">
        <v>12</v>
      </c>
      <c r="BT78" s="26">
        <v>12</v>
      </c>
      <c r="BU78" s="26">
        <v>8</v>
      </c>
      <c r="BV78" s="26">
        <v>4</v>
      </c>
      <c r="BW78" s="26">
        <v>18</v>
      </c>
      <c r="BX78" s="26">
        <v>18</v>
      </c>
      <c r="BY78" s="26">
        <v>11</v>
      </c>
      <c r="BZ78" s="26">
        <v>7</v>
      </c>
      <c r="CA78" s="26">
        <v>21</v>
      </c>
      <c r="CB78" s="26">
        <v>5</v>
      </c>
      <c r="CC78" s="26">
        <v>7</v>
      </c>
      <c r="CD78" s="26">
        <v>14</v>
      </c>
      <c r="CE78" s="26">
        <v>14</v>
      </c>
      <c r="CF78" s="26"/>
      <c r="CG78" s="26">
        <v>0</v>
      </c>
      <c r="CH78" s="26">
        <v>14</v>
      </c>
      <c r="CI78" s="26">
        <v>14</v>
      </c>
      <c r="CJ78" s="26">
        <v>0</v>
      </c>
      <c r="CK78" s="26">
        <v>0</v>
      </c>
      <c r="CL78" s="26">
        <v>14</v>
      </c>
      <c r="CM78" s="26"/>
      <c r="CN78" s="26"/>
      <c r="CO78" s="27">
        <v>0</v>
      </c>
      <c r="CP78" s="34">
        <v>1026</v>
      </c>
      <c r="CQ78" s="26">
        <f t="shared" si="13"/>
        <v>26</v>
      </c>
      <c r="CR78" s="26">
        <f t="shared" si="14"/>
        <v>35</v>
      </c>
      <c r="CS78" s="26">
        <v>40</v>
      </c>
      <c r="CT78" s="36">
        <f t="shared" si="15"/>
        <v>25.65</v>
      </c>
      <c r="CU78" s="38">
        <f t="shared" si="16"/>
        <v>18.066743383199078</v>
      </c>
      <c r="CV78" s="26">
        <v>12.0</v>
      </c>
      <c r="CW78" s="26">
        <v>3</v>
      </c>
      <c r="CX78" s="26">
        <v>3</v>
      </c>
      <c r="CY78" s="26">
        <v>9</v>
      </c>
      <c r="CZ78" s="26">
        <v>23.0</v>
      </c>
      <c r="DA78" s="26">
        <v>23</v>
      </c>
      <c r="DB78" s="26">
        <v>7</v>
      </c>
      <c r="DC78" s="26">
        <v>16</v>
      </c>
      <c r="DD78" s="26">
        <v>30.0</v>
      </c>
      <c r="DE78" s="26">
        <v>9</v>
      </c>
      <c r="DF78" s="26">
        <v>8</v>
      </c>
      <c r="DG78" s="26">
        <v>22</v>
      </c>
      <c r="DH78" s="26"/>
      <c r="DI78" s="89">
        <v>0</v>
      </c>
      <c r="DJ78" s="26">
        <v>0</v>
      </c>
      <c r="DK78" s="26"/>
      <c r="DL78" s="26">
        <v>47</v>
      </c>
      <c r="DM78" s="26">
        <v>0</v>
      </c>
      <c r="DN78" s="26">
        <v>0</v>
      </c>
      <c r="DO78" s="26"/>
      <c r="DP78" s="88">
        <v>0</v>
      </c>
      <c r="DQ78" s="87">
        <v>0</v>
      </c>
      <c r="DR78" s="27"/>
      <c r="DS78" s="42">
        <v>929</v>
      </c>
      <c r="DT78" s="43">
        <f t="shared" si="17"/>
        <v>18</v>
      </c>
      <c r="DU78" s="43">
        <f t="shared" si="18"/>
        <v>35</v>
      </c>
      <c r="DV78" s="26">
        <v>40.0</v>
      </c>
      <c r="DW78" s="33">
        <v>23.225</v>
      </c>
      <c r="DX78" s="44">
        <f t="shared" si="20"/>
        <v>-9.4541910331384003</v>
      </c>
    </row>
    <row r="79" spans="1:128" ht="15.75" customHeight="1">
      <c r="A79" s="26">
        <v>73</v>
      </c>
      <c r="B79" s="26" t="s">
        <v>507</v>
      </c>
      <c r="C79" s="26" t="s">
        <v>450</v>
      </c>
      <c r="D79" s="27" t="s">
        <v>240</v>
      </c>
      <c r="E79" s="26"/>
      <c r="F79" s="26"/>
      <c r="G79" s="26"/>
      <c r="H79" s="26"/>
      <c r="I79" s="26"/>
      <c r="J79" s="28"/>
      <c r="K79" s="26"/>
      <c r="L79" s="26"/>
      <c r="M79" s="26"/>
      <c r="N79" s="26"/>
      <c r="O79" s="28"/>
      <c r="P79" s="26"/>
      <c r="Q79" s="26"/>
      <c r="R79" s="26"/>
      <c r="S79" s="27"/>
      <c r="T79" s="26">
        <f t="shared" si="0"/>
        <v>0</v>
      </c>
      <c r="U79" s="26">
        <f t="shared" si="1"/>
        <v>0</v>
      </c>
      <c r="V79" s="26">
        <f t="shared" si="2"/>
        <v>0</v>
      </c>
      <c r="W79" s="26"/>
      <c r="X79" s="29" t="e">
        <f t="shared" si="3"/>
        <v>#DIV/0!</v>
      </c>
      <c r="Y79" s="30">
        <v>11</v>
      </c>
      <c r="Z79" s="26">
        <v>13</v>
      </c>
      <c r="AA79" s="26">
        <v>7</v>
      </c>
      <c r="AB79" s="26">
        <v>3</v>
      </c>
      <c r="AC79" s="26">
        <v>10</v>
      </c>
      <c r="AD79" s="91">
        <v>20</v>
      </c>
      <c r="AE79" s="26">
        <v>30</v>
      </c>
      <c r="AF79" s="26">
        <v>12</v>
      </c>
      <c r="AG79" s="26">
        <v>12</v>
      </c>
      <c r="AH79" s="26">
        <v>18</v>
      </c>
      <c r="AI79" s="26">
        <v>25</v>
      </c>
      <c r="AJ79" s="26">
        <v>7</v>
      </c>
      <c r="AK79" s="26">
        <v>4</v>
      </c>
      <c r="AL79" s="26">
        <v>21</v>
      </c>
      <c r="AM79" s="26">
        <f t="shared" si="4"/>
        <v>31</v>
      </c>
      <c r="AN79" s="32">
        <f t="shared" si="5"/>
        <v>19</v>
      </c>
      <c r="AO79" s="32">
        <f t="shared" si="6"/>
        <v>26</v>
      </c>
      <c r="AP79" s="32">
        <v>50</v>
      </c>
      <c r="AQ79" s="33">
        <f t="shared" si="7"/>
        <v>0.62</v>
      </c>
      <c r="AR79" s="90"/>
      <c r="AS79" s="26">
        <v>24</v>
      </c>
      <c r="AT79" s="26">
        <v>14</v>
      </c>
      <c r="AU79" s="26">
        <v>10</v>
      </c>
      <c r="AV79" s="26">
        <v>14</v>
      </c>
      <c r="AW79" s="26">
        <v>42</v>
      </c>
      <c r="AX79" s="26">
        <v>42</v>
      </c>
      <c r="AY79" s="26">
        <v>24</v>
      </c>
      <c r="AZ79" s="26">
        <v>18</v>
      </c>
      <c r="BA79" s="26">
        <v>46</v>
      </c>
      <c r="BB79" s="26">
        <v>8</v>
      </c>
      <c r="BC79" s="26">
        <v>6</v>
      </c>
      <c r="BD79" s="26">
        <v>36</v>
      </c>
      <c r="BE79" s="26">
        <v>36</v>
      </c>
      <c r="BF79" s="26">
        <v>0</v>
      </c>
      <c r="BG79" s="26">
        <v>0</v>
      </c>
      <c r="BH79" s="26">
        <v>36</v>
      </c>
      <c r="BI79" s="26">
        <v>0</v>
      </c>
      <c r="BJ79" s="26">
        <v>0</v>
      </c>
      <c r="BK79" s="26"/>
      <c r="BL79" s="27"/>
      <c r="BM79" s="34">
        <v>965</v>
      </c>
      <c r="BN79" s="26">
        <v>80</v>
      </c>
      <c r="BO79" s="35">
        <f t="shared" si="9"/>
        <v>40</v>
      </c>
      <c r="BP79" s="35">
        <f t="shared" si="10"/>
        <v>64</v>
      </c>
      <c r="BQ79" s="36">
        <f t="shared" si="11"/>
        <v>12.0625</v>
      </c>
      <c r="BR79" s="37">
        <f t="shared" si="12"/>
        <v>3012.9032258064517</v>
      </c>
      <c r="BS79" s="26">
        <v>24</v>
      </c>
      <c r="BT79" s="26">
        <v>11</v>
      </c>
      <c r="BU79" s="26">
        <v>8</v>
      </c>
      <c r="BV79" s="26">
        <v>16</v>
      </c>
      <c r="BW79" s="26">
        <v>44</v>
      </c>
      <c r="BX79" s="26">
        <v>44</v>
      </c>
      <c r="BY79" s="26">
        <v>24</v>
      </c>
      <c r="BZ79" s="26">
        <v>20</v>
      </c>
      <c r="CA79" s="26">
        <v>48</v>
      </c>
      <c r="CB79" s="26">
        <v>8</v>
      </c>
      <c r="CC79" s="26">
        <v>13</v>
      </c>
      <c r="CD79" s="26">
        <v>35</v>
      </c>
      <c r="CE79" s="26">
        <v>35</v>
      </c>
      <c r="CF79" s="26"/>
      <c r="CG79" s="26">
        <v>0</v>
      </c>
      <c r="CH79" s="26">
        <v>35</v>
      </c>
      <c r="CI79" s="26">
        <v>35</v>
      </c>
      <c r="CJ79" s="26">
        <v>2</v>
      </c>
      <c r="CK79" s="26">
        <v>2</v>
      </c>
      <c r="CL79" s="26">
        <v>33</v>
      </c>
      <c r="CM79" s="26"/>
      <c r="CN79" s="26"/>
      <c r="CO79" s="27">
        <v>0</v>
      </c>
      <c r="CP79" s="34">
        <v>1014</v>
      </c>
      <c r="CQ79" s="26">
        <f t="shared" si="13"/>
        <v>47</v>
      </c>
      <c r="CR79" s="26">
        <f t="shared" si="14"/>
        <v>65</v>
      </c>
      <c r="CS79" s="26">
        <v>80</v>
      </c>
      <c r="CT79" s="36">
        <f t="shared" si="15"/>
        <v>12.675000000000001</v>
      </c>
      <c r="CU79" s="38">
        <f t="shared" si="16"/>
        <v>5.0777202072538854</v>
      </c>
      <c r="CV79" s="26">
        <v>24.0</v>
      </c>
      <c r="CW79" s="26">
        <v>8</v>
      </c>
      <c r="CX79" s="26">
        <v>8</v>
      </c>
      <c r="CY79" s="26">
        <v>16</v>
      </c>
      <c r="CZ79" s="26">
        <v>44.0</v>
      </c>
      <c r="DA79" s="26">
        <v>44</v>
      </c>
      <c r="DB79" s="26">
        <v>24</v>
      </c>
      <c r="DC79" s="26">
        <v>20</v>
      </c>
      <c r="DD79" s="26">
        <v>48.0</v>
      </c>
      <c r="DE79" s="26">
        <v>18</v>
      </c>
      <c r="DF79" s="26">
        <v>16</v>
      </c>
      <c r="DG79" s="26">
        <v>32</v>
      </c>
      <c r="DH79" s="26"/>
      <c r="DI79" s="89">
        <v>0</v>
      </c>
      <c r="DJ79" s="26">
        <v>0</v>
      </c>
      <c r="DK79" s="26"/>
      <c r="DL79" s="26">
        <v>68</v>
      </c>
      <c r="DM79" s="26">
        <v>1</v>
      </c>
      <c r="DN79" s="26">
        <v>1</v>
      </c>
      <c r="DO79" s="26"/>
      <c r="DP79" s="88">
        <v>0</v>
      </c>
      <c r="DQ79" s="87">
        <v>0</v>
      </c>
      <c r="DR79" s="27"/>
      <c r="DS79" s="42">
        <v>1048</v>
      </c>
      <c r="DT79" s="43">
        <f t="shared" si="17"/>
        <v>49</v>
      </c>
      <c r="DU79" s="43">
        <f t="shared" si="18"/>
        <v>71</v>
      </c>
      <c r="DV79" s="26">
        <v>80.0</v>
      </c>
      <c r="DW79" s="33">
        <v>13.1</v>
      </c>
      <c r="DX79" s="44">
        <f t="shared" si="20"/>
        <v>3.3530571992110452</v>
      </c>
    </row>
    <row r="80" spans="1:128" ht="15.75" customHeight="1">
      <c r="A80" s="26">
        <v>74</v>
      </c>
      <c r="B80" s="26" t="s">
        <v>508</v>
      </c>
      <c r="C80" s="26" t="s">
        <v>509</v>
      </c>
      <c r="D80" s="27" t="s">
        <v>240</v>
      </c>
      <c r="E80" s="26"/>
      <c r="F80" s="26"/>
      <c r="G80" s="26"/>
      <c r="H80" s="26"/>
      <c r="I80" s="26"/>
      <c r="J80" s="28"/>
      <c r="K80" s="26"/>
      <c r="L80" s="26"/>
      <c r="M80" s="26"/>
      <c r="N80" s="26"/>
      <c r="O80" s="28"/>
      <c r="P80" s="26"/>
      <c r="Q80" s="26"/>
      <c r="R80" s="26"/>
      <c r="S80" s="27"/>
      <c r="T80" s="26">
        <f t="shared" si="0"/>
        <v>0</v>
      </c>
      <c r="U80" s="26">
        <f t="shared" si="1"/>
        <v>0</v>
      </c>
      <c r="V80" s="26">
        <f t="shared" si="2"/>
        <v>0</v>
      </c>
      <c r="W80" s="26"/>
      <c r="X80" s="29" t="e">
        <f t="shared" si="3"/>
        <v>#DIV/0!</v>
      </c>
      <c r="Y80" s="30">
        <v>3</v>
      </c>
      <c r="Z80" s="26">
        <v>9</v>
      </c>
      <c r="AA80" s="26">
        <v>0</v>
      </c>
      <c r="AB80" s="26">
        <v>0</v>
      </c>
      <c r="AC80" s="26">
        <v>9</v>
      </c>
      <c r="AD80" s="91">
        <v>8</v>
      </c>
      <c r="AE80" s="26">
        <v>23</v>
      </c>
      <c r="AF80" s="26">
        <v>7</v>
      </c>
      <c r="AG80" s="26">
        <v>0</v>
      </c>
      <c r="AH80" s="26">
        <v>23</v>
      </c>
      <c r="AI80" s="26">
        <v>18</v>
      </c>
      <c r="AJ80" s="26">
        <v>0</v>
      </c>
      <c r="AK80" s="26">
        <v>0</v>
      </c>
      <c r="AL80" s="26">
        <v>18</v>
      </c>
      <c r="AM80" s="26">
        <f t="shared" si="4"/>
        <v>11</v>
      </c>
      <c r="AN80" s="32">
        <f t="shared" si="5"/>
        <v>0</v>
      </c>
      <c r="AO80" s="32">
        <f t="shared" si="6"/>
        <v>7</v>
      </c>
      <c r="AP80" s="32">
        <v>35</v>
      </c>
      <c r="AQ80" s="33">
        <f t="shared" si="7"/>
        <v>0.31428571428571428</v>
      </c>
      <c r="AR80" s="90"/>
      <c r="AS80" s="26">
        <v>24</v>
      </c>
      <c r="AT80" s="26">
        <v>24</v>
      </c>
      <c r="AU80" s="26">
        <v>16</v>
      </c>
      <c r="AV80" s="26">
        <v>8</v>
      </c>
      <c r="AW80" s="26">
        <v>36</v>
      </c>
      <c r="AX80" s="26">
        <v>36</v>
      </c>
      <c r="AY80" s="26">
        <v>11</v>
      </c>
      <c r="AZ80" s="26">
        <v>25</v>
      </c>
      <c r="BA80" s="26">
        <v>53</v>
      </c>
      <c r="BB80" s="26">
        <v>6</v>
      </c>
      <c r="BC80" s="26">
        <v>5</v>
      </c>
      <c r="BD80" s="26">
        <v>31</v>
      </c>
      <c r="BE80" s="26">
        <v>31</v>
      </c>
      <c r="BF80" s="26">
        <v>0</v>
      </c>
      <c r="BG80" s="26">
        <v>0</v>
      </c>
      <c r="BH80" s="26">
        <v>31</v>
      </c>
      <c r="BI80" s="26">
        <v>0</v>
      </c>
      <c r="BJ80" s="26">
        <v>0</v>
      </c>
      <c r="BK80" s="26"/>
      <c r="BL80" s="27"/>
      <c r="BM80" s="34">
        <v>1184</v>
      </c>
      <c r="BN80" s="26">
        <v>80</v>
      </c>
      <c r="BO80" s="35">
        <f t="shared" si="9"/>
        <v>32</v>
      </c>
      <c r="BP80" s="35">
        <f t="shared" si="10"/>
        <v>66</v>
      </c>
      <c r="BQ80" s="36">
        <f t="shared" si="11"/>
        <v>14.8</v>
      </c>
      <c r="BR80" s="37">
        <f t="shared" si="12"/>
        <v>10663.636363636364</v>
      </c>
      <c r="BS80" s="26">
        <v>24</v>
      </c>
      <c r="BT80" s="26">
        <v>24</v>
      </c>
      <c r="BU80" s="26">
        <v>20</v>
      </c>
      <c r="BV80" s="26">
        <v>4</v>
      </c>
      <c r="BW80" s="26">
        <v>32</v>
      </c>
      <c r="BX80" s="26">
        <v>32</v>
      </c>
      <c r="BY80" s="26">
        <v>15</v>
      </c>
      <c r="BZ80" s="26">
        <v>17</v>
      </c>
      <c r="CA80" s="26">
        <v>45</v>
      </c>
      <c r="CB80" s="26">
        <v>6</v>
      </c>
      <c r="CC80" s="26">
        <v>5</v>
      </c>
      <c r="CD80" s="26">
        <v>40</v>
      </c>
      <c r="CE80" s="26">
        <v>40</v>
      </c>
      <c r="CF80" s="26"/>
      <c r="CG80" s="26">
        <v>0</v>
      </c>
      <c r="CH80" s="26">
        <v>40</v>
      </c>
      <c r="CI80" s="26">
        <v>40</v>
      </c>
      <c r="CJ80" s="26">
        <v>1</v>
      </c>
      <c r="CK80" s="26">
        <v>1</v>
      </c>
      <c r="CL80" s="26">
        <v>39</v>
      </c>
      <c r="CM80" s="26"/>
      <c r="CN80" s="26"/>
      <c r="CO80" s="27">
        <v>0</v>
      </c>
      <c r="CP80" s="34">
        <v>1260</v>
      </c>
      <c r="CQ80" s="26">
        <f t="shared" si="13"/>
        <v>41</v>
      </c>
      <c r="CR80" s="26">
        <f t="shared" si="14"/>
        <v>63</v>
      </c>
      <c r="CS80" s="26">
        <v>80</v>
      </c>
      <c r="CT80" s="36">
        <f t="shared" si="15"/>
        <v>15.75</v>
      </c>
      <c r="CU80" s="38">
        <f t="shared" si="16"/>
        <v>6.4189189189189184</v>
      </c>
      <c r="CV80" s="26">
        <v>24.0</v>
      </c>
      <c r="CW80" s="26">
        <v>23</v>
      </c>
      <c r="CX80" s="26">
        <v>21</v>
      </c>
      <c r="CY80" s="26">
        <v>3</v>
      </c>
      <c r="CZ80" s="26">
        <v>31.0</v>
      </c>
      <c r="DA80" s="26">
        <v>31</v>
      </c>
      <c r="DB80" s="26">
        <v>9</v>
      </c>
      <c r="DC80" s="26">
        <v>22</v>
      </c>
      <c r="DD80" s="26">
        <v>50.0</v>
      </c>
      <c r="DE80" s="26">
        <v>5</v>
      </c>
      <c r="DF80" s="26">
        <v>5</v>
      </c>
      <c r="DG80" s="26">
        <v>45</v>
      </c>
      <c r="DH80" s="26"/>
      <c r="DI80" s="89">
        <v>0</v>
      </c>
      <c r="DJ80" s="26">
        <v>0</v>
      </c>
      <c r="DK80" s="26"/>
      <c r="DL80" s="26">
        <v>70</v>
      </c>
      <c r="DM80" s="26">
        <v>0</v>
      </c>
      <c r="DN80" s="26">
        <v>0</v>
      </c>
      <c r="DO80" s="26"/>
      <c r="DP80" s="40">
        <v>1</v>
      </c>
      <c r="DQ80" s="87">
        <v>1</v>
      </c>
      <c r="DR80" s="27"/>
      <c r="DS80" s="42">
        <v>1119</v>
      </c>
      <c r="DT80" s="43">
        <f t="shared" si="17"/>
        <v>36</v>
      </c>
      <c r="DU80" s="43">
        <f t="shared" si="18"/>
        <v>60</v>
      </c>
      <c r="DV80" s="26">
        <v>80.0</v>
      </c>
      <c r="DW80" s="33">
        <v>13.9875</v>
      </c>
      <c r="DX80" s="44">
        <f t="shared" si="20"/>
        <v>-11.190476190476192</v>
      </c>
    </row>
    <row r="81" spans="1:128" ht="15.75" customHeight="1">
      <c r="A81" s="26">
        <v>75</v>
      </c>
      <c r="B81" s="26" t="s">
        <v>510</v>
      </c>
      <c r="C81" s="26" t="s">
        <v>511</v>
      </c>
      <c r="D81" s="27" t="s">
        <v>240</v>
      </c>
      <c r="E81" s="26"/>
      <c r="F81" s="26"/>
      <c r="G81" s="26"/>
      <c r="H81" s="26"/>
      <c r="I81" s="26"/>
      <c r="J81" s="28"/>
      <c r="K81" s="26"/>
      <c r="L81" s="26"/>
      <c r="M81" s="26"/>
      <c r="N81" s="26"/>
      <c r="O81" s="28"/>
      <c r="P81" s="26"/>
      <c r="Q81" s="26"/>
      <c r="R81" s="26"/>
      <c r="S81" s="27"/>
      <c r="T81" s="26">
        <f t="shared" si="0"/>
        <v>0</v>
      </c>
      <c r="U81" s="26">
        <f t="shared" si="1"/>
        <v>0</v>
      </c>
      <c r="V81" s="26">
        <f t="shared" si="2"/>
        <v>0</v>
      </c>
      <c r="W81" s="26"/>
      <c r="X81" s="29" t="e">
        <f t="shared" si="3"/>
        <v>#DIV/0!</v>
      </c>
      <c r="Y81" s="30">
        <v>28</v>
      </c>
      <c r="Z81" s="26">
        <v>20</v>
      </c>
      <c r="AA81" s="26">
        <v>23</v>
      </c>
      <c r="AB81" s="26">
        <v>14</v>
      </c>
      <c r="AC81" s="26">
        <v>6</v>
      </c>
      <c r="AD81" s="91">
        <v>22</v>
      </c>
      <c r="AE81" s="26">
        <v>38</v>
      </c>
      <c r="AF81" s="26">
        <v>19</v>
      </c>
      <c r="AG81" s="26">
        <v>13</v>
      </c>
      <c r="AH81" s="26">
        <v>25</v>
      </c>
      <c r="AI81" s="26">
        <v>40</v>
      </c>
      <c r="AJ81" s="26">
        <v>8</v>
      </c>
      <c r="AK81" s="26">
        <v>5</v>
      </c>
      <c r="AL81" s="26">
        <v>35</v>
      </c>
      <c r="AM81" s="26">
        <f t="shared" si="4"/>
        <v>50</v>
      </c>
      <c r="AN81" s="32">
        <f t="shared" si="5"/>
        <v>32</v>
      </c>
      <c r="AO81" s="32">
        <f t="shared" si="6"/>
        <v>50</v>
      </c>
      <c r="AP81" s="32">
        <v>80</v>
      </c>
      <c r="AQ81" s="33">
        <f t="shared" si="7"/>
        <v>0.625</v>
      </c>
      <c r="AR81" s="90"/>
      <c r="AS81" s="26">
        <v>24</v>
      </c>
      <c r="AT81" s="26">
        <v>20</v>
      </c>
      <c r="AU81" s="26">
        <v>19</v>
      </c>
      <c r="AV81" s="26">
        <v>5</v>
      </c>
      <c r="AW81" s="26">
        <v>33</v>
      </c>
      <c r="AX81" s="26">
        <v>33</v>
      </c>
      <c r="AY81" s="26">
        <v>18</v>
      </c>
      <c r="AZ81" s="26">
        <v>15</v>
      </c>
      <c r="BA81" s="26">
        <v>43</v>
      </c>
      <c r="BB81" s="26">
        <v>21</v>
      </c>
      <c r="BC81" s="26">
        <v>20</v>
      </c>
      <c r="BD81" s="26">
        <v>13</v>
      </c>
      <c r="BE81" s="26">
        <v>13</v>
      </c>
      <c r="BF81" s="26">
        <v>0</v>
      </c>
      <c r="BG81" s="26">
        <v>0</v>
      </c>
      <c r="BH81" s="26">
        <v>13</v>
      </c>
      <c r="BI81" s="26">
        <v>0</v>
      </c>
      <c r="BJ81" s="26">
        <v>0</v>
      </c>
      <c r="BK81" s="26"/>
      <c r="BL81" s="27"/>
      <c r="BM81" s="34">
        <v>1413</v>
      </c>
      <c r="BN81" s="26">
        <v>80</v>
      </c>
      <c r="BO81" s="35">
        <f t="shared" si="9"/>
        <v>57</v>
      </c>
      <c r="BP81" s="35">
        <f t="shared" si="10"/>
        <v>74</v>
      </c>
      <c r="BQ81" s="36">
        <f t="shared" si="11"/>
        <v>17.662500000000001</v>
      </c>
      <c r="BR81" s="37">
        <f t="shared" si="12"/>
        <v>2726</v>
      </c>
      <c r="BS81" s="26">
        <v>24</v>
      </c>
      <c r="BT81" s="26">
        <v>17</v>
      </c>
      <c r="BU81" s="26">
        <v>15</v>
      </c>
      <c r="BV81" s="26">
        <v>9</v>
      </c>
      <c r="BW81" s="26">
        <v>37</v>
      </c>
      <c r="BX81" s="26">
        <v>37</v>
      </c>
      <c r="BY81" s="26">
        <v>21</v>
      </c>
      <c r="BZ81" s="26">
        <v>16</v>
      </c>
      <c r="CA81" s="26">
        <v>44</v>
      </c>
      <c r="CB81" s="26">
        <v>21</v>
      </c>
      <c r="CC81" s="26">
        <v>25</v>
      </c>
      <c r="CD81" s="26">
        <v>19</v>
      </c>
      <c r="CE81" s="26">
        <v>19</v>
      </c>
      <c r="CF81" s="26"/>
      <c r="CG81" s="26">
        <v>0</v>
      </c>
      <c r="CH81" s="26">
        <v>19</v>
      </c>
      <c r="CI81" s="26">
        <v>19</v>
      </c>
      <c r="CJ81" s="26">
        <v>5</v>
      </c>
      <c r="CK81" s="26">
        <v>5</v>
      </c>
      <c r="CL81" s="26">
        <v>14</v>
      </c>
      <c r="CM81" s="26"/>
      <c r="CN81" s="26"/>
      <c r="CO81" s="27">
        <v>0</v>
      </c>
      <c r="CP81" s="34">
        <v>1604</v>
      </c>
      <c r="CQ81" s="26">
        <f t="shared" si="13"/>
        <v>66</v>
      </c>
      <c r="CR81" s="26">
        <f t="shared" si="14"/>
        <v>80</v>
      </c>
      <c r="CS81" s="26">
        <v>80</v>
      </c>
      <c r="CT81" s="36">
        <f t="shared" si="15"/>
        <v>20.05</v>
      </c>
      <c r="CU81" s="38">
        <f t="shared" si="16"/>
        <v>13.517338995046002</v>
      </c>
      <c r="CV81" s="26">
        <v>24.0</v>
      </c>
      <c r="CW81" s="26">
        <v>15</v>
      </c>
      <c r="CX81" s="26">
        <v>14</v>
      </c>
      <c r="CY81" s="26">
        <v>10</v>
      </c>
      <c r="CZ81" s="26">
        <v>38.0</v>
      </c>
      <c r="DA81" s="26">
        <v>38</v>
      </c>
      <c r="DB81" s="26">
        <v>22</v>
      </c>
      <c r="DC81" s="26">
        <v>16</v>
      </c>
      <c r="DD81" s="26">
        <v>44.0</v>
      </c>
      <c r="DE81" s="26">
        <v>27</v>
      </c>
      <c r="DF81" s="26">
        <v>21</v>
      </c>
      <c r="DG81" s="26">
        <v>23</v>
      </c>
      <c r="DH81" s="26"/>
      <c r="DI81" s="89">
        <v>0</v>
      </c>
      <c r="DJ81" s="26">
        <v>0</v>
      </c>
      <c r="DK81" s="26"/>
      <c r="DL81" s="26">
        <v>49</v>
      </c>
      <c r="DM81" s="26">
        <v>1</v>
      </c>
      <c r="DN81" s="26">
        <v>1</v>
      </c>
      <c r="DO81" s="26"/>
      <c r="DP81" s="40">
        <v>0</v>
      </c>
      <c r="DQ81" s="87">
        <v>0</v>
      </c>
      <c r="DR81" s="27"/>
      <c r="DS81" s="42">
        <v>1331</v>
      </c>
      <c r="DT81" s="43">
        <f t="shared" si="17"/>
        <v>58</v>
      </c>
      <c r="DU81" s="43">
        <f t="shared" si="18"/>
        <v>81</v>
      </c>
      <c r="DV81" s="26">
        <v>80.0</v>
      </c>
      <c r="DW81" s="33">
        <v>16.6375</v>
      </c>
      <c r="DX81" s="44">
        <f t="shared" si="20"/>
        <v>-17.019950124688279</v>
      </c>
    </row>
    <row r="82" spans="1:128" ht="15.75" customHeight="1">
      <c r="A82" s="26">
        <v>76</v>
      </c>
      <c r="B82" s="26" t="s">
        <v>512</v>
      </c>
      <c r="C82" s="26" t="s">
        <v>513</v>
      </c>
      <c r="D82" s="27" t="s">
        <v>23</v>
      </c>
      <c r="E82" s="26"/>
      <c r="F82" s="26"/>
      <c r="G82" s="26"/>
      <c r="H82" s="26"/>
      <c r="I82" s="26"/>
      <c r="J82" s="28"/>
      <c r="K82" s="26"/>
      <c r="L82" s="26"/>
      <c r="M82" s="26"/>
      <c r="N82" s="26"/>
      <c r="O82" s="28"/>
      <c r="P82" s="26"/>
      <c r="Q82" s="26"/>
      <c r="R82" s="26"/>
      <c r="S82" s="27"/>
      <c r="T82" s="26">
        <f t="shared" si="0"/>
        <v>0</v>
      </c>
      <c r="U82" s="26">
        <f t="shared" si="1"/>
        <v>0</v>
      </c>
      <c r="V82" s="26">
        <f t="shared" si="2"/>
        <v>0</v>
      </c>
      <c r="W82" s="26"/>
      <c r="X82" s="29" t="e">
        <f t="shared" si="3"/>
        <v>#DIV/0!</v>
      </c>
      <c r="Y82" s="30">
        <v>36</v>
      </c>
      <c r="Z82" s="26">
        <v>20</v>
      </c>
      <c r="AA82" s="26">
        <v>20</v>
      </c>
      <c r="AB82" s="26">
        <v>13</v>
      </c>
      <c r="AC82" s="26">
        <v>7</v>
      </c>
      <c r="AD82" s="45">
        <v>39</v>
      </c>
      <c r="AE82" s="26">
        <v>39</v>
      </c>
      <c r="AF82" s="26">
        <v>30</v>
      </c>
      <c r="AG82" s="26">
        <v>18</v>
      </c>
      <c r="AH82" s="26">
        <v>21</v>
      </c>
      <c r="AI82" s="26">
        <v>40</v>
      </c>
      <c r="AJ82" s="26">
        <v>5</v>
      </c>
      <c r="AK82" s="26">
        <v>5</v>
      </c>
      <c r="AL82" s="26">
        <v>35</v>
      </c>
      <c r="AM82" s="26">
        <f t="shared" si="4"/>
        <v>75</v>
      </c>
      <c r="AN82" s="32">
        <f t="shared" si="5"/>
        <v>36</v>
      </c>
      <c r="AO82" s="32">
        <f t="shared" si="6"/>
        <v>55</v>
      </c>
      <c r="AP82" s="32">
        <v>80</v>
      </c>
      <c r="AQ82" s="33">
        <f t="shared" si="7"/>
        <v>0.9375</v>
      </c>
      <c r="AR82" s="90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  <c r="BH82" s="26"/>
      <c r="BI82" s="26"/>
      <c r="BJ82" s="26"/>
      <c r="BK82" s="26"/>
      <c r="BL82" s="27"/>
      <c r="BM82" s="26"/>
      <c r="BN82" s="26"/>
      <c r="BO82" s="35">
        <f t="shared" si="9"/>
        <v>0</v>
      </c>
      <c r="BP82" s="35">
        <f t="shared" si="10"/>
        <v>0</v>
      </c>
      <c r="BQ82" s="36"/>
      <c r="BR82" s="37">
        <f t="shared" si="12"/>
        <v>-100</v>
      </c>
      <c r="BS82" s="26">
        <v>15</v>
      </c>
      <c r="BT82" s="26">
        <v>15</v>
      </c>
      <c r="BU82" s="26">
        <v>13</v>
      </c>
      <c r="BV82" s="26">
        <v>2</v>
      </c>
      <c r="BW82" s="26">
        <v>20</v>
      </c>
      <c r="BX82" s="26">
        <v>20</v>
      </c>
      <c r="BY82" s="26">
        <v>16</v>
      </c>
      <c r="BZ82" s="26">
        <v>4</v>
      </c>
      <c r="CA82" s="26">
        <v>21</v>
      </c>
      <c r="CB82" s="26"/>
      <c r="CC82" s="26">
        <v>3</v>
      </c>
      <c r="CD82" s="26">
        <v>18</v>
      </c>
      <c r="CE82" s="26">
        <v>18</v>
      </c>
      <c r="CF82" s="26"/>
      <c r="CG82" s="26">
        <v>0</v>
      </c>
      <c r="CH82" s="26">
        <v>18</v>
      </c>
      <c r="CI82" s="26">
        <v>18</v>
      </c>
      <c r="CJ82" s="26">
        <v>1</v>
      </c>
      <c r="CK82" s="26">
        <v>0</v>
      </c>
      <c r="CL82" s="26">
        <v>18</v>
      </c>
      <c r="CM82" s="26"/>
      <c r="CN82" s="26"/>
      <c r="CO82" s="27">
        <v>0</v>
      </c>
      <c r="CP82" s="34">
        <v>131</v>
      </c>
      <c r="CQ82" s="26">
        <f t="shared" si="13"/>
        <v>32</v>
      </c>
      <c r="CR82" s="26">
        <f t="shared" si="14"/>
        <v>36</v>
      </c>
      <c r="CS82" s="26">
        <v>50</v>
      </c>
      <c r="CT82" s="36">
        <f t="shared" si="15"/>
        <v>2.62</v>
      </c>
      <c r="CU82" s="38" t="e">
        <f t="shared" si="16"/>
        <v>#DIV/0!</v>
      </c>
      <c r="CV82" s="26">
        <v>15.0</v>
      </c>
      <c r="CW82" s="26">
        <v>15</v>
      </c>
      <c r="CX82" s="26">
        <v>13</v>
      </c>
      <c r="CY82" s="26">
        <v>2</v>
      </c>
      <c r="CZ82" s="26">
        <v>20.0</v>
      </c>
      <c r="DA82" s="26">
        <v>20</v>
      </c>
      <c r="DB82" s="26">
        <v>17</v>
      </c>
      <c r="DC82" s="26">
        <v>3</v>
      </c>
      <c r="DD82" s="26">
        <v>20.0</v>
      </c>
      <c r="DE82" s="26">
        <v>6</v>
      </c>
      <c r="DF82" s="26">
        <v>4</v>
      </c>
      <c r="DG82" s="26">
        <v>16</v>
      </c>
      <c r="DH82" s="26"/>
      <c r="DI82" s="89">
        <v>0</v>
      </c>
      <c r="DJ82" s="26">
        <v>0</v>
      </c>
      <c r="DK82" s="26"/>
      <c r="DL82" s="26">
        <v>21</v>
      </c>
      <c r="DM82" s="26">
        <v>0</v>
      </c>
      <c r="DN82" s="26">
        <v>0</v>
      </c>
      <c r="DO82" s="26"/>
      <c r="DP82" s="40">
        <v>4</v>
      </c>
      <c r="DQ82" s="87">
        <v>2</v>
      </c>
      <c r="DR82" s="27"/>
      <c r="DS82" s="42">
        <v>103</v>
      </c>
      <c r="DT82" s="43">
        <f t="shared" si="17"/>
        <v>36</v>
      </c>
      <c r="DU82" s="43">
        <f t="shared" si="18"/>
        <v>45</v>
      </c>
      <c r="DV82" s="26">
        <v>50.0</v>
      </c>
      <c r="DW82" s="33">
        <v>2.06</v>
      </c>
      <c r="DX82" s="44">
        <f t="shared" si="20"/>
        <v>-21.374045801526716</v>
      </c>
    </row>
    <row r="83" spans="1:128" ht="15.75" customHeight="1">
      <c r="A83" s="26">
        <v>77</v>
      </c>
      <c r="B83" s="26" t="s">
        <v>514</v>
      </c>
      <c r="C83" s="26" t="s">
        <v>515</v>
      </c>
      <c r="D83" s="27" t="s">
        <v>23</v>
      </c>
      <c r="E83" s="26"/>
      <c r="F83" s="26"/>
      <c r="G83" s="26"/>
      <c r="H83" s="26"/>
      <c r="I83" s="26"/>
      <c r="J83" s="28"/>
      <c r="K83" s="26"/>
      <c r="L83" s="26"/>
      <c r="M83" s="26"/>
      <c r="N83" s="26"/>
      <c r="O83" s="28"/>
      <c r="P83" s="26"/>
      <c r="Q83" s="26"/>
      <c r="R83" s="26"/>
      <c r="S83" s="27"/>
      <c r="T83" s="26">
        <f t="shared" si="0"/>
        <v>0</v>
      </c>
      <c r="U83" s="26">
        <f t="shared" si="1"/>
        <v>0</v>
      </c>
      <c r="V83" s="26">
        <f t="shared" si="2"/>
        <v>0</v>
      </c>
      <c r="W83" s="26"/>
      <c r="X83" s="29" t="e">
        <f t="shared" si="3"/>
        <v>#DIV/0!</v>
      </c>
      <c r="Y83" s="92">
        <v>12</v>
      </c>
      <c r="Z83" s="26">
        <v>15</v>
      </c>
      <c r="AA83" s="26">
        <v>9</v>
      </c>
      <c r="AB83" s="26">
        <v>7</v>
      </c>
      <c r="AC83" s="26">
        <v>8</v>
      </c>
      <c r="AD83" s="93">
        <v>42</v>
      </c>
      <c r="AE83" s="26">
        <v>32</v>
      </c>
      <c r="AF83" s="26">
        <v>33</v>
      </c>
      <c r="AG83" s="26">
        <v>30</v>
      </c>
      <c r="AH83" s="26">
        <v>2</v>
      </c>
      <c r="AI83" s="26">
        <v>22</v>
      </c>
      <c r="AJ83" s="26">
        <v>18</v>
      </c>
      <c r="AK83" s="26">
        <v>18</v>
      </c>
      <c r="AL83" s="26">
        <v>4</v>
      </c>
      <c r="AM83" s="26">
        <f t="shared" si="4"/>
        <v>54</v>
      </c>
      <c r="AN83" s="32">
        <f t="shared" si="5"/>
        <v>55</v>
      </c>
      <c r="AO83" s="32">
        <f t="shared" si="6"/>
        <v>60</v>
      </c>
      <c r="AP83" s="32">
        <v>60</v>
      </c>
      <c r="AQ83" s="33">
        <f t="shared" si="7"/>
        <v>0.9</v>
      </c>
      <c r="AR83" s="90"/>
      <c r="AS83" s="26"/>
      <c r="AT83" s="26"/>
      <c r="AU83" s="26"/>
      <c r="AV83" s="26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26"/>
      <c r="BH83" s="26"/>
      <c r="BI83" s="26"/>
      <c r="BJ83" s="26"/>
      <c r="BK83" s="26"/>
      <c r="BL83" s="27"/>
      <c r="BM83" s="26"/>
      <c r="BN83" s="26"/>
      <c r="BO83" s="35">
        <f t="shared" si="9"/>
        <v>0</v>
      </c>
      <c r="BP83" s="35">
        <f t="shared" si="10"/>
        <v>0</v>
      </c>
      <c r="BQ83" s="36"/>
      <c r="BR83" s="37">
        <f t="shared" si="12"/>
        <v>-100</v>
      </c>
      <c r="BS83" s="26">
        <v>0</v>
      </c>
      <c r="BT83" s="26"/>
      <c r="BU83" s="26"/>
      <c r="BV83" s="26">
        <v>0</v>
      </c>
      <c r="BW83" s="26">
        <v>0</v>
      </c>
      <c r="BX83" s="26">
        <v>0</v>
      </c>
      <c r="BY83" s="26">
        <v>0</v>
      </c>
      <c r="BZ83" s="26">
        <v>0</v>
      </c>
      <c r="CA83" s="26">
        <v>80</v>
      </c>
      <c r="CB83" s="26"/>
      <c r="CC83" s="26">
        <v>48</v>
      </c>
      <c r="CD83" s="26">
        <v>32</v>
      </c>
      <c r="CE83" s="26">
        <v>32</v>
      </c>
      <c r="CF83" s="26"/>
      <c r="CG83" s="26">
        <v>0</v>
      </c>
      <c r="CH83" s="26">
        <v>32</v>
      </c>
      <c r="CI83" s="26">
        <v>32</v>
      </c>
      <c r="CJ83" s="26">
        <v>12</v>
      </c>
      <c r="CK83" s="26">
        <v>7</v>
      </c>
      <c r="CL83" s="26">
        <v>25</v>
      </c>
      <c r="CM83" s="26"/>
      <c r="CN83" s="26"/>
      <c r="CO83" s="27">
        <v>0</v>
      </c>
      <c r="CP83" s="34">
        <v>210</v>
      </c>
      <c r="CQ83" s="26">
        <f t="shared" si="13"/>
        <v>55</v>
      </c>
      <c r="CR83" s="26">
        <f t="shared" si="14"/>
        <v>12</v>
      </c>
      <c r="CS83" s="26">
        <v>80</v>
      </c>
      <c r="CT83" s="36">
        <f t="shared" si="15"/>
        <v>2.625</v>
      </c>
      <c r="CU83" s="38" t="e">
        <f t="shared" si="16"/>
        <v>#DIV/0!</v>
      </c>
      <c r="CV83" s="26">
        <v>24.0</v>
      </c>
      <c r="CW83" s="26">
        <v>18</v>
      </c>
      <c r="CX83" s="26">
        <v>18</v>
      </c>
      <c r="CY83" s="26">
        <v>0</v>
      </c>
      <c r="CZ83" s="26">
        <v>28.0</v>
      </c>
      <c r="DA83" s="26">
        <v>21</v>
      </c>
      <c r="DB83" s="26">
        <v>16</v>
      </c>
      <c r="DC83" s="26">
        <v>5</v>
      </c>
      <c r="DD83" s="26">
        <v>28.0</v>
      </c>
      <c r="DE83" s="26">
        <v>26</v>
      </c>
      <c r="DF83" s="26">
        <v>16</v>
      </c>
      <c r="DG83" s="26">
        <v>69</v>
      </c>
      <c r="DH83" s="26"/>
      <c r="DI83" s="89">
        <v>0</v>
      </c>
      <c r="DJ83" s="26">
        <v>0</v>
      </c>
      <c r="DK83" s="26"/>
      <c r="DL83" s="26">
        <v>74</v>
      </c>
      <c r="DM83" s="26">
        <v>1</v>
      </c>
      <c r="DN83" s="26">
        <v>0</v>
      </c>
      <c r="DO83" s="26"/>
      <c r="DP83" s="40">
        <v>0</v>
      </c>
      <c r="DQ83" s="87">
        <v>0</v>
      </c>
      <c r="DR83" s="27"/>
      <c r="DS83" s="42">
        <v>526</v>
      </c>
      <c r="DT83" s="43">
        <f t="shared" si="17"/>
        <v>50</v>
      </c>
      <c r="DU83" s="43">
        <f t="shared" si="18"/>
        <v>66</v>
      </c>
      <c r="DV83" s="26">
        <v>80.0</v>
      </c>
      <c r="DW83" s="33">
        <v>6.575</v>
      </c>
      <c r="DX83" s="44">
        <f t="shared" si="20"/>
        <v>150.47619047619048</v>
      </c>
    </row>
    <row r="84" spans="1:128" ht="15.75" customHeight="1">
      <c r="A84" s="26">
        <v>78</v>
      </c>
      <c r="B84" s="26" t="s">
        <v>516</v>
      </c>
      <c r="C84" s="26" t="s">
        <v>517</v>
      </c>
      <c r="D84" s="27" t="s">
        <v>23</v>
      </c>
      <c r="E84" s="26"/>
      <c r="F84" s="26"/>
      <c r="G84" s="26"/>
      <c r="H84" s="26"/>
      <c r="I84" s="26"/>
      <c r="J84" s="28"/>
      <c r="K84" s="26"/>
      <c r="L84" s="26"/>
      <c r="M84" s="26"/>
      <c r="N84" s="26"/>
      <c r="O84" s="28"/>
      <c r="P84" s="26"/>
      <c r="Q84" s="26"/>
      <c r="R84" s="26"/>
      <c r="S84" s="27"/>
      <c r="T84" s="26">
        <f t="shared" si="0"/>
        <v>0</v>
      </c>
      <c r="U84" s="26">
        <f t="shared" si="1"/>
        <v>0</v>
      </c>
      <c r="V84" s="26">
        <f t="shared" si="2"/>
        <v>0</v>
      </c>
      <c r="W84" s="26"/>
      <c r="X84" s="29" t="e">
        <f t="shared" si="3"/>
        <v>#DIV/0!</v>
      </c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>
        <f t="shared" si="4"/>
        <v>0</v>
      </c>
      <c r="AN84" s="32">
        <f t="shared" si="5"/>
        <v>0</v>
      </c>
      <c r="AO84" s="32">
        <f t="shared" si="6"/>
        <v>0</v>
      </c>
      <c r="AP84" s="32"/>
      <c r="AQ84" s="33" t="e">
        <f t="shared" si="7"/>
        <v>#DIV/0!</v>
      </c>
      <c r="AR84" s="90"/>
      <c r="AS84" s="26"/>
      <c r="AT84" s="26"/>
      <c r="AU84" s="26"/>
      <c r="AV84" s="26"/>
      <c r="AW84" s="26"/>
      <c r="AX84" s="26"/>
      <c r="AY84" s="26"/>
      <c r="AZ84" s="26"/>
      <c r="BA84" s="26"/>
      <c r="BB84" s="26"/>
      <c r="BC84" s="26"/>
      <c r="BD84" s="26"/>
      <c r="BE84" s="26"/>
      <c r="BF84" s="26"/>
      <c r="BG84" s="26"/>
      <c r="BH84" s="26"/>
      <c r="BI84" s="26"/>
      <c r="BJ84" s="26"/>
      <c r="BK84" s="26"/>
      <c r="BL84" s="27"/>
      <c r="BM84" s="26"/>
      <c r="BN84" s="26"/>
      <c r="BO84" s="35">
        <f t="shared" si="9"/>
        <v>0</v>
      </c>
      <c r="BP84" s="35">
        <f t="shared" si="10"/>
        <v>0</v>
      </c>
      <c r="BQ84" s="36"/>
      <c r="BR84" s="37"/>
      <c r="BS84" s="26">
        <v>0</v>
      </c>
      <c r="BT84" s="26"/>
      <c r="BU84" s="26"/>
      <c r="BV84" s="26">
        <v>0</v>
      </c>
      <c r="BW84" s="26">
        <v>0</v>
      </c>
      <c r="BX84" s="26">
        <v>0</v>
      </c>
      <c r="BY84" s="26">
        <v>0</v>
      </c>
      <c r="BZ84" s="26">
        <v>0</v>
      </c>
      <c r="CA84" s="26">
        <v>80</v>
      </c>
      <c r="CB84" s="26"/>
      <c r="CC84" s="26">
        <v>42</v>
      </c>
      <c r="CD84" s="26">
        <v>38</v>
      </c>
      <c r="CE84" s="26">
        <v>38</v>
      </c>
      <c r="CF84" s="26"/>
      <c r="CG84" s="26">
        <v>0</v>
      </c>
      <c r="CH84" s="26">
        <v>38</v>
      </c>
      <c r="CI84" s="26">
        <v>38</v>
      </c>
      <c r="CJ84" s="26">
        <v>10</v>
      </c>
      <c r="CK84" s="26">
        <v>9</v>
      </c>
      <c r="CL84" s="26">
        <v>29</v>
      </c>
      <c r="CM84" s="26"/>
      <c r="CN84" s="26"/>
      <c r="CO84" s="27">
        <v>0</v>
      </c>
      <c r="CP84" s="34">
        <v>112</v>
      </c>
      <c r="CQ84" s="26">
        <f t="shared" si="13"/>
        <v>51</v>
      </c>
      <c r="CR84" s="26">
        <f t="shared" si="14"/>
        <v>10</v>
      </c>
      <c r="CS84" s="26">
        <v>80</v>
      </c>
      <c r="CT84" s="36">
        <f t="shared" si="15"/>
        <v>1.4</v>
      </c>
      <c r="CU84" s="38" t="e">
        <f t="shared" si="16"/>
        <v>#DIV/0!</v>
      </c>
      <c r="CV84" s="26">
        <v>24.0</v>
      </c>
      <c r="CW84" s="26">
        <v>18</v>
      </c>
      <c r="CX84" s="26">
        <v>18</v>
      </c>
      <c r="CY84" s="26">
        <v>0</v>
      </c>
      <c r="CZ84" s="26">
        <v>28.0</v>
      </c>
      <c r="DA84" s="26">
        <v>21</v>
      </c>
      <c r="DB84" s="26">
        <v>19</v>
      </c>
      <c r="DC84" s="26">
        <v>2</v>
      </c>
      <c r="DD84" s="26">
        <v>28.0</v>
      </c>
      <c r="DE84" s="26">
        <v>16</v>
      </c>
      <c r="DF84" s="26">
        <v>15</v>
      </c>
      <c r="DG84" s="26">
        <v>67</v>
      </c>
      <c r="DH84" s="26"/>
      <c r="DI84" s="89">
        <v>0</v>
      </c>
      <c r="DJ84" s="26">
        <v>0</v>
      </c>
      <c r="DK84" s="26"/>
      <c r="DL84" s="26">
        <v>69</v>
      </c>
      <c r="DM84" s="26">
        <v>0</v>
      </c>
      <c r="DN84" s="26">
        <v>0</v>
      </c>
      <c r="DO84" s="26"/>
      <c r="DP84" s="40">
        <v>0</v>
      </c>
      <c r="DQ84" s="87">
        <v>0</v>
      </c>
      <c r="DR84" s="27"/>
      <c r="DS84" s="42">
        <v>122</v>
      </c>
      <c r="DT84" s="43">
        <f t="shared" si="17"/>
        <v>52</v>
      </c>
      <c r="DU84" s="43">
        <f t="shared" si="18"/>
        <v>55</v>
      </c>
      <c r="DV84" s="26">
        <v>80.0</v>
      </c>
      <c r="DW84" s="33">
        <v>1.525</v>
      </c>
      <c r="DX84" s="44">
        <f t="shared" si="20"/>
        <v>8.9285714285714288</v>
      </c>
    </row>
    <row r="85" spans="1:128" ht="15.75" customHeight="1">
      <c r="A85" s="26">
        <v>79</v>
      </c>
      <c r="B85" s="26" t="s">
        <v>518</v>
      </c>
      <c r="C85" s="26" t="s">
        <v>519</v>
      </c>
      <c r="D85" s="27" t="s">
        <v>23</v>
      </c>
      <c r="E85" s="26"/>
      <c r="F85" s="26"/>
      <c r="G85" s="26"/>
      <c r="H85" s="26"/>
      <c r="I85" s="26"/>
      <c r="J85" s="28"/>
      <c r="K85" s="26"/>
      <c r="L85" s="26"/>
      <c r="M85" s="26"/>
      <c r="N85" s="26"/>
      <c r="O85" s="28"/>
      <c r="P85" s="26"/>
      <c r="Q85" s="26"/>
      <c r="R85" s="26"/>
      <c r="S85" s="27"/>
      <c r="T85" s="26">
        <f t="shared" si="0"/>
        <v>0</v>
      </c>
      <c r="U85" s="26">
        <f t="shared" si="1"/>
        <v>0</v>
      </c>
      <c r="V85" s="26">
        <f t="shared" si="2"/>
        <v>0</v>
      </c>
      <c r="W85" s="26"/>
      <c r="X85" s="29" t="e">
        <f t="shared" si="3"/>
        <v>#DIV/0!</v>
      </c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>
        <f t="shared" si="4"/>
        <v>0</v>
      </c>
      <c r="AN85" s="32">
        <f t="shared" si="5"/>
        <v>0</v>
      </c>
      <c r="AO85" s="32">
        <f t="shared" si="6"/>
        <v>0</v>
      </c>
      <c r="AP85" s="32"/>
      <c r="AQ85" s="33" t="e">
        <f t="shared" si="7"/>
        <v>#DIV/0!</v>
      </c>
      <c r="AR85" s="90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  <c r="BH85" s="26"/>
      <c r="BI85" s="26"/>
      <c r="BJ85" s="26"/>
      <c r="BK85" s="26"/>
      <c r="BL85" s="27"/>
      <c r="BM85" s="26"/>
      <c r="BN85" s="26"/>
      <c r="BO85" s="35">
        <f t="shared" si="9"/>
        <v>0</v>
      </c>
      <c r="BP85" s="35">
        <f t="shared" si="10"/>
        <v>0</v>
      </c>
      <c r="BQ85" s="36"/>
      <c r="BR85" s="37"/>
      <c r="BS85" s="26">
        <v>0</v>
      </c>
      <c r="BT85" s="26"/>
      <c r="BU85" s="26"/>
      <c r="BV85" s="26">
        <v>0</v>
      </c>
      <c r="BW85" s="26">
        <v>0</v>
      </c>
      <c r="BX85" s="26">
        <v>0</v>
      </c>
      <c r="BY85" s="26">
        <v>0</v>
      </c>
      <c r="BZ85" s="26">
        <v>0</v>
      </c>
      <c r="CA85" s="26">
        <v>80</v>
      </c>
      <c r="CB85" s="26"/>
      <c r="CC85" s="26">
        <v>67</v>
      </c>
      <c r="CD85" s="26">
        <v>13</v>
      </c>
      <c r="CE85" s="26">
        <v>13</v>
      </c>
      <c r="CF85" s="26"/>
      <c r="CG85" s="26">
        <v>0</v>
      </c>
      <c r="CH85" s="26">
        <v>13</v>
      </c>
      <c r="CI85" s="26">
        <v>13</v>
      </c>
      <c r="CJ85" s="26">
        <v>7</v>
      </c>
      <c r="CK85" s="26">
        <v>5</v>
      </c>
      <c r="CL85" s="26">
        <v>8</v>
      </c>
      <c r="CM85" s="26"/>
      <c r="CN85" s="26"/>
      <c r="CO85" s="27">
        <v>0</v>
      </c>
      <c r="CP85" s="34">
        <v>131</v>
      </c>
      <c r="CQ85" s="26">
        <f t="shared" si="13"/>
        <v>72</v>
      </c>
      <c r="CR85" s="26">
        <f t="shared" si="14"/>
        <v>7</v>
      </c>
      <c r="CS85" s="26">
        <v>80</v>
      </c>
      <c r="CT85" s="36">
        <f t="shared" si="15"/>
        <v>1.6375</v>
      </c>
      <c r="CU85" s="38" t="e">
        <f t="shared" si="16"/>
        <v>#DIV/0!</v>
      </c>
      <c r="CV85" s="26">
        <v>24.0</v>
      </c>
      <c r="CW85" s="26">
        <v>24</v>
      </c>
      <c r="CX85" s="26">
        <v>23</v>
      </c>
      <c r="CY85" s="26">
        <v>1</v>
      </c>
      <c r="CZ85" s="26">
        <v>28.0</v>
      </c>
      <c r="DA85" s="26">
        <v>29</v>
      </c>
      <c r="DB85" s="26">
        <v>26</v>
      </c>
      <c r="DC85" s="26">
        <v>3</v>
      </c>
      <c r="DD85" s="26">
        <v>28.0</v>
      </c>
      <c r="DE85" s="26">
        <v>31</v>
      </c>
      <c r="DF85" s="26">
        <v>27</v>
      </c>
      <c r="DG85" s="26">
        <v>56</v>
      </c>
      <c r="DH85" s="26"/>
      <c r="DI85" s="89">
        <v>0</v>
      </c>
      <c r="DJ85" s="26">
        <v>0</v>
      </c>
      <c r="DK85" s="26"/>
      <c r="DL85" s="26">
        <v>60</v>
      </c>
      <c r="DM85" s="26">
        <v>6</v>
      </c>
      <c r="DN85" s="26">
        <v>2</v>
      </c>
      <c r="DO85" s="26"/>
      <c r="DP85" s="40">
        <v>0</v>
      </c>
      <c r="DQ85" s="87">
        <v>0</v>
      </c>
      <c r="DR85" s="27"/>
      <c r="DS85" s="42">
        <v>1023</v>
      </c>
      <c r="DT85" s="43">
        <f t="shared" si="17"/>
        <v>78</v>
      </c>
      <c r="DU85" s="43">
        <f t="shared" si="18"/>
        <v>90</v>
      </c>
      <c r="DV85" s="26">
        <v>80.0</v>
      </c>
      <c r="DW85" s="33">
        <v>12.7875</v>
      </c>
      <c r="DX85" s="44">
        <f t="shared" si="20"/>
        <v>680.91603053435119</v>
      </c>
    </row>
    <row r="86" spans="1:128" ht="15.75" customHeight="1">
      <c r="A86" s="26">
        <v>80</v>
      </c>
      <c r="B86" s="26"/>
      <c r="C86" s="26" t="s">
        <v>520</v>
      </c>
      <c r="D86" s="27" t="s">
        <v>23</v>
      </c>
      <c r="E86" s="26"/>
      <c r="F86" s="26"/>
      <c r="G86" s="26"/>
      <c r="H86" s="26"/>
      <c r="I86" s="26"/>
      <c r="J86" s="28"/>
      <c r="K86" s="26"/>
      <c r="L86" s="26"/>
      <c r="M86" s="26"/>
      <c r="N86" s="26"/>
      <c r="O86" s="28"/>
      <c r="P86" s="26"/>
      <c r="Q86" s="26"/>
      <c r="R86" s="26"/>
      <c r="S86" s="27"/>
      <c r="T86" s="26">
        <f t="shared" si="0"/>
        <v>0</v>
      </c>
      <c r="U86" s="26">
        <f t="shared" si="1"/>
        <v>0</v>
      </c>
      <c r="V86" s="26">
        <f t="shared" si="2"/>
        <v>0</v>
      </c>
      <c r="W86" s="26"/>
      <c r="X86" s="29" t="e">
        <f t="shared" si="3"/>
        <v>#DIV/0!</v>
      </c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>
        <f t="shared" si="4"/>
        <v>0</v>
      </c>
      <c r="AN86" s="32">
        <f t="shared" si="5"/>
        <v>0</v>
      </c>
      <c r="AO86" s="32">
        <f t="shared" si="6"/>
        <v>0</v>
      </c>
      <c r="AP86" s="32"/>
      <c r="AQ86" s="33" t="e">
        <f t="shared" si="7"/>
        <v>#DIV/0!</v>
      </c>
      <c r="AR86" s="90"/>
      <c r="AS86" s="26"/>
      <c r="AT86" s="26"/>
      <c r="AU86" s="26"/>
      <c r="AV86" s="26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26"/>
      <c r="BH86" s="26"/>
      <c r="BI86" s="26"/>
      <c r="BJ86" s="26"/>
      <c r="BK86" s="26"/>
      <c r="BL86" s="27"/>
      <c r="BM86" s="26"/>
      <c r="BN86" s="26"/>
      <c r="BO86" s="35">
        <f t="shared" si="9"/>
        <v>0</v>
      </c>
      <c r="BP86" s="35">
        <f t="shared" si="10"/>
        <v>0</v>
      </c>
      <c r="BQ86" s="36"/>
      <c r="BR86" s="37"/>
      <c r="BS86" s="26"/>
      <c r="BT86" s="26"/>
      <c r="BU86" s="26"/>
      <c r="BV86" s="26"/>
      <c r="BW86" s="26"/>
      <c r="BX86" s="26"/>
      <c r="BY86" s="26"/>
      <c r="BZ86" s="26"/>
      <c r="CA86" s="26"/>
      <c r="CB86" s="26"/>
      <c r="CC86" s="26">
        <v>0</v>
      </c>
      <c r="CD86" s="26">
        <v>0</v>
      </c>
      <c r="CE86" s="26">
        <v>0</v>
      </c>
      <c r="CF86" s="26"/>
      <c r="CG86" s="26"/>
      <c r="CH86" s="26">
        <v>0</v>
      </c>
      <c r="CI86" s="26">
        <v>0</v>
      </c>
      <c r="CJ86" s="26">
        <v>0</v>
      </c>
      <c r="CK86" s="26">
        <v>0</v>
      </c>
      <c r="CL86" s="26">
        <v>0</v>
      </c>
      <c r="CM86" s="26"/>
      <c r="CN86" s="26"/>
      <c r="CO86" s="27">
        <v>0</v>
      </c>
      <c r="CP86" s="34">
        <v>143</v>
      </c>
      <c r="CQ86" s="26">
        <f t="shared" si="13"/>
        <v>0</v>
      </c>
      <c r="CR86" s="26">
        <f t="shared" si="14"/>
        <v>0</v>
      </c>
      <c r="CS86" s="26">
        <v>80</v>
      </c>
      <c r="CT86" s="36">
        <f t="shared" si="15"/>
        <v>1.7875000000000001</v>
      </c>
      <c r="CU86" s="38" t="e">
        <f t="shared" si="16"/>
        <v>#DIV/0!</v>
      </c>
      <c r="CV86" s="26">
        <v>36.0</v>
      </c>
      <c r="CW86" s="26">
        <v>18</v>
      </c>
      <c r="CX86" s="26">
        <v>18</v>
      </c>
      <c r="CY86" s="26">
        <v>0</v>
      </c>
      <c r="CZ86" s="26">
        <v>42.0</v>
      </c>
      <c r="DA86" s="26">
        <v>21</v>
      </c>
      <c r="DB86" s="26">
        <v>19</v>
      </c>
      <c r="DC86" s="26">
        <v>2</v>
      </c>
      <c r="DD86" s="26">
        <v>42.0</v>
      </c>
      <c r="DE86" s="26">
        <v>23</v>
      </c>
      <c r="DF86" s="26">
        <v>11</v>
      </c>
      <c r="DG86" s="26">
        <v>12</v>
      </c>
      <c r="DH86" s="26"/>
      <c r="DI86" s="89">
        <v>0</v>
      </c>
      <c r="DJ86" s="26">
        <v>0</v>
      </c>
      <c r="DK86" s="26"/>
      <c r="DL86" s="26">
        <v>14</v>
      </c>
      <c r="DM86" s="26">
        <v>4</v>
      </c>
      <c r="DN86" s="26">
        <v>4</v>
      </c>
      <c r="DO86" s="26"/>
      <c r="DP86" s="40">
        <v>0</v>
      </c>
      <c r="DQ86" s="87">
        <v>0</v>
      </c>
      <c r="DR86" s="27"/>
      <c r="DS86" s="42">
        <v>930</v>
      </c>
      <c r="DT86" s="43">
        <f t="shared" si="17"/>
        <v>52</v>
      </c>
      <c r="DU86" s="43">
        <f t="shared" si="18"/>
        <v>66</v>
      </c>
      <c r="DV86" s="26">
        <v>120.0</v>
      </c>
      <c r="DW86" s="33">
        <v>7.75</v>
      </c>
      <c r="DX86" s="44">
        <f t="shared" si="20"/>
        <v>550.34965034965035</v>
      </c>
    </row>
    <row r="87" spans="1:128" ht="15.75" customHeight="1" thickBot="1">
      <c r="A87" s="94">
        <v>81</v>
      </c>
      <c r="B87" s="94"/>
      <c r="C87" s="94" t="s">
        <v>521</v>
      </c>
      <c r="D87" s="95" t="s">
        <v>23</v>
      </c>
      <c r="E87" s="96"/>
      <c r="F87" s="96"/>
      <c r="G87" s="96"/>
      <c r="H87" s="96"/>
      <c r="I87" s="96"/>
      <c r="J87" s="97"/>
      <c r="K87" s="96"/>
      <c r="L87" s="96"/>
      <c r="M87" s="96"/>
      <c r="N87" s="96"/>
      <c r="O87" s="97"/>
      <c r="P87" s="96"/>
      <c r="Q87" s="96"/>
      <c r="R87" s="96"/>
      <c r="S87" s="98"/>
      <c r="T87" s="96">
        <f t="shared" si="0"/>
        <v>0</v>
      </c>
      <c r="U87" s="26">
        <f t="shared" si="1"/>
        <v>0</v>
      </c>
      <c r="V87" s="26">
        <f t="shared" si="2"/>
        <v>0</v>
      </c>
      <c r="W87" s="96"/>
      <c r="X87" s="99" t="e">
        <f t="shared" si="3"/>
        <v>#DIV/0!</v>
      </c>
      <c r="Y87" s="94"/>
      <c r="Z87" s="94"/>
      <c r="AA87" s="94"/>
      <c r="AB87" s="94"/>
      <c r="AC87" s="94"/>
      <c r="AD87" s="94"/>
      <c r="AE87" s="94"/>
      <c r="AF87" s="94"/>
      <c r="AG87" s="94"/>
      <c r="AH87" s="94"/>
      <c r="AI87" s="94"/>
      <c r="AJ87" s="94"/>
      <c r="AK87" s="94"/>
      <c r="AL87" s="94"/>
      <c r="AM87" s="94">
        <f t="shared" si="4"/>
        <v>0</v>
      </c>
      <c r="AN87" s="32">
        <f t="shared" si="5"/>
        <v>0</v>
      </c>
      <c r="AO87" s="32">
        <f t="shared" si="6"/>
        <v>0</v>
      </c>
      <c r="AP87" s="100"/>
      <c r="AQ87" s="33" t="e">
        <f t="shared" si="7"/>
        <v>#DIV/0!</v>
      </c>
      <c r="AR87" s="101"/>
      <c r="AS87" s="96"/>
      <c r="AT87" s="96"/>
      <c r="AU87" s="96"/>
      <c r="AV87" s="96"/>
      <c r="AW87" s="96"/>
      <c r="AX87" s="96"/>
      <c r="AY87" s="96"/>
      <c r="AZ87" s="96"/>
      <c r="BA87" s="96"/>
      <c r="BB87" s="96"/>
      <c r="BC87" s="96"/>
      <c r="BD87" s="96"/>
      <c r="BE87" s="96"/>
      <c r="BF87" s="96"/>
      <c r="BG87" s="96"/>
      <c r="BH87" s="96"/>
      <c r="BI87" s="96"/>
      <c r="BJ87" s="96"/>
      <c r="BK87" s="96"/>
      <c r="BL87" s="96"/>
      <c r="BM87" s="102"/>
      <c r="BN87" s="96"/>
      <c r="BO87" s="35">
        <f t="shared" si="9"/>
        <v>0</v>
      </c>
      <c r="BP87" s="35">
        <f t="shared" si="10"/>
        <v>0</v>
      </c>
      <c r="BQ87" s="103"/>
      <c r="BR87" s="104"/>
      <c r="BS87" s="96"/>
      <c r="BT87" s="96"/>
      <c r="BU87" s="96"/>
      <c r="BV87" s="96"/>
      <c r="BW87" s="96"/>
      <c r="BX87" s="96"/>
      <c r="BY87" s="96"/>
      <c r="BZ87" s="96"/>
      <c r="CA87" s="96"/>
      <c r="CB87" s="96"/>
      <c r="CC87" s="96"/>
      <c r="CD87" s="96"/>
      <c r="CE87" s="96"/>
      <c r="CF87" s="96"/>
      <c r="CG87" s="96"/>
      <c r="CH87" s="96"/>
      <c r="CI87" s="96"/>
      <c r="CJ87" s="96"/>
      <c r="CK87" s="96"/>
      <c r="CL87" s="96">
        <v>0</v>
      </c>
      <c r="CM87" s="96"/>
      <c r="CN87" s="96"/>
      <c r="CO87" s="98"/>
      <c r="CP87" s="96"/>
      <c r="CQ87" s="26">
        <f t="shared" si="13"/>
        <v>0</v>
      </c>
      <c r="CR87" s="26">
        <f t="shared" si="14"/>
        <v>0</v>
      </c>
      <c r="CS87" s="96"/>
      <c r="CT87" s="36" t="e">
        <f t="shared" si="15"/>
        <v>#DIV/0!</v>
      </c>
      <c r="CU87" s="105" t="e">
        <f t="shared" si="16"/>
        <v>#DIV/0!</v>
      </c>
      <c r="CV87" s="96">
        <v>0.0</v>
      </c>
      <c r="CW87" s="96"/>
      <c r="CX87" s="96">
        <v>0</v>
      </c>
      <c r="CY87" s="96"/>
      <c r="CZ87" s="96"/>
      <c r="DA87" s="96"/>
      <c r="DB87" s="96">
        <v>0</v>
      </c>
      <c r="DC87" s="96">
        <v>0</v>
      </c>
      <c r="DD87" s="96">
        <v>80.0</v>
      </c>
      <c r="DE87" s="96">
        <v>80</v>
      </c>
      <c r="DF87" s="96">
        <v>68</v>
      </c>
      <c r="DG87" s="96">
        <v>12</v>
      </c>
      <c r="DH87" s="96"/>
      <c r="DI87" s="106">
        <v>0</v>
      </c>
      <c r="DJ87" s="96">
        <v>0</v>
      </c>
      <c r="DK87" s="96"/>
      <c r="DL87" s="96">
        <v>12</v>
      </c>
      <c r="DM87" s="96">
        <v>7</v>
      </c>
      <c r="DN87" s="96">
        <v>5</v>
      </c>
      <c r="DO87" s="96"/>
      <c r="DP87" s="40">
        <v>0</v>
      </c>
      <c r="DQ87" s="87">
        <v>0</v>
      </c>
      <c r="DR87" s="27"/>
      <c r="DS87" s="107">
        <v>188</v>
      </c>
      <c r="DT87" s="43">
        <f t="shared" si="17"/>
        <v>73</v>
      </c>
      <c r="DU87" s="43">
        <f t="shared" si="18"/>
        <v>87</v>
      </c>
      <c r="DV87" s="96">
        <v>80.0</v>
      </c>
      <c r="DW87" s="33">
        <v>2.35</v>
      </c>
      <c r="DX87" s="108" t="e">
        <f t="shared" si="20"/>
        <v>#DIV/0!</v>
      </c>
    </row>
    <row r="88" spans="1:128" ht="15.75" customHeight="1" thickBot="1">
      <c r="A88" s="109" t="s">
        <v>522</v>
      </c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1">
        <f t="shared" si="0"/>
        <v>0</v>
      </c>
      <c r="U88" s="26">
        <f t="shared" si="1"/>
        <v>0</v>
      </c>
      <c r="V88" s="26">
        <f t="shared" si="2"/>
        <v>0</v>
      </c>
      <c r="W88" s="102"/>
      <c r="X88" s="112"/>
      <c r="Y88" s="110"/>
      <c r="Z88" s="110"/>
      <c r="AA88" s="110"/>
      <c r="AB88" s="110"/>
      <c r="AC88" s="110"/>
      <c r="AD88" s="110"/>
      <c r="AE88" s="110"/>
      <c r="AF88" s="110"/>
      <c r="AG88" s="110"/>
      <c r="AH88" s="110"/>
      <c r="AI88" s="110"/>
      <c r="AJ88" s="110"/>
      <c r="AK88" s="110"/>
      <c r="AL88" s="110"/>
      <c r="AM88" s="110">
        <f t="shared" si="4"/>
        <v>0</v>
      </c>
      <c r="AN88" s="32">
        <f t="shared" si="5"/>
        <v>0</v>
      </c>
      <c r="AO88" s="32">
        <f t="shared" si="6"/>
        <v>0</v>
      </c>
      <c r="AP88" s="113"/>
      <c r="AQ88" s="33" t="e">
        <f t="shared" si="7"/>
        <v>#DIV/0!</v>
      </c>
      <c r="AR88" s="114"/>
      <c r="AS88" s="110"/>
      <c r="AT88" s="110"/>
      <c r="AU88" s="110"/>
      <c r="AV88" s="110"/>
      <c r="AW88" s="110"/>
      <c r="AX88" s="110"/>
      <c r="AY88" s="110"/>
      <c r="AZ88" s="110"/>
      <c r="BA88" s="110"/>
      <c r="BB88" s="110"/>
      <c r="BC88" s="110"/>
      <c r="BD88" s="110"/>
      <c r="BE88" s="110"/>
      <c r="BF88" s="110"/>
      <c r="BG88" s="110"/>
      <c r="BH88" s="110"/>
      <c r="BI88" s="110"/>
      <c r="BJ88" s="110"/>
      <c r="BK88" s="110"/>
      <c r="BL88" s="110"/>
      <c r="BM88" s="115"/>
      <c r="BN88" s="110"/>
      <c r="BO88" s="35">
        <f t="shared" si="9"/>
        <v>0</v>
      </c>
      <c r="BP88" s="35">
        <f t="shared" si="10"/>
        <v>0</v>
      </c>
      <c r="BQ88" s="116"/>
      <c r="BR88" s="117"/>
      <c r="BS88" s="110"/>
      <c r="BT88" s="110"/>
      <c r="BU88" s="110"/>
      <c r="BV88" s="110"/>
      <c r="BW88" s="110"/>
      <c r="BX88" s="110"/>
      <c r="BY88" s="110"/>
      <c r="BZ88" s="110"/>
      <c r="CA88" s="110"/>
      <c r="CB88" s="110"/>
      <c r="CC88" s="110"/>
      <c r="CD88" s="110"/>
      <c r="CE88" s="110"/>
      <c r="CF88" s="110"/>
      <c r="CG88" s="110"/>
      <c r="CH88" s="110"/>
      <c r="CI88" s="110"/>
      <c r="CJ88" s="110"/>
      <c r="CK88" s="110"/>
      <c r="CL88" s="110"/>
      <c r="CM88" s="110"/>
      <c r="CN88" s="110"/>
      <c r="CO88" s="115"/>
      <c r="CP88" s="113"/>
      <c r="CQ88" s="26"/>
      <c r="CR88" s="26"/>
      <c r="CS88" s="118"/>
      <c r="CT88" s="36" t="e">
        <f t="shared" si="15"/>
        <v>#DIV/0!</v>
      </c>
      <c r="CU88" s="119" t="e">
        <f t="shared" si="16"/>
        <v>#DIV/0!</v>
      </c>
      <c r="CV88" s="102"/>
      <c r="CW88" s="102"/>
      <c r="CX88" s="102"/>
      <c r="CY88" s="102"/>
      <c r="CZ88" s="102"/>
      <c r="DA88" s="102"/>
      <c r="DB88" s="102"/>
      <c r="DC88" s="102"/>
      <c r="DD88" s="102"/>
      <c r="DE88" s="102"/>
      <c r="DF88" s="102"/>
      <c r="DG88" s="102"/>
      <c r="DH88" s="102"/>
      <c r="DI88" s="102"/>
      <c r="DJ88" s="102"/>
      <c r="DK88" s="102"/>
      <c r="DL88" s="102"/>
      <c r="DM88" s="102"/>
      <c r="DN88" s="102"/>
      <c r="DO88" s="102"/>
      <c r="DP88" s="102"/>
      <c r="DQ88" s="102"/>
      <c r="DR88" s="27"/>
      <c r="DS88" s="113"/>
      <c r="DT88" s="112"/>
      <c r="DU88" s="26"/>
      <c r="DV88" s="102"/>
      <c r="DW88" s="120"/>
      <c r="DX88" s="114"/>
    </row>
    <row r="89" spans="1:128" ht="15.75" customHeight="1">
      <c r="BQ89" s="8"/>
      <c r="BR89" s="8"/>
      <c r="CT89" s="8"/>
      <c r="CU89" s="8"/>
    </row>
    <row r="90" spans="1:128" ht="15.75" customHeight="1">
      <c r="BQ90" s="8"/>
      <c r="BR90" s="8"/>
      <c r="CT90" s="8"/>
      <c r="CU90" s="8"/>
    </row>
    <row r="91" spans="1:128" ht="15.75" customHeight="1">
      <c r="BQ91" s="8"/>
      <c r="BR91" s="8"/>
      <c r="CT91" s="8"/>
      <c r="CU91" s="8"/>
    </row>
    <row r="92" spans="1:128" ht="15.75" customHeight="1">
      <c r="BQ92" s="8"/>
      <c r="BR92" s="8"/>
      <c r="CT92" s="8"/>
      <c r="CU92" s="8"/>
    </row>
    <row r="93" spans="1:128" ht="15.75" customHeight="1">
      <c r="BQ93" s="8"/>
      <c r="BR93" s="8"/>
      <c r="CT93" s="8"/>
      <c r="CU93" s="8"/>
    </row>
    <row r="94" spans="1:128" ht="15.75" customHeight="1">
      <c r="BQ94" s="8"/>
      <c r="BR94" s="8"/>
      <c r="CT94" s="8"/>
      <c r="CU94" s="8"/>
    </row>
    <row r="95" spans="1:128" ht="15.75" customHeight="1">
      <c r="BQ95" s="8"/>
      <c r="BR95" s="8"/>
      <c r="CT95" s="8"/>
      <c r="CU95" s="8"/>
    </row>
    <row r="96" spans="1:128" ht="15.75" customHeight="1">
      <c r="BQ96" s="8"/>
      <c r="BR96" s="8"/>
      <c r="CT96" s="8"/>
      <c r="CU96" s="8"/>
    </row>
    <row r="97" spans="69:99" ht="15.75" customHeight="1">
      <c r="BQ97" s="8"/>
      <c r="BR97" s="8"/>
      <c r="CT97" s="8"/>
      <c r="CU97" s="8"/>
    </row>
    <row r="98" spans="69:99" ht="15.75" customHeight="1">
      <c r="BQ98" s="8"/>
      <c r="BR98" s="8"/>
      <c r="CT98" s="8"/>
      <c r="CU98" s="8"/>
    </row>
    <row r="99" spans="69:99" ht="15.75" customHeight="1">
      <c r="BQ99" s="8"/>
      <c r="BR99" s="8"/>
      <c r="CT99" s="8"/>
      <c r="CU99" s="8"/>
    </row>
    <row r="100" spans="69:99" ht="15.75" customHeight="1">
      <c r="BQ100" s="8"/>
      <c r="BR100" s="8"/>
      <c r="CT100" s="8"/>
      <c r="CU100" s="8"/>
    </row>
    <row r="101" spans="69:99" ht="15.75" customHeight="1">
      <c r="BQ101" s="8"/>
      <c r="BR101" s="8"/>
      <c r="CT101" s="8"/>
      <c r="CU101" s="8"/>
    </row>
    <row r="102" spans="69:99" ht="15.75" customHeight="1">
      <c r="BQ102" s="8"/>
      <c r="BR102" s="8"/>
      <c r="CT102" s="8"/>
      <c r="CU102" s="8"/>
    </row>
    <row r="103" spans="69:99" ht="15.75" customHeight="1">
      <c r="BQ103" s="8"/>
      <c r="BR103" s="8"/>
      <c r="CT103" s="8"/>
      <c r="CU103" s="8"/>
    </row>
    <row r="104" spans="69:99" ht="15.75" customHeight="1">
      <c r="BQ104" s="8"/>
      <c r="BR104" s="8"/>
      <c r="CT104" s="8"/>
      <c r="CU104" s="8"/>
    </row>
    <row r="105" spans="69:99" ht="15.75" customHeight="1">
      <c r="BQ105" s="8"/>
      <c r="BR105" s="8"/>
      <c r="CT105" s="8"/>
      <c r="CU105" s="8"/>
    </row>
    <row r="106" spans="69:99" ht="15.75" customHeight="1">
      <c r="BQ106" s="8"/>
      <c r="BR106" s="8"/>
      <c r="CT106" s="8"/>
      <c r="CU106" s="8"/>
    </row>
    <row r="107" spans="69:99" ht="15.75" customHeight="1">
      <c r="BQ107" s="8"/>
      <c r="BR107" s="8"/>
      <c r="CT107" s="8"/>
      <c r="CU107" s="8"/>
    </row>
    <row r="108" spans="69:99" ht="15.75" customHeight="1">
      <c r="BQ108" s="8"/>
      <c r="BR108" s="8"/>
      <c r="CT108" s="8"/>
      <c r="CU108" s="8"/>
    </row>
    <row r="109" spans="69:99" ht="15.75" customHeight="1">
      <c r="BQ109" s="8"/>
      <c r="BR109" s="8"/>
      <c r="CT109" s="8"/>
      <c r="CU109" s="8"/>
    </row>
    <row r="110" spans="69:99" ht="15.75" customHeight="1">
      <c r="BQ110" s="8"/>
      <c r="BR110" s="8"/>
      <c r="CT110" s="8"/>
      <c r="CU110" s="8"/>
    </row>
    <row r="111" spans="69:99" ht="15.75" customHeight="1">
      <c r="BQ111" s="8"/>
      <c r="BR111" s="8"/>
      <c r="CT111" s="8"/>
      <c r="CU111" s="8"/>
    </row>
    <row r="112" spans="69:99" ht="15.75" customHeight="1">
      <c r="BQ112" s="8"/>
      <c r="BR112" s="8"/>
      <c r="CT112" s="8"/>
      <c r="CU112" s="8"/>
    </row>
    <row r="113" spans="69:99" ht="15.75" customHeight="1">
      <c r="BQ113" s="8"/>
      <c r="BR113" s="8"/>
      <c r="CT113" s="8"/>
      <c r="CU113" s="8"/>
    </row>
    <row r="114" spans="69:99" ht="15.75" customHeight="1">
      <c r="BQ114" s="8"/>
      <c r="BR114" s="8"/>
      <c r="CT114" s="8"/>
      <c r="CU114" s="8"/>
    </row>
    <row r="115" spans="69:99" ht="15.75" customHeight="1">
      <c r="BQ115" s="8"/>
      <c r="BR115" s="8"/>
      <c r="CT115" s="8"/>
      <c r="CU115" s="8"/>
    </row>
    <row r="116" spans="69:99" ht="15.75" customHeight="1">
      <c r="BQ116" s="8"/>
      <c r="BR116" s="8"/>
      <c r="CT116" s="8"/>
      <c r="CU116" s="8"/>
    </row>
    <row r="117" spans="69:99" ht="15.75" customHeight="1">
      <c r="BQ117" s="8"/>
      <c r="BR117" s="8"/>
      <c r="CT117" s="8"/>
      <c r="CU117" s="8"/>
    </row>
    <row r="118" spans="69:99" ht="15.75" customHeight="1">
      <c r="BQ118" s="8"/>
      <c r="BR118" s="8"/>
      <c r="CT118" s="8"/>
      <c r="CU118" s="8"/>
    </row>
    <row r="119" spans="69:99" ht="15.75" customHeight="1">
      <c r="BQ119" s="8"/>
      <c r="BR119" s="8"/>
      <c r="CT119" s="8"/>
      <c r="CU119" s="8"/>
    </row>
    <row r="120" spans="69:99" ht="15.75" customHeight="1">
      <c r="BQ120" s="8"/>
      <c r="BR120" s="8"/>
      <c r="CT120" s="8"/>
      <c r="CU120" s="8"/>
    </row>
    <row r="121" spans="69:99" ht="15.75" customHeight="1">
      <c r="BQ121" s="8"/>
      <c r="BR121" s="8"/>
      <c r="CT121" s="8"/>
      <c r="CU121" s="8"/>
    </row>
    <row r="122" spans="69:99" ht="15.75" customHeight="1">
      <c r="BQ122" s="8"/>
      <c r="BR122" s="8"/>
      <c r="CT122" s="8"/>
      <c r="CU122" s="8"/>
    </row>
    <row r="123" spans="69:99" ht="15.75" customHeight="1">
      <c r="BQ123" s="8"/>
      <c r="BR123" s="8"/>
      <c r="CT123" s="8"/>
      <c r="CU123" s="8"/>
    </row>
    <row r="124" spans="69:99" ht="15.75" customHeight="1">
      <c r="BQ124" s="8"/>
      <c r="BR124" s="8"/>
      <c r="CT124" s="8"/>
      <c r="CU124" s="8"/>
    </row>
    <row r="125" spans="69:99" ht="15.75" customHeight="1">
      <c r="BQ125" s="8"/>
      <c r="BR125" s="8"/>
      <c r="CT125" s="8"/>
      <c r="CU125" s="8"/>
    </row>
    <row r="126" spans="69:99" ht="15.75" customHeight="1">
      <c r="BQ126" s="8"/>
      <c r="BR126" s="8"/>
      <c r="CT126" s="8"/>
      <c r="CU126" s="8"/>
    </row>
    <row r="127" spans="69:99" ht="15.75" customHeight="1">
      <c r="BQ127" s="8"/>
      <c r="BR127" s="8"/>
      <c r="CT127" s="8"/>
      <c r="CU127" s="8"/>
    </row>
    <row r="128" spans="69:99" ht="15.75" customHeight="1">
      <c r="BQ128" s="8"/>
      <c r="BR128" s="8"/>
      <c r="CT128" s="8"/>
      <c r="CU128" s="8"/>
    </row>
    <row r="129" spans="69:99" ht="15.75" customHeight="1">
      <c r="BQ129" s="8"/>
      <c r="BR129" s="8"/>
      <c r="CT129" s="8"/>
      <c r="CU129" s="8"/>
    </row>
    <row r="130" spans="69:99" ht="15.75" customHeight="1">
      <c r="BQ130" s="8"/>
      <c r="BR130" s="8"/>
      <c r="CT130" s="8"/>
      <c r="CU130" s="8"/>
    </row>
    <row r="131" spans="69:99" ht="15.75" customHeight="1">
      <c r="BQ131" s="8"/>
      <c r="BR131" s="8"/>
      <c r="CT131" s="8"/>
      <c r="CU131" s="8"/>
    </row>
    <row r="132" spans="69:99" ht="15.75" customHeight="1">
      <c r="BQ132" s="8"/>
      <c r="BR132" s="8"/>
      <c r="CT132" s="8"/>
      <c r="CU132" s="8"/>
    </row>
    <row r="133" spans="69:99" ht="15.75" customHeight="1">
      <c r="BQ133" s="8"/>
      <c r="BR133" s="8"/>
      <c r="CT133" s="8"/>
      <c r="CU133" s="8"/>
    </row>
    <row r="134" spans="69:99" ht="15.75" customHeight="1">
      <c r="BQ134" s="8"/>
      <c r="BR134" s="8"/>
      <c r="CT134" s="8"/>
      <c r="CU134" s="8"/>
    </row>
    <row r="135" spans="69:99" ht="15.75" customHeight="1">
      <c r="BQ135" s="8"/>
      <c r="BR135" s="8"/>
      <c r="CT135" s="8"/>
      <c r="CU135" s="8"/>
    </row>
    <row r="136" spans="69:99" ht="15.75" customHeight="1">
      <c r="BQ136" s="8"/>
      <c r="BR136" s="8"/>
      <c r="CT136" s="8"/>
      <c r="CU136" s="8"/>
    </row>
    <row r="137" spans="69:99" ht="15.75" customHeight="1">
      <c r="BQ137" s="8"/>
      <c r="BR137" s="8"/>
      <c r="CT137" s="8"/>
      <c r="CU137" s="8"/>
    </row>
    <row r="138" spans="69:99" ht="15.75" customHeight="1">
      <c r="BQ138" s="8"/>
      <c r="BR138" s="8"/>
      <c r="CT138" s="8"/>
      <c r="CU138" s="8"/>
    </row>
    <row r="139" spans="69:99" ht="15.75" customHeight="1">
      <c r="BQ139" s="8"/>
      <c r="BR139" s="8"/>
      <c r="CT139" s="8"/>
      <c r="CU139" s="8"/>
    </row>
    <row r="140" spans="69:99" ht="15.75" customHeight="1">
      <c r="BQ140" s="8"/>
      <c r="BR140" s="8"/>
      <c r="CT140" s="8"/>
      <c r="CU140" s="8"/>
    </row>
    <row r="141" spans="69:99" ht="15.75" customHeight="1">
      <c r="BQ141" s="8"/>
      <c r="BR141" s="8"/>
      <c r="CT141" s="8"/>
      <c r="CU141" s="8"/>
    </row>
    <row r="142" spans="69:99" ht="15.75" customHeight="1">
      <c r="BQ142" s="8"/>
      <c r="BR142" s="8"/>
      <c r="CT142" s="8"/>
      <c r="CU142" s="8"/>
    </row>
    <row r="143" spans="69:99" ht="15.75" customHeight="1">
      <c r="BQ143" s="8"/>
      <c r="BR143" s="8"/>
      <c r="CT143" s="8"/>
      <c r="CU143" s="8"/>
    </row>
    <row r="144" spans="69:99" ht="15.75" customHeight="1">
      <c r="BQ144" s="8"/>
      <c r="BR144" s="8"/>
      <c r="CT144" s="8"/>
      <c r="CU144" s="8"/>
    </row>
    <row r="145" spans="69:99" ht="15.75" customHeight="1">
      <c r="BQ145" s="8"/>
      <c r="BR145" s="8"/>
      <c r="CT145" s="8"/>
      <c r="CU145" s="8"/>
    </row>
    <row r="146" spans="69:99" ht="15.75" customHeight="1">
      <c r="BQ146" s="8"/>
      <c r="BR146" s="8"/>
      <c r="CT146" s="8"/>
      <c r="CU146" s="8"/>
    </row>
    <row r="147" spans="69:99" ht="15.75" customHeight="1">
      <c r="BQ147" s="8"/>
      <c r="BR147" s="8"/>
      <c r="CT147" s="8"/>
      <c r="CU147" s="8"/>
    </row>
    <row r="148" spans="69:99" ht="15.75" customHeight="1">
      <c r="BQ148" s="8"/>
      <c r="BR148" s="8"/>
      <c r="CT148" s="8"/>
      <c r="CU148" s="8"/>
    </row>
    <row r="149" spans="69:99" ht="15.75" customHeight="1">
      <c r="BQ149" s="8"/>
      <c r="BR149" s="8"/>
      <c r="CT149" s="8"/>
      <c r="CU149" s="8"/>
    </row>
    <row r="150" spans="69:99" ht="15.75" customHeight="1">
      <c r="BQ150" s="8"/>
      <c r="BR150" s="8"/>
      <c r="CT150" s="8"/>
      <c r="CU150" s="8"/>
    </row>
    <row r="151" spans="69:99" ht="15.75" customHeight="1">
      <c r="BQ151" s="8"/>
      <c r="BR151" s="8"/>
      <c r="CT151" s="8"/>
      <c r="CU151" s="8"/>
    </row>
    <row r="152" spans="69:99" ht="15.75" customHeight="1">
      <c r="BQ152" s="8"/>
      <c r="BR152" s="8"/>
      <c r="CT152" s="8"/>
      <c r="CU152" s="8"/>
    </row>
    <row r="153" spans="69:99" ht="15.75" customHeight="1">
      <c r="BQ153" s="8"/>
      <c r="BR153" s="8"/>
      <c r="CT153" s="8"/>
      <c r="CU153" s="8"/>
    </row>
    <row r="154" spans="69:99" ht="15.75" customHeight="1">
      <c r="BQ154" s="8"/>
      <c r="BR154" s="8"/>
      <c r="CT154" s="8"/>
      <c r="CU154" s="8"/>
    </row>
    <row r="155" spans="69:99" ht="15.75" customHeight="1">
      <c r="BQ155" s="8"/>
      <c r="BR155" s="8"/>
      <c r="CT155" s="8"/>
      <c r="CU155" s="8"/>
    </row>
    <row r="156" spans="69:99" ht="15.75" customHeight="1">
      <c r="BQ156" s="8"/>
      <c r="BR156" s="8"/>
      <c r="CT156" s="8"/>
      <c r="CU156" s="8"/>
    </row>
    <row r="157" spans="69:99" ht="15.75" customHeight="1">
      <c r="BQ157" s="8"/>
      <c r="BR157" s="8"/>
      <c r="CT157" s="8"/>
      <c r="CU157" s="8"/>
    </row>
    <row r="158" spans="69:99" ht="15.75" customHeight="1">
      <c r="BQ158" s="8"/>
      <c r="BR158" s="8"/>
      <c r="CT158" s="8"/>
      <c r="CU158" s="8"/>
    </row>
    <row r="159" spans="69:99" ht="15.75" customHeight="1">
      <c r="BQ159" s="8"/>
      <c r="BR159" s="8"/>
      <c r="CT159" s="8"/>
      <c r="CU159" s="8"/>
    </row>
    <row r="160" spans="69:99" ht="15.75" customHeight="1">
      <c r="BQ160" s="8"/>
      <c r="BR160" s="8"/>
      <c r="CT160" s="8"/>
      <c r="CU160" s="8"/>
    </row>
    <row r="161" spans="69:99" ht="15.75" customHeight="1">
      <c r="BQ161" s="8"/>
      <c r="BR161" s="8"/>
      <c r="CT161" s="8"/>
      <c r="CU161" s="8"/>
    </row>
    <row r="162" spans="69:99" ht="15.75" customHeight="1">
      <c r="BQ162" s="8"/>
      <c r="BR162" s="8"/>
      <c r="CT162" s="8"/>
      <c r="CU162" s="8"/>
    </row>
    <row r="163" spans="69:99" ht="15.75" customHeight="1">
      <c r="BQ163" s="8"/>
      <c r="BR163" s="8"/>
      <c r="CT163" s="8"/>
      <c r="CU163" s="8"/>
    </row>
    <row r="164" spans="69:99" ht="15.75" customHeight="1">
      <c r="BQ164" s="8"/>
      <c r="BR164" s="8"/>
      <c r="CT164" s="8"/>
      <c r="CU164" s="8"/>
    </row>
    <row r="165" spans="69:99" ht="15.75" customHeight="1">
      <c r="BQ165" s="8"/>
      <c r="BR165" s="8"/>
      <c r="CT165" s="8"/>
      <c r="CU165" s="8"/>
    </row>
    <row r="166" spans="69:99" ht="15.75" customHeight="1">
      <c r="BQ166" s="8"/>
      <c r="BR166" s="8"/>
      <c r="CT166" s="8"/>
      <c r="CU166" s="8"/>
    </row>
    <row r="167" spans="69:99" ht="15.75" customHeight="1">
      <c r="BQ167" s="8"/>
      <c r="BR167" s="8"/>
      <c r="CT167" s="8"/>
      <c r="CU167" s="8"/>
    </row>
    <row r="168" spans="69:99" ht="15.75" customHeight="1">
      <c r="BQ168" s="8"/>
      <c r="BR168" s="8"/>
      <c r="CT168" s="8"/>
      <c r="CU168" s="8"/>
    </row>
    <row r="169" spans="69:99" ht="15.75" customHeight="1">
      <c r="BQ169" s="8"/>
      <c r="BR169" s="8"/>
      <c r="CT169" s="8"/>
      <c r="CU169" s="8"/>
    </row>
    <row r="170" spans="69:99" ht="15.75" customHeight="1">
      <c r="BQ170" s="8"/>
      <c r="BR170" s="8"/>
      <c r="CT170" s="8"/>
      <c r="CU170" s="8"/>
    </row>
    <row r="171" spans="69:99" ht="15.75" customHeight="1">
      <c r="BQ171" s="8"/>
      <c r="BR171" s="8"/>
      <c r="CT171" s="8"/>
      <c r="CU171" s="8"/>
    </row>
    <row r="172" spans="69:99" ht="15.75" customHeight="1">
      <c r="BQ172" s="8"/>
      <c r="BR172" s="8"/>
      <c r="CT172" s="8"/>
      <c r="CU172" s="8"/>
    </row>
    <row r="173" spans="69:99" ht="15.75" customHeight="1">
      <c r="BQ173" s="8"/>
      <c r="BR173" s="8"/>
      <c r="CT173" s="8"/>
      <c r="CU173" s="8"/>
    </row>
    <row r="174" spans="69:99" ht="15.75" customHeight="1">
      <c r="BQ174" s="8"/>
      <c r="BR174" s="8"/>
      <c r="CT174" s="8"/>
      <c r="CU174" s="8"/>
    </row>
    <row r="175" spans="69:99" ht="15.75" customHeight="1">
      <c r="BQ175" s="8"/>
      <c r="BR175" s="8"/>
      <c r="CT175" s="8"/>
      <c r="CU175" s="8"/>
    </row>
    <row r="176" spans="69:99" ht="15.75" customHeight="1">
      <c r="BQ176" s="8"/>
      <c r="BR176" s="8"/>
      <c r="CT176" s="8"/>
      <c r="CU176" s="8"/>
    </row>
    <row r="177" spans="69:99" ht="15.75" customHeight="1">
      <c r="BQ177" s="8"/>
      <c r="BR177" s="8"/>
      <c r="CT177" s="8"/>
      <c r="CU177" s="8"/>
    </row>
    <row r="178" spans="69:99" ht="15.75" customHeight="1">
      <c r="BQ178" s="8"/>
      <c r="BR178" s="8"/>
      <c r="CT178" s="8"/>
      <c r="CU178" s="8"/>
    </row>
    <row r="179" spans="69:99" ht="15.75" customHeight="1">
      <c r="BQ179" s="8"/>
      <c r="BR179" s="8"/>
      <c r="CT179" s="8"/>
      <c r="CU179" s="8"/>
    </row>
    <row r="180" spans="69:99" ht="15.75" customHeight="1">
      <c r="BQ180" s="8"/>
      <c r="BR180" s="8"/>
      <c r="CT180" s="8"/>
      <c r="CU180" s="8"/>
    </row>
    <row r="181" spans="69:99" ht="15.75" customHeight="1">
      <c r="BQ181" s="8"/>
      <c r="BR181" s="8"/>
      <c r="CT181" s="8"/>
      <c r="CU181" s="8"/>
    </row>
    <row r="182" spans="69:99" ht="15.75" customHeight="1">
      <c r="BQ182" s="8"/>
      <c r="BR182" s="8"/>
      <c r="CT182" s="8"/>
      <c r="CU182" s="8"/>
    </row>
    <row r="183" spans="69:99" ht="15.75" customHeight="1">
      <c r="BQ183" s="8"/>
      <c r="BR183" s="8"/>
      <c r="CT183" s="8"/>
      <c r="CU183" s="8"/>
    </row>
    <row r="184" spans="69:99" ht="15.75" customHeight="1">
      <c r="BQ184" s="8"/>
      <c r="BR184" s="8"/>
      <c r="CT184" s="8"/>
      <c r="CU184" s="8"/>
    </row>
    <row r="185" spans="69:99" ht="15.75" customHeight="1">
      <c r="BQ185" s="8"/>
      <c r="BR185" s="8"/>
      <c r="CT185" s="8"/>
      <c r="CU185" s="8"/>
    </row>
    <row r="186" spans="69:99" ht="15.75" customHeight="1">
      <c r="BQ186" s="8"/>
      <c r="BR186" s="8"/>
      <c r="CT186" s="8"/>
      <c r="CU186" s="8"/>
    </row>
    <row r="187" spans="69:99" ht="15.75" customHeight="1">
      <c r="BQ187" s="8"/>
      <c r="BR187" s="8"/>
      <c r="CT187" s="8"/>
      <c r="CU187" s="8"/>
    </row>
    <row r="188" spans="69:99" ht="15.75" customHeight="1">
      <c r="BQ188" s="8"/>
      <c r="BR188" s="8"/>
      <c r="CT188" s="8"/>
      <c r="CU188" s="8"/>
    </row>
    <row r="189" spans="69:99" ht="15.75" customHeight="1">
      <c r="BQ189" s="8"/>
      <c r="BR189" s="8"/>
      <c r="CT189" s="8"/>
      <c r="CU189" s="8"/>
    </row>
    <row r="190" spans="69:99" ht="15.75" customHeight="1">
      <c r="BQ190" s="8"/>
      <c r="BR190" s="8"/>
      <c r="CT190" s="8"/>
      <c r="CU190" s="8"/>
    </row>
    <row r="191" spans="69:99" ht="15.75" customHeight="1">
      <c r="BQ191" s="8"/>
      <c r="BR191" s="8"/>
      <c r="CT191" s="8"/>
      <c r="CU191" s="8"/>
    </row>
    <row r="192" spans="69:99" ht="15.75" customHeight="1">
      <c r="BQ192" s="8"/>
      <c r="BR192" s="8"/>
      <c r="CT192" s="8"/>
      <c r="CU192" s="8"/>
    </row>
    <row r="193" spans="69:99" ht="15.75" customHeight="1">
      <c r="BQ193" s="8"/>
      <c r="BR193" s="8"/>
      <c r="CT193" s="8"/>
      <c r="CU193" s="8"/>
    </row>
    <row r="194" spans="69:99" ht="15.75" customHeight="1">
      <c r="BQ194" s="8"/>
      <c r="BR194" s="8"/>
      <c r="CT194" s="8"/>
      <c r="CU194" s="8"/>
    </row>
    <row r="195" spans="69:99" ht="15.75" customHeight="1">
      <c r="BQ195" s="8"/>
      <c r="BR195" s="8"/>
      <c r="CT195" s="8"/>
      <c r="CU195" s="8"/>
    </row>
    <row r="196" spans="69:99" ht="15.75" customHeight="1">
      <c r="BQ196" s="8"/>
      <c r="BR196" s="8"/>
      <c r="CT196" s="8"/>
      <c r="CU196" s="8"/>
    </row>
    <row r="197" spans="69:99" ht="15.75" customHeight="1">
      <c r="BQ197" s="8"/>
      <c r="BR197" s="8"/>
      <c r="CT197" s="8"/>
      <c r="CU197" s="8"/>
    </row>
    <row r="198" spans="69:99" ht="15.75" customHeight="1">
      <c r="BQ198" s="8"/>
      <c r="BR198" s="8"/>
      <c r="CT198" s="8"/>
      <c r="CU198" s="8"/>
    </row>
    <row r="199" spans="69:99" ht="15.75" customHeight="1">
      <c r="BQ199" s="8"/>
      <c r="BR199" s="8"/>
      <c r="CT199" s="8"/>
      <c r="CU199" s="8"/>
    </row>
    <row r="200" spans="69:99" ht="15.75" customHeight="1">
      <c r="BQ200" s="8"/>
      <c r="BR200" s="8"/>
      <c r="CT200" s="8"/>
      <c r="CU200" s="8"/>
    </row>
    <row r="201" spans="69:99" ht="15.75" customHeight="1">
      <c r="BQ201" s="8"/>
      <c r="BR201" s="8"/>
      <c r="CT201" s="8"/>
      <c r="CU201" s="8"/>
    </row>
    <row r="202" spans="69:99" ht="15.75" customHeight="1">
      <c r="BQ202" s="8"/>
      <c r="BR202" s="8"/>
      <c r="CT202" s="8"/>
      <c r="CU202" s="8"/>
    </row>
    <row r="203" spans="69:99" ht="15.75" customHeight="1">
      <c r="BQ203" s="8"/>
      <c r="BR203" s="8"/>
      <c r="CT203" s="8"/>
      <c r="CU203" s="8"/>
    </row>
    <row r="204" spans="69:99" ht="15.75" customHeight="1">
      <c r="BQ204" s="8"/>
      <c r="BR204" s="8"/>
      <c r="CT204" s="8"/>
      <c r="CU204" s="8"/>
    </row>
    <row r="205" spans="69:99" ht="15.75" customHeight="1">
      <c r="BQ205" s="8"/>
      <c r="BR205" s="8"/>
      <c r="CT205" s="8"/>
      <c r="CU205" s="8"/>
    </row>
    <row r="206" spans="69:99" ht="15.75" customHeight="1">
      <c r="BQ206" s="8"/>
      <c r="BR206" s="8"/>
      <c r="CT206" s="8"/>
      <c r="CU206" s="8"/>
    </row>
    <row r="207" spans="69:99" ht="15.75" customHeight="1">
      <c r="BQ207" s="8"/>
      <c r="BR207" s="8"/>
      <c r="CT207" s="8"/>
      <c r="CU207" s="8"/>
    </row>
    <row r="208" spans="69:99" ht="15.75" customHeight="1">
      <c r="BQ208" s="8"/>
      <c r="BR208" s="8"/>
      <c r="CT208" s="8"/>
      <c r="CU208" s="8"/>
    </row>
    <row r="209" spans="69:99" ht="15.75" customHeight="1">
      <c r="BQ209" s="8"/>
      <c r="BR209" s="8"/>
      <c r="CT209" s="8"/>
      <c r="CU209" s="8"/>
    </row>
    <row r="210" spans="69:99" ht="15.75" customHeight="1">
      <c r="BQ210" s="8"/>
      <c r="BR210" s="8"/>
      <c r="CT210" s="8"/>
      <c r="CU210" s="8"/>
    </row>
    <row r="211" spans="69:99" ht="15.75" customHeight="1">
      <c r="BQ211" s="8"/>
      <c r="BR211" s="8"/>
      <c r="CT211" s="8"/>
      <c r="CU211" s="8"/>
    </row>
    <row r="212" spans="69:99" ht="15.75" customHeight="1">
      <c r="BQ212" s="8"/>
      <c r="BR212" s="8"/>
      <c r="CT212" s="8"/>
      <c r="CU212" s="8"/>
    </row>
    <row r="213" spans="69:99" ht="15.75" customHeight="1">
      <c r="BQ213" s="8"/>
      <c r="BR213" s="8"/>
      <c r="CT213" s="8"/>
      <c r="CU213" s="8"/>
    </row>
    <row r="214" spans="69:99" ht="15.75" customHeight="1">
      <c r="BQ214" s="8"/>
      <c r="BR214" s="8"/>
      <c r="CT214" s="8"/>
      <c r="CU214" s="8"/>
    </row>
    <row r="215" spans="69:99" ht="15.75" customHeight="1">
      <c r="BQ215" s="8"/>
      <c r="BR215" s="8"/>
      <c r="CT215" s="8"/>
      <c r="CU215" s="8"/>
    </row>
    <row r="216" spans="69:99" ht="15.75" customHeight="1">
      <c r="BQ216" s="8"/>
      <c r="BR216" s="8"/>
      <c r="CT216" s="8"/>
      <c r="CU216" s="8"/>
    </row>
    <row r="217" spans="69:99" ht="15.75" customHeight="1">
      <c r="BQ217" s="8"/>
      <c r="BR217" s="8"/>
      <c r="CT217" s="8"/>
      <c r="CU217" s="8"/>
    </row>
    <row r="218" spans="69:99" ht="15.75" customHeight="1">
      <c r="BQ218" s="8"/>
      <c r="BR218" s="8"/>
      <c r="CT218" s="8"/>
      <c r="CU218" s="8"/>
    </row>
    <row r="219" spans="69:99" ht="15.75" customHeight="1">
      <c r="BQ219" s="8"/>
      <c r="BR219" s="8"/>
      <c r="CT219" s="8"/>
      <c r="CU219" s="8"/>
    </row>
    <row r="220" spans="69:99" ht="15.75" customHeight="1">
      <c r="BQ220" s="8"/>
      <c r="BR220" s="8"/>
      <c r="CT220" s="8"/>
      <c r="CU220" s="8"/>
    </row>
    <row r="221" spans="69:99" ht="15.75" customHeight="1">
      <c r="BQ221" s="8"/>
      <c r="BR221" s="8"/>
      <c r="CT221" s="8"/>
      <c r="CU221" s="8"/>
    </row>
    <row r="222" spans="69:99" ht="15.75" customHeight="1">
      <c r="BQ222" s="8"/>
      <c r="BR222" s="8"/>
      <c r="CT222" s="8"/>
      <c r="CU222" s="8"/>
    </row>
    <row r="223" spans="69:99" ht="15.75" customHeight="1">
      <c r="BQ223" s="8"/>
      <c r="BR223" s="8"/>
      <c r="CT223" s="8"/>
      <c r="CU223" s="8"/>
    </row>
    <row r="224" spans="69:99" ht="15.75" customHeight="1">
      <c r="BQ224" s="8"/>
      <c r="BR224" s="8"/>
      <c r="CT224" s="8"/>
      <c r="CU224" s="8"/>
    </row>
    <row r="225" spans="69:99" ht="15.75" customHeight="1">
      <c r="BQ225" s="8"/>
      <c r="BR225" s="8"/>
      <c r="CT225" s="8"/>
      <c r="CU225" s="8"/>
    </row>
    <row r="226" spans="69:99" ht="15.75" customHeight="1">
      <c r="BQ226" s="8"/>
      <c r="BR226" s="8"/>
      <c r="CT226" s="8"/>
      <c r="CU226" s="8"/>
    </row>
    <row r="227" spans="69:99" ht="15.75" customHeight="1">
      <c r="BQ227" s="8"/>
      <c r="BR227" s="8"/>
      <c r="CT227" s="8"/>
      <c r="CU227" s="8"/>
    </row>
    <row r="228" spans="69:99" ht="15.75" customHeight="1">
      <c r="BQ228" s="8"/>
      <c r="BR228" s="8"/>
      <c r="CT228" s="8"/>
      <c r="CU228" s="8"/>
    </row>
    <row r="229" spans="69:99" ht="15.75" customHeight="1">
      <c r="BQ229" s="8"/>
      <c r="BR229" s="8"/>
      <c r="CT229" s="8"/>
      <c r="CU229" s="8"/>
    </row>
    <row r="230" spans="69:99" ht="15.75" customHeight="1">
      <c r="BQ230" s="8"/>
      <c r="BR230" s="8"/>
      <c r="CT230" s="8"/>
      <c r="CU230" s="8"/>
    </row>
    <row r="231" spans="69:99" ht="15.75" customHeight="1">
      <c r="BQ231" s="8"/>
      <c r="BR231" s="8"/>
      <c r="CT231" s="8"/>
      <c r="CU231" s="8"/>
    </row>
    <row r="232" spans="69:99" ht="15.75" customHeight="1">
      <c r="BQ232" s="8"/>
      <c r="BR232" s="8"/>
      <c r="CT232" s="8"/>
      <c r="CU232" s="8"/>
    </row>
    <row r="233" spans="69:99" ht="15.75" customHeight="1">
      <c r="BQ233" s="8"/>
      <c r="BR233" s="8"/>
      <c r="CT233" s="8"/>
      <c r="CU233" s="8"/>
    </row>
    <row r="234" spans="69:99" ht="15.75" customHeight="1">
      <c r="BQ234" s="8"/>
      <c r="BR234" s="8"/>
      <c r="CT234" s="8"/>
      <c r="CU234" s="8"/>
    </row>
    <row r="235" spans="69:99" ht="15.75" customHeight="1">
      <c r="BQ235" s="8"/>
      <c r="BR235" s="8"/>
      <c r="CT235" s="8"/>
      <c r="CU235" s="8"/>
    </row>
    <row r="236" spans="69:99" ht="15.75" customHeight="1">
      <c r="BQ236" s="8"/>
      <c r="BR236" s="8"/>
      <c r="CT236" s="8"/>
      <c r="CU236" s="8"/>
    </row>
    <row r="237" spans="69:99" ht="15.75" customHeight="1">
      <c r="BQ237" s="8"/>
      <c r="BR237" s="8"/>
      <c r="CT237" s="8"/>
      <c r="CU237" s="8"/>
    </row>
    <row r="238" spans="69:99" ht="15.75" customHeight="1">
      <c r="BQ238" s="8"/>
      <c r="BR238" s="8"/>
      <c r="CT238" s="8"/>
      <c r="CU238" s="8"/>
    </row>
    <row r="239" spans="69:99" ht="15.75" customHeight="1">
      <c r="BQ239" s="8"/>
      <c r="BR239" s="8"/>
      <c r="CT239" s="8"/>
      <c r="CU239" s="8"/>
    </row>
    <row r="240" spans="69:99" ht="15.75" customHeight="1">
      <c r="BQ240" s="8"/>
      <c r="BR240" s="8"/>
      <c r="CT240" s="8"/>
      <c r="CU240" s="8"/>
    </row>
    <row r="241" spans="69:99" ht="15.75" customHeight="1">
      <c r="BQ241" s="8"/>
      <c r="BR241" s="8"/>
      <c r="CT241" s="8"/>
      <c r="CU241" s="8"/>
    </row>
    <row r="242" spans="69:99" ht="15.75" customHeight="1">
      <c r="BQ242" s="8"/>
      <c r="BR242" s="8"/>
      <c r="CT242" s="8"/>
      <c r="CU242" s="8"/>
    </row>
    <row r="243" spans="69:99" ht="15.75" customHeight="1">
      <c r="BQ243" s="8"/>
      <c r="BR243" s="8"/>
      <c r="CT243" s="8"/>
      <c r="CU243" s="8"/>
    </row>
    <row r="244" spans="69:99" ht="15.75" customHeight="1">
      <c r="BQ244" s="8"/>
      <c r="BR244" s="8"/>
      <c r="CT244" s="8"/>
      <c r="CU244" s="8"/>
    </row>
    <row r="245" spans="69:99" ht="15.75" customHeight="1">
      <c r="BQ245" s="8"/>
      <c r="BR245" s="8"/>
      <c r="CT245" s="8"/>
      <c r="CU245" s="8"/>
    </row>
    <row r="246" spans="69:99" ht="15.75" customHeight="1">
      <c r="BQ246" s="8"/>
      <c r="BR246" s="8"/>
      <c r="CT246" s="8"/>
      <c r="CU246" s="8"/>
    </row>
    <row r="247" spans="69:99" ht="15.75" customHeight="1">
      <c r="BQ247" s="8"/>
      <c r="BR247" s="8"/>
      <c r="CT247" s="8"/>
      <c r="CU247" s="8"/>
    </row>
    <row r="248" spans="69:99" ht="15.75" customHeight="1">
      <c r="BQ248" s="8"/>
      <c r="BR248" s="8"/>
      <c r="CT248" s="8"/>
      <c r="CU248" s="8"/>
    </row>
    <row r="249" spans="69:99" ht="15.75" customHeight="1">
      <c r="BQ249" s="8"/>
      <c r="BR249" s="8"/>
      <c r="CT249" s="8"/>
      <c r="CU249" s="8"/>
    </row>
    <row r="250" spans="69:99" ht="15.75" customHeight="1">
      <c r="BQ250" s="8"/>
      <c r="BR250" s="8"/>
      <c r="CT250" s="8"/>
      <c r="CU250" s="8"/>
    </row>
    <row r="251" spans="69:99" ht="15.75" customHeight="1">
      <c r="BQ251" s="8"/>
      <c r="BR251" s="8"/>
      <c r="CT251" s="8"/>
      <c r="CU251" s="8"/>
    </row>
    <row r="252" spans="69:99" ht="15.75" customHeight="1">
      <c r="BQ252" s="8"/>
      <c r="BR252" s="8"/>
      <c r="CT252" s="8"/>
      <c r="CU252" s="8"/>
    </row>
    <row r="253" spans="69:99" ht="15.75" customHeight="1">
      <c r="BQ253" s="8"/>
      <c r="BR253" s="8"/>
      <c r="CT253" s="8"/>
      <c r="CU253" s="8"/>
    </row>
    <row r="254" spans="69:99" ht="15.75" customHeight="1">
      <c r="BQ254" s="8"/>
      <c r="BR254" s="8"/>
      <c r="CT254" s="8"/>
      <c r="CU254" s="8"/>
    </row>
    <row r="255" spans="69:99" ht="15.75" customHeight="1">
      <c r="BQ255" s="8"/>
      <c r="BR255" s="8"/>
      <c r="CT255" s="8"/>
      <c r="CU255" s="8"/>
    </row>
    <row r="256" spans="69:99" ht="15.75" customHeight="1">
      <c r="BQ256" s="8"/>
      <c r="BR256" s="8"/>
      <c r="CT256" s="8"/>
      <c r="CU256" s="8"/>
    </row>
    <row r="257" spans="69:99" ht="15.75" customHeight="1">
      <c r="BQ257" s="8"/>
      <c r="BR257" s="8"/>
      <c r="CT257" s="8"/>
      <c r="CU257" s="8"/>
    </row>
    <row r="258" spans="69:99" ht="15.75" customHeight="1">
      <c r="BQ258" s="8"/>
      <c r="BR258" s="8"/>
      <c r="CT258" s="8"/>
      <c r="CU258" s="8"/>
    </row>
    <row r="259" spans="69:99" ht="15.75" customHeight="1">
      <c r="BQ259" s="8"/>
      <c r="BR259" s="8"/>
      <c r="CT259" s="8"/>
      <c r="CU259" s="8"/>
    </row>
    <row r="260" spans="69:99" ht="15.75" customHeight="1">
      <c r="BQ260" s="8"/>
      <c r="BR260" s="8"/>
      <c r="CT260" s="8"/>
      <c r="CU260" s="8"/>
    </row>
    <row r="261" spans="69:99" ht="15.75" customHeight="1">
      <c r="BQ261" s="8"/>
      <c r="BR261" s="8"/>
      <c r="CT261" s="8"/>
      <c r="CU261" s="8"/>
    </row>
    <row r="262" spans="69:99" ht="15.75" customHeight="1">
      <c r="BQ262" s="8"/>
      <c r="BR262" s="8"/>
      <c r="CT262" s="8"/>
      <c r="CU262" s="8"/>
    </row>
    <row r="263" spans="69:99" ht="15.75" customHeight="1">
      <c r="BQ263" s="8"/>
      <c r="BR263" s="8"/>
      <c r="CT263" s="8"/>
      <c r="CU263" s="8"/>
    </row>
    <row r="264" spans="69:99" ht="15.75" customHeight="1">
      <c r="BQ264" s="8"/>
      <c r="BR264" s="8"/>
      <c r="CT264" s="8"/>
      <c r="CU264" s="8"/>
    </row>
    <row r="265" spans="69:99" ht="15.75" customHeight="1">
      <c r="BQ265" s="8"/>
      <c r="BR265" s="8"/>
      <c r="CT265" s="8"/>
      <c r="CU265" s="8"/>
    </row>
    <row r="266" spans="69:99" ht="15.75" customHeight="1">
      <c r="BQ266" s="8"/>
      <c r="BR266" s="8"/>
      <c r="CT266" s="8"/>
      <c r="CU266" s="8"/>
    </row>
    <row r="267" spans="69:99" ht="15.75" customHeight="1">
      <c r="BQ267" s="8"/>
      <c r="BR267" s="8"/>
      <c r="CT267" s="8"/>
      <c r="CU267" s="8"/>
    </row>
    <row r="268" spans="69:99" ht="15.75" customHeight="1">
      <c r="BQ268" s="8"/>
      <c r="BR268" s="8"/>
      <c r="CT268" s="8"/>
      <c r="CU268" s="8"/>
    </row>
    <row r="269" spans="69:99" ht="15.75" customHeight="1">
      <c r="BQ269" s="8"/>
      <c r="BR269" s="8"/>
      <c r="CT269" s="8"/>
      <c r="CU269" s="8"/>
    </row>
    <row r="270" spans="69:99" ht="15.75" customHeight="1">
      <c r="BQ270" s="8"/>
      <c r="BR270" s="8"/>
      <c r="CT270" s="8"/>
      <c r="CU270" s="8"/>
    </row>
    <row r="271" spans="69:99" ht="15.75" customHeight="1">
      <c r="BQ271" s="8"/>
      <c r="BR271" s="8"/>
      <c r="CT271" s="8"/>
      <c r="CU271" s="8"/>
    </row>
    <row r="272" spans="69:99" ht="15.75" customHeight="1">
      <c r="BQ272" s="8"/>
      <c r="BR272" s="8"/>
      <c r="CT272" s="8"/>
      <c r="CU272" s="8"/>
    </row>
    <row r="273" spans="69:99" ht="15.75" customHeight="1">
      <c r="BQ273" s="8"/>
      <c r="BR273" s="8"/>
      <c r="CT273" s="8"/>
      <c r="CU273" s="8"/>
    </row>
    <row r="274" spans="69:99" ht="15.75" customHeight="1">
      <c r="BQ274" s="8"/>
      <c r="BR274" s="8"/>
      <c r="CT274" s="8"/>
      <c r="CU274" s="8"/>
    </row>
    <row r="275" spans="69:99" ht="15.75" customHeight="1">
      <c r="BQ275" s="8"/>
      <c r="BR275" s="8"/>
      <c r="CT275" s="8"/>
      <c r="CU275" s="8"/>
    </row>
    <row r="276" spans="69:99" ht="15.75" customHeight="1">
      <c r="BQ276" s="8"/>
      <c r="BR276" s="8"/>
      <c r="CT276" s="8"/>
      <c r="CU276" s="8"/>
    </row>
    <row r="277" spans="69:99" ht="15.75" customHeight="1">
      <c r="BQ277" s="8"/>
      <c r="BR277" s="8"/>
      <c r="CT277" s="8"/>
      <c r="CU277" s="8"/>
    </row>
    <row r="278" spans="69:99" ht="15.75" customHeight="1">
      <c r="BQ278" s="8"/>
      <c r="BR278" s="8"/>
      <c r="CT278" s="8"/>
      <c r="CU278" s="8"/>
    </row>
    <row r="279" spans="69:99" ht="15.75" customHeight="1">
      <c r="BQ279" s="8"/>
      <c r="BR279" s="8"/>
      <c r="CT279" s="8"/>
      <c r="CU279" s="8"/>
    </row>
    <row r="280" spans="69:99" ht="15.75" customHeight="1">
      <c r="BQ280" s="8"/>
      <c r="BR280" s="8"/>
      <c r="CT280" s="8"/>
      <c r="CU280" s="8"/>
    </row>
    <row r="281" spans="69:99" ht="15.75" customHeight="1">
      <c r="BQ281" s="8"/>
      <c r="BR281" s="8"/>
      <c r="CT281" s="8"/>
      <c r="CU281" s="8"/>
    </row>
    <row r="282" spans="69:99" ht="15.75" customHeight="1">
      <c r="BQ282" s="8"/>
      <c r="BR282" s="8"/>
      <c r="CT282" s="8"/>
      <c r="CU282" s="8"/>
    </row>
    <row r="283" spans="69:99" ht="15.75" customHeight="1">
      <c r="BQ283" s="8"/>
      <c r="BR283" s="8"/>
      <c r="CT283" s="8"/>
      <c r="CU283" s="8"/>
    </row>
    <row r="284" spans="69:99" ht="15.75" customHeight="1">
      <c r="BQ284" s="8"/>
      <c r="BR284" s="8"/>
      <c r="CT284" s="8"/>
      <c r="CU284" s="8"/>
    </row>
    <row r="285" spans="69:99" ht="15.75" customHeight="1">
      <c r="BQ285" s="8"/>
      <c r="BR285" s="8"/>
      <c r="CT285" s="8"/>
      <c r="CU285" s="8"/>
    </row>
    <row r="286" spans="69:99" ht="15.75" customHeight="1">
      <c r="BQ286" s="8"/>
      <c r="BR286" s="8"/>
      <c r="CT286" s="8"/>
      <c r="CU286" s="8"/>
    </row>
    <row r="287" spans="69:99" ht="15.75" customHeight="1">
      <c r="BQ287" s="8"/>
      <c r="BR287" s="8"/>
      <c r="CT287" s="8"/>
      <c r="CU287" s="8"/>
    </row>
    <row r="288" spans="69:99" ht="15.75" customHeight="1">
      <c r="BQ288" s="8"/>
      <c r="BR288" s="8"/>
      <c r="CT288" s="8"/>
      <c r="CU288" s="8"/>
    </row>
    <row r="289" spans="69:99" ht="15.75" customHeight="1">
      <c r="BQ289" s="8"/>
      <c r="BR289" s="8"/>
      <c r="CT289" s="8"/>
      <c r="CU289" s="8"/>
    </row>
    <row r="290" spans="69:99" ht="15.75" customHeight="1">
      <c r="BQ290" s="8"/>
      <c r="BR290" s="8"/>
      <c r="CT290" s="8"/>
      <c r="CU290" s="8"/>
    </row>
    <row r="291" spans="69:99" ht="15.75" customHeight="1">
      <c r="BQ291" s="8"/>
      <c r="BR291" s="8"/>
      <c r="CT291" s="8"/>
      <c r="CU291" s="8"/>
    </row>
    <row r="292" spans="69:99" ht="15.75" customHeight="1">
      <c r="BQ292" s="8"/>
      <c r="BR292" s="8"/>
      <c r="CT292" s="8"/>
      <c r="CU292" s="8"/>
    </row>
    <row r="293" spans="69:99" ht="15.75" customHeight="1">
      <c r="BQ293" s="8"/>
      <c r="BR293" s="8"/>
      <c r="CT293" s="8"/>
      <c r="CU293" s="8"/>
    </row>
    <row r="294" spans="69:99" ht="15.75" customHeight="1">
      <c r="BQ294" s="8"/>
      <c r="BR294" s="8"/>
      <c r="CT294" s="8"/>
      <c r="CU294" s="8"/>
    </row>
    <row r="295" spans="69:99" ht="15.75" customHeight="1">
      <c r="BQ295" s="8"/>
      <c r="BR295" s="8"/>
      <c r="CT295" s="8"/>
      <c r="CU295" s="8"/>
    </row>
    <row r="296" spans="69:99" ht="15.75" customHeight="1">
      <c r="BQ296" s="8"/>
      <c r="BR296" s="8"/>
      <c r="CT296" s="8"/>
      <c r="CU296" s="8"/>
    </row>
    <row r="297" spans="69:99" ht="15.75" customHeight="1">
      <c r="BQ297" s="8"/>
      <c r="BR297" s="8"/>
      <c r="CT297" s="8"/>
      <c r="CU297" s="8"/>
    </row>
    <row r="298" spans="69:99" ht="15.75" customHeight="1">
      <c r="BQ298" s="8"/>
      <c r="BR298" s="8"/>
      <c r="CT298" s="8"/>
      <c r="CU298" s="8"/>
    </row>
    <row r="299" spans="69:99" ht="15.75" customHeight="1">
      <c r="BQ299" s="8"/>
      <c r="BR299" s="8"/>
      <c r="CT299" s="8"/>
      <c r="CU299" s="8"/>
    </row>
    <row r="300" spans="69:99" ht="15.75" customHeight="1">
      <c r="BQ300" s="8"/>
      <c r="BR300" s="8"/>
      <c r="CT300" s="8"/>
      <c r="CU300" s="8"/>
    </row>
    <row r="301" spans="69:99" ht="15.75" customHeight="1">
      <c r="BQ301" s="8"/>
      <c r="BR301" s="8"/>
      <c r="CT301" s="8"/>
      <c r="CU301" s="8"/>
    </row>
    <row r="302" spans="69:99" ht="15.75" customHeight="1">
      <c r="BQ302" s="8"/>
      <c r="BR302" s="8"/>
      <c r="CT302" s="8"/>
      <c r="CU302" s="8"/>
    </row>
    <row r="303" spans="69:99" ht="15.75" customHeight="1">
      <c r="BQ303" s="8"/>
      <c r="BR303" s="8"/>
      <c r="CT303" s="8"/>
      <c r="CU303" s="8"/>
    </row>
    <row r="304" spans="69:99" ht="15.75" customHeight="1">
      <c r="BQ304" s="8"/>
      <c r="BR304" s="8"/>
      <c r="CT304" s="8"/>
      <c r="CU304" s="8"/>
    </row>
    <row r="305" spans="69:99" ht="15.75" customHeight="1">
      <c r="BQ305" s="8"/>
      <c r="BR305" s="8"/>
      <c r="CT305" s="8"/>
      <c r="CU305" s="8"/>
    </row>
    <row r="306" spans="69:99" ht="15.75" customHeight="1">
      <c r="BQ306" s="8"/>
      <c r="BR306" s="8"/>
      <c r="CT306" s="8"/>
      <c r="CU306" s="8"/>
    </row>
    <row r="307" spans="69:99" ht="15.75" customHeight="1">
      <c r="BQ307" s="8"/>
      <c r="BR307" s="8"/>
      <c r="CT307" s="8"/>
      <c r="CU307" s="8"/>
    </row>
    <row r="308" spans="69:99" ht="15.75" customHeight="1">
      <c r="BQ308" s="8"/>
      <c r="BR308" s="8"/>
      <c r="CT308" s="8"/>
      <c r="CU308" s="8"/>
    </row>
    <row r="309" spans="69:99" ht="15.75" customHeight="1">
      <c r="BQ309" s="8"/>
      <c r="BR309" s="8"/>
      <c r="CT309" s="8"/>
      <c r="CU309" s="8"/>
    </row>
    <row r="310" spans="69:99" ht="15.75" customHeight="1">
      <c r="BQ310" s="8"/>
      <c r="BR310" s="8"/>
      <c r="CT310" s="8"/>
      <c r="CU310" s="8"/>
    </row>
    <row r="311" spans="69:99" ht="15.75" customHeight="1">
      <c r="BQ311" s="8"/>
      <c r="BR311" s="8"/>
      <c r="CT311" s="8"/>
      <c r="CU311" s="8"/>
    </row>
    <row r="312" spans="69:99" ht="15.75" customHeight="1">
      <c r="BQ312" s="8"/>
      <c r="BR312" s="8"/>
      <c r="CT312" s="8"/>
      <c r="CU312" s="8"/>
    </row>
    <row r="313" spans="69:99" ht="15.75" customHeight="1">
      <c r="BQ313" s="8"/>
      <c r="BR313" s="8"/>
      <c r="CT313" s="8"/>
      <c r="CU313" s="8"/>
    </row>
    <row r="314" spans="69:99" ht="15.75" customHeight="1">
      <c r="BQ314" s="8"/>
      <c r="BR314" s="8"/>
      <c r="CT314" s="8"/>
      <c r="CU314" s="8"/>
    </row>
    <row r="315" spans="69:99" ht="15.75" customHeight="1">
      <c r="BQ315" s="8"/>
      <c r="BR315" s="8"/>
      <c r="CT315" s="8"/>
      <c r="CU315" s="8"/>
    </row>
    <row r="316" spans="69:99" ht="15.75" customHeight="1">
      <c r="BQ316" s="8"/>
      <c r="BR316" s="8"/>
      <c r="CT316" s="8"/>
      <c r="CU316" s="8"/>
    </row>
    <row r="317" spans="69:99" ht="15.75" customHeight="1">
      <c r="BQ317" s="8"/>
      <c r="BR317" s="8"/>
      <c r="CT317" s="8"/>
      <c r="CU317" s="8"/>
    </row>
    <row r="318" spans="69:99" ht="15.75" customHeight="1">
      <c r="BQ318" s="8"/>
      <c r="BR318" s="8"/>
      <c r="CT318" s="8"/>
      <c r="CU318" s="8"/>
    </row>
    <row r="319" spans="69:99" ht="15.75" customHeight="1">
      <c r="BQ319" s="8"/>
      <c r="BR319" s="8"/>
      <c r="CT319" s="8"/>
      <c r="CU319" s="8"/>
    </row>
    <row r="320" spans="69:99" ht="15.75" customHeight="1">
      <c r="BQ320" s="8"/>
      <c r="BR320" s="8"/>
      <c r="CT320" s="8"/>
      <c r="CU320" s="8"/>
    </row>
    <row r="321" spans="69:99" ht="15.75" customHeight="1">
      <c r="BQ321" s="8"/>
      <c r="BR321" s="8"/>
      <c r="CT321" s="8"/>
      <c r="CU321" s="8"/>
    </row>
    <row r="322" spans="69:99" ht="15.75" customHeight="1">
      <c r="BQ322" s="8"/>
      <c r="BR322" s="8"/>
      <c r="CT322" s="8"/>
      <c r="CU322" s="8"/>
    </row>
    <row r="323" spans="69:99" ht="15.75" customHeight="1">
      <c r="BQ323" s="8"/>
      <c r="BR323" s="8"/>
      <c r="CT323" s="8"/>
      <c r="CU323" s="8"/>
    </row>
    <row r="324" spans="69:99" ht="15.75" customHeight="1">
      <c r="BQ324" s="8"/>
      <c r="BR324" s="8"/>
      <c r="CT324" s="8"/>
      <c r="CU324" s="8"/>
    </row>
    <row r="325" spans="69:99" ht="15.75" customHeight="1">
      <c r="BQ325" s="8"/>
      <c r="BR325" s="8"/>
      <c r="CT325" s="8"/>
      <c r="CU325" s="8"/>
    </row>
    <row r="326" spans="69:99" ht="15.75" customHeight="1">
      <c r="BQ326" s="8"/>
      <c r="BR326" s="8"/>
      <c r="CT326" s="8"/>
      <c r="CU326" s="8"/>
    </row>
    <row r="327" spans="69:99" ht="15.75" customHeight="1">
      <c r="BQ327" s="8"/>
      <c r="BR327" s="8"/>
      <c r="CT327" s="8"/>
      <c r="CU327" s="8"/>
    </row>
    <row r="328" spans="69:99" ht="15.75" customHeight="1">
      <c r="BQ328" s="8"/>
      <c r="BR328" s="8"/>
      <c r="CT328" s="8"/>
      <c r="CU328" s="8"/>
    </row>
    <row r="329" spans="69:99" ht="15.75" customHeight="1">
      <c r="BQ329" s="8"/>
      <c r="BR329" s="8"/>
      <c r="CT329" s="8"/>
      <c r="CU329" s="8"/>
    </row>
    <row r="330" spans="69:99" ht="15.75" customHeight="1">
      <c r="BQ330" s="8"/>
      <c r="BR330" s="8"/>
      <c r="CT330" s="8"/>
      <c r="CU330" s="8"/>
    </row>
    <row r="331" spans="69:99" ht="15.75" customHeight="1">
      <c r="BQ331" s="8"/>
      <c r="BR331" s="8"/>
      <c r="CT331" s="8"/>
      <c r="CU331" s="8"/>
    </row>
    <row r="332" spans="69:99" ht="15.75" customHeight="1">
      <c r="BQ332" s="8"/>
      <c r="BR332" s="8"/>
      <c r="CT332" s="8"/>
      <c r="CU332" s="8"/>
    </row>
    <row r="333" spans="69:99" ht="15.75" customHeight="1">
      <c r="BQ333" s="8"/>
      <c r="BR333" s="8"/>
      <c r="CT333" s="8"/>
      <c r="CU333" s="8"/>
    </row>
    <row r="334" spans="69:99" ht="15.75" customHeight="1">
      <c r="BQ334" s="8"/>
      <c r="BR334" s="8"/>
      <c r="CT334" s="8"/>
      <c r="CU334" s="8"/>
    </row>
    <row r="335" spans="69:99" ht="15.75" customHeight="1">
      <c r="BQ335" s="8"/>
      <c r="BR335" s="8"/>
      <c r="CT335" s="8"/>
      <c r="CU335" s="8"/>
    </row>
    <row r="336" spans="69:99" ht="15.75" customHeight="1">
      <c r="BQ336" s="8"/>
      <c r="BR336" s="8"/>
      <c r="CT336" s="8"/>
      <c r="CU336" s="8"/>
    </row>
    <row r="337" spans="69:99" ht="15.75" customHeight="1">
      <c r="BQ337" s="8"/>
      <c r="BR337" s="8"/>
      <c r="CT337" s="8"/>
      <c r="CU337" s="8"/>
    </row>
    <row r="338" spans="69:99" ht="15.75" customHeight="1">
      <c r="BQ338" s="8"/>
      <c r="BR338" s="8"/>
      <c r="CT338" s="8"/>
      <c r="CU338" s="8"/>
    </row>
    <row r="339" spans="69:99" ht="15.75" customHeight="1">
      <c r="BQ339" s="8"/>
      <c r="BR339" s="8"/>
      <c r="CT339" s="8"/>
      <c r="CU339" s="8"/>
    </row>
    <row r="340" spans="69:99" ht="15.75" customHeight="1">
      <c r="BQ340" s="8"/>
      <c r="BR340" s="8"/>
      <c r="CT340" s="8"/>
      <c r="CU340" s="8"/>
    </row>
    <row r="341" spans="69:99" ht="15.75" customHeight="1">
      <c r="BQ341" s="8"/>
      <c r="BR341" s="8"/>
      <c r="CT341" s="8"/>
      <c r="CU341" s="8"/>
    </row>
    <row r="342" spans="69:99" ht="15.75" customHeight="1">
      <c r="BQ342" s="8"/>
      <c r="BR342" s="8"/>
      <c r="CT342" s="8"/>
      <c r="CU342" s="8"/>
    </row>
    <row r="343" spans="69:99" ht="15.75" customHeight="1">
      <c r="BQ343" s="8"/>
      <c r="BR343" s="8"/>
      <c r="CT343" s="8"/>
      <c r="CU343" s="8"/>
    </row>
    <row r="344" spans="69:99" ht="15.75" customHeight="1">
      <c r="BQ344" s="8"/>
      <c r="BR344" s="8"/>
      <c r="CT344" s="8"/>
      <c r="CU344" s="8"/>
    </row>
    <row r="345" spans="69:99" ht="15.75" customHeight="1">
      <c r="BQ345" s="8"/>
      <c r="BR345" s="8"/>
      <c r="CT345" s="8"/>
      <c r="CU345" s="8"/>
    </row>
    <row r="346" spans="69:99" ht="15.75" customHeight="1">
      <c r="BQ346" s="8"/>
      <c r="BR346" s="8"/>
      <c r="CT346" s="8"/>
      <c r="CU346" s="8"/>
    </row>
    <row r="347" spans="69:99" ht="15.75" customHeight="1">
      <c r="BQ347" s="8"/>
      <c r="BR347" s="8"/>
      <c r="CT347" s="8"/>
      <c r="CU347" s="8"/>
    </row>
    <row r="348" spans="69:99" ht="15.75" customHeight="1">
      <c r="BQ348" s="8"/>
      <c r="BR348" s="8"/>
      <c r="CT348" s="8"/>
      <c r="CU348" s="8"/>
    </row>
    <row r="349" spans="69:99" ht="15.75" customHeight="1">
      <c r="BQ349" s="8"/>
      <c r="BR349" s="8"/>
      <c r="CT349" s="8"/>
      <c r="CU349" s="8"/>
    </row>
    <row r="350" spans="69:99" ht="15.75" customHeight="1">
      <c r="BQ350" s="8"/>
      <c r="BR350" s="8"/>
      <c r="CT350" s="8"/>
      <c r="CU350" s="8"/>
    </row>
    <row r="351" spans="69:99" ht="15.75" customHeight="1">
      <c r="BQ351" s="8"/>
      <c r="BR351" s="8"/>
      <c r="CT351" s="8"/>
      <c r="CU351" s="8"/>
    </row>
    <row r="352" spans="69:99" ht="15.75" customHeight="1">
      <c r="BQ352" s="8"/>
      <c r="BR352" s="8"/>
      <c r="CT352" s="8"/>
      <c r="CU352" s="8"/>
    </row>
    <row r="353" spans="69:99" ht="15.75" customHeight="1">
      <c r="BQ353" s="8"/>
      <c r="BR353" s="8"/>
      <c r="CT353" s="8"/>
      <c r="CU353" s="8"/>
    </row>
    <row r="354" spans="69:99" ht="15.75" customHeight="1">
      <c r="BQ354" s="8"/>
      <c r="BR354" s="8"/>
      <c r="CT354" s="8"/>
      <c r="CU354" s="8"/>
    </row>
    <row r="355" spans="69:99" ht="15.75" customHeight="1">
      <c r="BQ355" s="8"/>
      <c r="BR355" s="8"/>
      <c r="CT355" s="8"/>
      <c r="CU355" s="8"/>
    </row>
    <row r="356" spans="69:99" ht="15.75" customHeight="1">
      <c r="BQ356" s="8"/>
      <c r="BR356" s="8"/>
      <c r="CT356" s="8"/>
      <c r="CU356" s="8"/>
    </row>
    <row r="357" spans="69:99" ht="15.75" customHeight="1">
      <c r="BQ357" s="8"/>
      <c r="BR357" s="8"/>
      <c r="CT357" s="8"/>
      <c r="CU357" s="8"/>
    </row>
    <row r="358" spans="69:99" ht="15.75" customHeight="1">
      <c r="BQ358" s="8"/>
      <c r="BR358" s="8"/>
      <c r="CT358" s="8"/>
      <c r="CU358" s="8"/>
    </row>
    <row r="359" spans="69:99" ht="15.75" customHeight="1">
      <c r="BQ359" s="8"/>
      <c r="BR359" s="8"/>
      <c r="CT359" s="8"/>
      <c r="CU359" s="8"/>
    </row>
    <row r="360" spans="69:99" ht="15.75" customHeight="1">
      <c r="BQ360" s="8"/>
      <c r="BR360" s="8"/>
      <c r="CT360" s="8"/>
      <c r="CU360" s="8"/>
    </row>
    <row r="361" spans="69:99" ht="15.75" customHeight="1">
      <c r="BQ361" s="8"/>
      <c r="BR361" s="8"/>
      <c r="CT361" s="8"/>
      <c r="CU361" s="8"/>
    </row>
    <row r="362" spans="69:99" ht="15.75" customHeight="1">
      <c r="BQ362" s="8"/>
      <c r="BR362" s="8"/>
      <c r="CT362" s="8"/>
      <c r="CU362" s="8"/>
    </row>
    <row r="363" spans="69:99" ht="15.75" customHeight="1">
      <c r="BQ363" s="8"/>
      <c r="BR363" s="8"/>
      <c r="CT363" s="8"/>
      <c r="CU363" s="8"/>
    </row>
    <row r="364" spans="69:99" ht="15.75" customHeight="1">
      <c r="BQ364" s="8"/>
      <c r="BR364" s="8"/>
      <c r="CT364" s="8"/>
      <c r="CU364" s="8"/>
    </row>
    <row r="365" spans="69:99" ht="15.75" customHeight="1">
      <c r="BQ365" s="8"/>
      <c r="BR365" s="8"/>
      <c r="CT365" s="8"/>
      <c r="CU365" s="8"/>
    </row>
    <row r="366" spans="69:99" ht="15.75" customHeight="1">
      <c r="BQ366" s="8"/>
      <c r="BR366" s="8"/>
      <c r="CT366" s="8"/>
      <c r="CU366" s="8"/>
    </row>
    <row r="367" spans="69:99" ht="15.75" customHeight="1">
      <c r="BQ367" s="8"/>
      <c r="BR367" s="8"/>
      <c r="CT367" s="8"/>
      <c r="CU367" s="8"/>
    </row>
    <row r="368" spans="69:99" ht="15.75" customHeight="1">
      <c r="BQ368" s="8"/>
      <c r="BR368" s="8"/>
      <c r="CT368" s="8"/>
      <c r="CU368" s="8"/>
    </row>
    <row r="369" spans="69:99" ht="15.75" customHeight="1">
      <c r="BQ369" s="8"/>
      <c r="BR369" s="8"/>
      <c r="CT369" s="8"/>
      <c r="CU369" s="8"/>
    </row>
    <row r="370" spans="69:99" ht="15.75" customHeight="1">
      <c r="BQ370" s="8"/>
      <c r="BR370" s="8"/>
      <c r="CT370" s="8"/>
      <c r="CU370" s="8"/>
    </row>
    <row r="371" spans="69:99" ht="15.75" customHeight="1">
      <c r="BQ371" s="8"/>
      <c r="BR371" s="8"/>
      <c r="CT371" s="8"/>
      <c r="CU371" s="8"/>
    </row>
    <row r="372" spans="69:99" ht="15.75" customHeight="1">
      <c r="BQ372" s="8"/>
      <c r="BR372" s="8"/>
      <c r="CT372" s="8"/>
      <c r="CU372" s="8"/>
    </row>
    <row r="373" spans="69:99" ht="15.75" customHeight="1">
      <c r="BQ373" s="8"/>
      <c r="BR373" s="8"/>
      <c r="CT373" s="8"/>
      <c r="CU373" s="8"/>
    </row>
    <row r="374" spans="69:99" ht="15.75" customHeight="1">
      <c r="BQ374" s="8"/>
      <c r="BR374" s="8"/>
      <c r="CT374" s="8"/>
      <c r="CU374" s="8"/>
    </row>
    <row r="375" spans="69:99" ht="15.75" customHeight="1">
      <c r="BQ375" s="8"/>
      <c r="BR375" s="8"/>
      <c r="CT375" s="8"/>
      <c r="CU375" s="8"/>
    </row>
    <row r="376" spans="69:99" ht="15.75" customHeight="1">
      <c r="BQ376" s="8"/>
      <c r="BR376" s="8"/>
      <c r="CT376" s="8"/>
      <c r="CU376" s="8"/>
    </row>
    <row r="377" spans="69:99" ht="15.75" customHeight="1">
      <c r="BQ377" s="8"/>
      <c r="BR377" s="8"/>
      <c r="CT377" s="8"/>
      <c r="CU377" s="8"/>
    </row>
    <row r="378" spans="69:99" ht="15.75" customHeight="1">
      <c r="BQ378" s="8"/>
      <c r="BR378" s="8"/>
      <c r="CT378" s="8"/>
      <c r="CU378" s="8"/>
    </row>
    <row r="379" spans="69:99" ht="15.75" customHeight="1">
      <c r="BQ379" s="8"/>
      <c r="BR379" s="8"/>
      <c r="CT379" s="8"/>
      <c r="CU379" s="8"/>
    </row>
    <row r="380" spans="69:99" ht="15.75" customHeight="1">
      <c r="BQ380" s="8"/>
      <c r="BR380" s="8"/>
      <c r="CT380" s="8"/>
      <c r="CU380" s="8"/>
    </row>
    <row r="381" spans="69:99" ht="15.75" customHeight="1">
      <c r="BQ381" s="8"/>
      <c r="BR381" s="8"/>
      <c r="CT381" s="8"/>
      <c r="CU381" s="8"/>
    </row>
    <row r="382" spans="69:99" ht="15.75" customHeight="1">
      <c r="BQ382" s="8"/>
      <c r="BR382" s="8"/>
      <c r="CT382" s="8"/>
      <c r="CU382" s="8"/>
    </row>
    <row r="383" spans="69:99" ht="15.75" customHeight="1">
      <c r="BQ383" s="8"/>
      <c r="BR383" s="8"/>
      <c r="CT383" s="8"/>
      <c r="CU383" s="8"/>
    </row>
    <row r="384" spans="69:99" ht="15.75" customHeight="1">
      <c r="BQ384" s="8"/>
      <c r="BR384" s="8"/>
      <c r="CT384" s="8"/>
      <c r="CU384" s="8"/>
    </row>
    <row r="385" spans="69:99" ht="15.75" customHeight="1">
      <c r="BQ385" s="8"/>
      <c r="BR385" s="8"/>
      <c r="CT385" s="8"/>
      <c r="CU385" s="8"/>
    </row>
    <row r="386" spans="69:99" ht="15.75" customHeight="1">
      <c r="BQ386" s="8"/>
      <c r="BR386" s="8"/>
      <c r="CT386" s="8"/>
      <c r="CU386" s="8"/>
    </row>
    <row r="387" spans="69:99" ht="15.75" customHeight="1">
      <c r="BQ387" s="8"/>
      <c r="BR387" s="8"/>
      <c r="CT387" s="8"/>
      <c r="CU387" s="8"/>
    </row>
    <row r="388" spans="69:99" ht="15.75" customHeight="1">
      <c r="BQ388" s="8"/>
      <c r="BR388" s="8"/>
      <c r="CT388" s="8"/>
      <c r="CU388" s="8"/>
    </row>
    <row r="389" spans="69:99" ht="15.75" customHeight="1">
      <c r="BQ389" s="8"/>
      <c r="BR389" s="8"/>
      <c r="CT389" s="8"/>
      <c r="CU389" s="8"/>
    </row>
    <row r="390" spans="69:99" ht="15.75" customHeight="1">
      <c r="BQ390" s="8"/>
      <c r="BR390" s="8"/>
      <c r="CT390" s="8"/>
      <c r="CU390" s="8"/>
    </row>
    <row r="391" spans="69:99" ht="15.75" customHeight="1">
      <c r="BQ391" s="8"/>
      <c r="BR391" s="8"/>
      <c r="CT391" s="8"/>
      <c r="CU391" s="8"/>
    </row>
    <row r="392" spans="69:99" ht="15.75" customHeight="1">
      <c r="BQ392" s="8"/>
      <c r="BR392" s="8"/>
      <c r="CT392" s="8"/>
      <c r="CU392" s="8"/>
    </row>
    <row r="393" spans="69:99" ht="15.75" customHeight="1">
      <c r="BQ393" s="8"/>
      <c r="BR393" s="8"/>
      <c r="CT393" s="8"/>
      <c r="CU393" s="8"/>
    </row>
    <row r="394" spans="69:99" ht="15.75" customHeight="1">
      <c r="BQ394" s="8"/>
      <c r="BR394" s="8"/>
      <c r="CT394" s="8"/>
      <c r="CU394" s="8"/>
    </row>
    <row r="395" spans="69:99" ht="15.75" customHeight="1">
      <c r="BQ395" s="8"/>
      <c r="BR395" s="8"/>
      <c r="CT395" s="8"/>
      <c r="CU395" s="8"/>
    </row>
    <row r="396" spans="69:99" ht="15.75" customHeight="1">
      <c r="BQ396" s="8"/>
      <c r="BR396" s="8"/>
      <c r="CT396" s="8"/>
      <c r="CU396" s="8"/>
    </row>
    <row r="397" spans="69:99" ht="15.75" customHeight="1">
      <c r="BQ397" s="8"/>
      <c r="BR397" s="8"/>
      <c r="CT397" s="8"/>
      <c r="CU397" s="8"/>
    </row>
    <row r="398" spans="69:99" ht="15.75" customHeight="1">
      <c r="BQ398" s="8"/>
      <c r="BR398" s="8"/>
      <c r="CT398" s="8"/>
      <c r="CU398" s="8"/>
    </row>
    <row r="399" spans="69:99" ht="15.75" customHeight="1">
      <c r="BQ399" s="8"/>
      <c r="BR399" s="8"/>
      <c r="CT399" s="8"/>
      <c r="CU399" s="8"/>
    </row>
    <row r="400" spans="69:99" ht="15.75" customHeight="1">
      <c r="BQ400" s="8"/>
      <c r="BR400" s="8"/>
      <c r="CT400" s="8"/>
      <c r="CU400" s="8"/>
    </row>
    <row r="401" spans="69:99" ht="15.75" customHeight="1">
      <c r="BQ401" s="8"/>
      <c r="BR401" s="8"/>
      <c r="CT401" s="8"/>
      <c r="CU401" s="8"/>
    </row>
    <row r="402" spans="69:99" ht="15.75" customHeight="1">
      <c r="BQ402" s="8"/>
      <c r="BR402" s="8"/>
      <c r="CT402" s="8"/>
      <c r="CU402" s="8"/>
    </row>
    <row r="403" spans="69:99" ht="15.75" customHeight="1">
      <c r="BQ403" s="8"/>
      <c r="BR403" s="8"/>
      <c r="CT403" s="8"/>
      <c r="CU403" s="8"/>
    </row>
    <row r="404" spans="69:99" ht="15.75" customHeight="1">
      <c r="BQ404" s="8"/>
      <c r="BR404" s="8"/>
      <c r="CT404" s="8"/>
      <c r="CU404" s="8"/>
    </row>
    <row r="405" spans="69:99" ht="15.75" customHeight="1">
      <c r="BQ405" s="8"/>
      <c r="BR405" s="8"/>
      <c r="CT405" s="8"/>
      <c r="CU405" s="8"/>
    </row>
    <row r="406" spans="69:99" ht="15.75" customHeight="1">
      <c r="BQ406" s="8"/>
      <c r="BR406" s="8"/>
      <c r="CT406" s="8"/>
      <c r="CU406" s="8"/>
    </row>
    <row r="407" spans="69:99" ht="15.75" customHeight="1">
      <c r="BQ407" s="8"/>
      <c r="BR407" s="8"/>
      <c r="CT407" s="8"/>
      <c r="CU407" s="8"/>
    </row>
    <row r="408" spans="69:99" ht="15.75" customHeight="1">
      <c r="BQ408" s="8"/>
      <c r="BR408" s="8"/>
      <c r="CT408" s="8"/>
      <c r="CU408" s="8"/>
    </row>
    <row r="409" spans="69:99" ht="15.75" customHeight="1">
      <c r="BQ409" s="8"/>
      <c r="BR409" s="8"/>
      <c r="CT409" s="8"/>
      <c r="CU409" s="8"/>
    </row>
    <row r="410" spans="69:99" ht="15.75" customHeight="1">
      <c r="BQ410" s="8"/>
      <c r="BR410" s="8"/>
      <c r="CT410" s="8"/>
      <c r="CU410" s="8"/>
    </row>
    <row r="411" spans="69:99" ht="15.75" customHeight="1">
      <c r="BQ411" s="8"/>
      <c r="BR411" s="8"/>
      <c r="CT411" s="8"/>
      <c r="CU411" s="8"/>
    </row>
    <row r="412" spans="69:99" ht="15.75" customHeight="1">
      <c r="BQ412" s="8"/>
      <c r="BR412" s="8"/>
      <c r="CT412" s="8"/>
      <c r="CU412" s="8"/>
    </row>
    <row r="413" spans="69:99" ht="15.75" customHeight="1">
      <c r="BQ413" s="8"/>
      <c r="BR413" s="8"/>
      <c r="CT413" s="8"/>
      <c r="CU413" s="8"/>
    </row>
    <row r="414" spans="69:99" ht="15.75" customHeight="1">
      <c r="BQ414" s="8"/>
      <c r="BR414" s="8"/>
      <c r="CT414" s="8"/>
      <c r="CU414" s="8"/>
    </row>
    <row r="415" spans="69:99" ht="15.75" customHeight="1">
      <c r="BQ415" s="8"/>
      <c r="BR415" s="8"/>
      <c r="CT415" s="8"/>
      <c r="CU415" s="8"/>
    </row>
    <row r="416" spans="69:99" ht="15.75" customHeight="1">
      <c r="BQ416" s="8"/>
      <c r="BR416" s="8"/>
      <c r="CT416" s="8"/>
      <c r="CU416" s="8"/>
    </row>
    <row r="417" spans="69:99" ht="15.75" customHeight="1">
      <c r="BQ417" s="8"/>
      <c r="BR417" s="8"/>
      <c r="CT417" s="8"/>
      <c r="CU417" s="8"/>
    </row>
    <row r="418" spans="69:99" ht="15.75" customHeight="1">
      <c r="BQ418" s="8"/>
      <c r="BR418" s="8"/>
      <c r="CT418" s="8"/>
      <c r="CU418" s="8"/>
    </row>
    <row r="419" spans="69:99" ht="15.75" customHeight="1">
      <c r="BQ419" s="8"/>
      <c r="BR419" s="8"/>
      <c r="CT419" s="8"/>
      <c r="CU419" s="8"/>
    </row>
    <row r="420" spans="69:99" ht="15.75" customHeight="1">
      <c r="BQ420" s="8"/>
      <c r="BR420" s="8"/>
      <c r="CT420" s="8"/>
      <c r="CU420" s="8"/>
    </row>
    <row r="421" spans="69:99" ht="15.75" customHeight="1">
      <c r="BQ421" s="8"/>
      <c r="BR421" s="8"/>
      <c r="CT421" s="8"/>
      <c r="CU421" s="8"/>
    </row>
    <row r="422" spans="69:99" ht="15.75" customHeight="1">
      <c r="BQ422" s="8"/>
      <c r="BR422" s="8"/>
      <c r="CT422" s="8"/>
      <c r="CU422" s="8"/>
    </row>
    <row r="423" spans="69:99" ht="15.75" customHeight="1">
      <c r="BQ423" s="8"/>
      <c r="BR423" s="8"/>
      <c r="CT423" s="8"/>
      <c r="CU423" s="8"/>
    </row>
    <row r="424" spans="69:99" ht="15.75" customHeight="1">
      <c r="BQ424" s="8"/>
      <c r="BR424" s="8"/>
      <c r="CT424" s="8"/>
      <c r="CU424" s="8"/>
    </row>
    <row r="425" spans="69:99" ht="15.75" customHeight="1">
      <c r="BQ425" s="8"/>
      <c r="BR425" s="8"/>
      <c r="CT425" s="8"/>
      <c r="CU425" s="8"/>
    </row>
    <row r="426" spans="69:99" ht="15.75" customHeight="1">
      <c r="BQ426" s="8"/>
      <c r="BR426" s="8"/>
      <c r="CT426" s="8"/>
      <c r="CU426" s="8"/>
    </row>
    <row r="427" spans="69:99" ht="15.75" customHeight="1">
      <c r="BQ427" s="8"/>
      <c r="BR427" s="8"/>
      <c r="CT427" s="8"/>
      <c r="CU427" s="8"/>
    </row>
    <row r="428" spans="69:99" ht="15.75" customHeight="1">
      <c r="BQ428" s="8"/>
      <c r="BR428" s="8"/>
      <c r="CT428" s="8"/>
      <c r="CU428" s="8"/>
    </row>
    <row r="429" spans="69:99" ht="15.75" customHeight="1">
      <c r="BQ429" s="8"/>
      <c r="BR429" s="8"/>
      <c r="CT429" s="8"/>
      <c r="CU429" s="8"/>
    </row>
    <row r="430" spans="69:99" ht="15.75" customHeight="1">
      <c r="BQ430" s="8"/>
      <c r="BR430" s="8"/>
      <c r="CT430" s="8"/>
      <c r="CU430" s="8"/>
    </row>
    <row r="431" spans="69:99" ht="15.75" customHeight="1">
      <c r="BQ431" s="8"/>
      <c r="BR431" s="8"/>
      <c r="CT431" s="8"/>
      <c r="CU431" s="8"/>
    </row>
    <row r="432" spans="69:99" ht="15.75" customHeight="1">
      <c r="BQ432" s="8"/>
      <c r="BR432" s="8"/>
      <c r="CT432" s="8"/>
      <c r="CU432" s="8"/>
    </row>
    <row r="433" spans="69:99" ht="15.75" customHeight="1">
      <c r="BQ433" s="8"/>
      <c r="BR433" s="8"/>
      <c r="CT433" s="8"/>
      <c r="CU433" s="8"/>
    </row>
    <row r="434" spans="69:99" ht="15.75" customHeight="1">
      <c r="BQ434" s="8"/>
      <c r="BR434" s="8"/>
      <c r="CT434" s="8"/>
      <c r="CU434" s="8"/>
    </row>
    <row r="435" spans="69:99" ht="15.75" customHeight="1">
      <c r="BQ435" s="8"/>
      <c r="BR435" s="8"/>
      <c r="CT435" s="8"/>
      <c r="CU435" s="8"/>
    </row>
    <row r="436" spans="69:99" ht="15.75" customHeight="1">
      <c r="BQ436" s="8"/>
      <c r="BR436" s="8"/>
      <c r="CT436" s="8"/>
      <c r="CU436" s="8"/>
    </row>
    <row r="437" spans="69:99" ht="15.75" customHeight="1">
      <c r="BQ437" s="8"/>
      <c r="BR437" s="8"/>
      <c r="CT437" s="8"/>
      <c r="CU437" s="8"/>
    </row>
    <row r="438" spans="69:99" ht="15.75" customHeight="1">
      <c r="BQ438" s="8"/>
      <c r="BR438" s="8"/>
      <c r="CT438" s="8"/>
      <c r="CU438" s="8"/>
    </row>
    <row r="439" spans="69:99" ht="15.75" customHeight="1">
      <c r="BQ439" s="8"/>
      <c r="BR439" s="8"/>
      <c r="CT439" s="8"/>
      <c r="CU439" s="8"/>
    </row>
    <row r="440" spans="69:99" ht="15.75" customHeight="1">
      <c r="BQ440" s="8"/>
      <c r="BR440" s="8"/>
      <c r="CT440" s="8"/>
      <c r="CU440" s="8"/>
    </row>
    <row r="441" spans="69:99" ht="15.75" customHeight="1">
      <c r="BQ441" s="8"/>
      <c r="BR441" s="8"/>
      <c r="CT441" s="8"/>
      <c r="CU441" s="8"/>
    </row>
    <row r="442" spans="69:99" ht="15.75" customHeight="1">
      <c r="BQ442" s="8"/>
      <c r="BR442" s="8"/>
      <c r="CT442" s="8"/>
      <c r="CU442" s="8"/>
    </row>
    <row r="443" spans="69:99" ht="15.75" customHeight="1">
      <c r="BQ443" s="8"/>
      <c r="BR443" s="8"/>
      <c r="CT443" s="8"/>
      <c r="CU443" s="8"/>
    </row>
    <row r="444" spans="69:99" ht="15.75" customHeight="1">
      <c r="BQ444" s="8"/>
      <c r="BR444" s="8"/>
      <c r="CT444" s="8"/>
      <c r="CU444" s="8"/>
    </row>
    <row r="445" spans="69:99" ht="15.75" customHeight="1">
      <c r="BQ445" s="8"/>
      <c r="BR445" s="8"/>
      <c r="CT445" s="8"/>
      <c r="CU445" s="8"/>
    </row>
    <row r="446" spans="69:99" ht="15.75" customHeight="1">
      <c r="BQ446" s="8"/>
      <c r="BR446" s="8"/>
      <c r="CT446" s="8"/>
      <c r="CU446" s="8"/>
    </row>
    <row r="447" spans="69:99" ht="15.75" customHeight="1">
      <c r="BQ447" s="8"/>
      <c r="BR447" s="8"/>
      <c r="CT447" s="8"/>
      <c r="CU447" s="8"/>
    </row>
    <row r="448" spans="69:99" ht="15.75" customHeight="1">
      <c r="BQ448" s="8"/>
      <c r="BR448" s="8"/>
      <c r="CT448" s="8"/>
      <c r="CU448" s="8"/>
    </row>
    <row r="449" spans="69:99" ht="15.75" customHeight="1">
      <c r="BQ449" s="8"/>
      <c r="BR449" s="8"/>
      <c r="CT449" s="8"/>
      <c r="CU449" s="8"/>
    </row>
    <row r="450" spans="69:99" ht="15.75" customHeight="1">
      <c r="BQ450" s="8"/>
      <c r="BR450" s="8"/>
      <c r="CT450" s="8"/>
      <c r="CU450" s="8"/>
    </row>
    <row r="451" spans="69:99" ht="15.75" customHeight="1">
      <c r="BQ451" s="8"/>
      <c r="BR451" s="8"/>
      <c r="CT451" s="8"/>
      <c r="CU451" s="8"/>
    </row>
    <row r="452" spans="69:99" ht="15.75" customHeight="1">
      <c r="BQ452" s="8"/>
      <c r="BR452" s="8"/>
      <c r="CT452" s="8"/>
      <c r="CU452" s="8"/>
    </row>
    <row r="453" spans="69:99" ht="15.75" customHeight="1">
      <c r="BQ453" s="8"/>
      <c r="BR453" s="8"/>
      <c r="CT453" s="8"/>
      <c r="CU453" s="8"/>
    </row>
    <row r="454" spans="69:99" ht="15.75" customHeight="1">
      <c r="BQ454" s="8"/>
      <c r="BR454" s="8"/>
      <c r="CT454" s="8"/>
      <c r="CU454" s="8"/>
    </row>
    <row r="455" spans="69:99" ht="15.75" customHeight="1">
      <c r="BQ455" s="8"/>
      <c r="BR455" s="8"/>
      <c r="CT455" s="8"/>
      <c r="CU455" s="8"/>
    </row>
    <row r="456" spans="69:99" ht="15.75" customHeight="1">
      <c r="BQ456" s="8"/>
      <c r="BR456" s="8"/>
      <c r="CT456" s="8"/>
      <c r="CU456" s="8"/>
    </row>
    <row r="457" spans="69:99" ht="15.75" customHeight="1">
      <c r="BQ457" s="8"/>
      <c r="BR457" s="8"/>
      <c r="CT457" s="8"/>
      <c r="CU457" s="8"/>
    </row>
    <row r="458" spans="69:99" ht="15.75" customHeight="1">
      <c r="BQ458" s="8"/>
      <c r="BR458" s="8"/>
      <c r="CT458" s="8"/>
      <c r="CU458" s="8"/>
    </row>
    <row r="459" spans="69:99" ht="15.75" customHeight="1">
      <c r="BQ459" s="8"/>
      <c r="BR459" s="8"/>
      <c r="CT459" s="8"/>
      <c r="CU459" s="8"/>
    </row>
    <row r="460" spans="69:99" ht="15.75" customHeight="1">
      <c r="BQ460" s="8"/>
      <c r="BR460" s="8"/>
      <c r="CT460" s="8"/>
      <c r="CU460" s="8"/>
    </row>
    <row r="461" spans="69:99" ht="15.75" customHeight="1">
      <c r="BQ461" s="8"/>
      <c r="BR461" s="8"/>
      <c r="CT461" s="8"/>
      <c r="CU461" s="8"/>
    </row>
    <row r="462" spans="69:99" ht="15.75" customHeight="1">
      <c r="BQ462" s="8"/>
      <c r="BR462" s="8"/>
      <c r="CT462" s="8"/>
      <c r="CU462" s="8"/>
    </row>
    <row r="463" spans="69:99" ht="15.75" customHeight="1">
      <c r="BQ463" s="8"/>
      <c r="BR463" s="8"/>
      <c r="CT463" s="8"/>
      <c r="CU463" s="8"/>
    </row>
    <row r="464" spans="69:99" ht="15.75" customHeight="1">
      <c r="BQ464" s="8"/>
      <c r="BR464" s="8"/>
      <c r="CT464" s="8"/>
      <c r="CU464" s="8"/>
    </row>
    <row r="465" spans="69:99" ht="15.75" customHeight="1">
      <c r="BQ465" s="8"/>
      <c r="BR465" s="8"/>
      <c r="CT465" s="8"/>
      <c r="CU465" s="8"/>
    </row>
    <row r="466" spans="69:99" ht="15.75" customHeight="1">
      <c r="BQ466" s="8"/>
      <c r="BR466" s="8"/>
      <c r="CT466" s="8"/>
      <c r="CU466" s="8"/>
    </row>
    <row r="467" spans="69:99" ht="15.75" customHeight="1">
      <c r="BQ467" s="8"/>
      <c r="BR467" s="8"/>
      <c r="CT467" s="8"/>
      <c r="CU467" s="8"/>
    </row>
    <row r="468" spans="69:99" ht="15.75" customHeight="1">
      <c r="BQ468" s="8"/>
      <c r="BR468" s="8"/>
      <c r="CT468" s="8"/>
      <c r="CU468" s="8"/>
    </row>
    <row r="469" spans="69:99" ht="15.75" customHeight="1">
      <c r="BQ469" s="8"/>
      <c r="BR469" s="8"/>
      <c r="CT469" s="8"/>
      <c r="CU469" s="8"/>
    </row>
    <row r="470" spans="69:99" ht="15.75" customHeight="1">
      <c r="BQ470" s="8"/>
      <c r="BR470" s="8"/>
      <c r="CT470" s="8"/>
      <c r="CU470" s="8"/>
    </row>
    <row r="471" spans="69:99" ht="15.75" customHeight="1">
      <c r="BQ471" s="8"/>
      <c r="BR471" s="8"/>
      <c r="CT471" s="8"/>
      <c r="CU471" s="8"/>
    </row>
    <row r="472" spans="69:99" ht="15.75" customHeight="1">
      <c r="BQ472" s="8"/>
      <c r="BR472" s="8"/>
      <c r="CT472" s="8"/>
      <c r="CU472" s="8"/>
    </row>
    <row r="473" spans="69:99" ht="15.75" customHeight="1">
      <c r="BQ473" s="8"/>
      <c r="BR473" s="8"/>
      <c r="CT473" s="8"/>
      <c r="CU473" s="8"/>
    </row>
    <row r="474" spans="69:99" ht="15.75" customHeight="1">
      <c r="BQ474" s="8"/>
      <c r="BR474" s="8"/>
      <c r="CT474" s="8"/>
      <c r="CU474" s="8"/>
    </row>
    <row r="475" spans="69:99" ht="15.75" customHeight="1">
      <c r="BQ475" s="8"/>
      <c r="BR475" s="8"/>
      <c r="CT475" s="8"/>
      <c r="CU475" s="8"/>
    </row>
    <row r="476" spans="69:99" ht="15.75" customHeight="1">
      <c r="BQ476" s="8"/>
      <c r="BR476" s="8"/>
      <c r="CT476" s="8"/>
      <c r="CU476" s="8"/>
    </row>
    <row r="477" spans="69:99" ht="15.75" customHeight="1">
      <c r="BQ477" s="8"/>
      <c r="BR477" s="8"/>
      <c r="CT477" s="8"/>
      <c r="CU477" s="8"/>
    </row>
    <row r="478" spans="69:99" ht="15.75" customHeight="1">
      <c r="BQ478" s="8"/>
      <c r="BR478" s="8"/>
      <c r="CT478" s="8"/>
      <c r="CU478" s="8"/>
    </row>
    <row r="479" spans="69:99" ht="15.75" customHeight="1">
      <c r="BQ479" s="8"/>
      <c r="BR479" s="8"/>
      <c r="CT479" s="8"/>
      <c r="CU479" s="8"/>
    </row>
    <row r="480" spans="69:99" ht="15.75" customHeight="1">
      <c r="BQ480" s="8"/>
      <c r="BR480" s="8"/>
      <c r="CT480" s="8"/>
      <c r="CU480" s="8"/>
    </row>
    <row r="481" spans="69:99" ht="15.75" customHeight="1">
      <c r="BQ481" s="8"/>
      <c r="BR481" s="8"/>
      <c r="CT481" s="8"/>
      <c r="CU481" s="8"/>
    </row>
    <row r="482" spans="69:99" ht="15.75" customHeight="1">
      <c r="BQ482" s="8"/>
      <c r="BR482" s="8"/>
      <c r="CT482" s="8"/>
      <c r="CU482" s="8"/>
    </row>
    <row r="483" spans="69:99" ht="15.75" customHeight="1">
      <c r="BQ483" s="8"/>
      <c r="BR483" s="8"/>
      <c r="CT483" s="8"/>
      <c r="CU483" s="8"/>
    </row>
    <row r="484" spans="69:99" ht="15.75" customHeight="1">
      <c r="BQ484" s="8"/>
      <c r="BR484" s="8"/>
      <c r="CT484" s="8"/>
      <c r="CU484" s="8"/>
    </row>
    <row r="485" spans="69:99" ht="15.75" customHeight="1">
      <c r="BQ485" s="8"/>
      <c r="BR485" s="8"/>
      <c r="CT485" s="8"/>
      <c r="CU485" s="8"/>
    </row>
    <row r="486" spans="69:99" ht="15.75" customHeight="1">
      <c r="BQ486" s="8"/>
      <c r="BR486" s="8"/>
      <c r="CT486" s="8"/>
      <c r="CU486" s="8"/>
    </row>
    <row r="487" spans="69:99" ht="15.75" customHeight="1">
      <c r="BQ487" s="8"/>
      <c r="BR487" s="8"/>
      <c r="CT487" s="8"/>
      <c r="CU487" s="8"/>
    </row>
    <row r="488" spans="69:99" ht="15.75" customHeight="1">
      <c r="BQ488" s="8"/>
      <c r="BR488" s="8"/>
      <c r="CT488" s="8"/>
      <c r="CU488" s="8"/>
    </row>
    <row r="489" spans="69:99" ht="15.75" customHeight="1">
      <c r="BQ489" s="8"/>
      <c r="BR489" s="8"/>
      <c r="CT489" s="8"/>
      <c r="CU489" s="8"/>
    </row>
    <row r="490" spans="69:99" ht="15.75" customHeight="1">
      <c r="BQ490" s="8"/>
      <c r="BR490" s="8"/>
      <c r="CT490" s="8"/>
      <c r="CU490" s="8"/>
    </row>
    <row r="491" spans="69:99" ht="15.75" customHeight="1">
      <c r="BQ491" s="8"/>
      <c r="BR491" s="8"/>
      <c r="CT491" s="8"/>
      <c r="CU491" s="8"/>
    </row>
    <row r="492" spans="69:99" ht="15.75" customHeight="1">
      <c r="BQ492" s="8"/>
      <c r="BR492" s="8"/>
      <c r="CT492" s="8"/>
      <c r="CU492" s="8"/>
    </row>
    <row r="493" spans="69:99" ht="15.75" customHeight="1">
      <c r="BQ493" s="8"/>
      <c r="BR493" s="8"/>
      <c r="CT493" s="8"/>
      <c r="CU493" s="8"/>
    </row>
    <row r="494" spans="69:99" ht="15.75" customHeight="1">
      <c r="BQ494" s="8"/>
      <c r="BR494" s="8"/>
      <c r="CT494" s="8"/>
      <c r="CU494" s="8"/>
    </row>
    <row r="495" spans="69:99" ht="15.75" customHeight="1">
      <c r="BQ495" s="8"/>
      <c r="BR495" s="8"/>
      <c r="CT495" s="8"/>
      <c r="CU495" s="8"/>
    </row>
    <row r="496" spans="69:99" ht="15.75" customHeight="1">
      <c r="BQ496" s="8"/>
      <c r="BR496" s="8"/>
      <c r="CT496" s="8"/>
      <c r="CU496" s="8"/>
    </row>
    <row r="497" spans="69:99" ht="15.75" customHeight="1">
      <c r="BQ497" s="8"/>
      <c r="BR497" s="8"/>
      <c r="CT497" s="8"/>
      <c r="CU497" s="8"/>
    </row>
    <row r="498" spans="69:99" ht="15.75" customHeight="1">
      <c r="BQ498" s="8"/>
      <c r="BR498" s="8"/>
      <c r="CT498" s="8"/>
      <c r="CU498" s="8"/>
    </row>
    <row r="499" spans="69:99" ht="15.75" customHeight="1">
      <c r="BQ499" s="8"/>
      <c r="BR499" s="8"/>
      <c r="CT499" s="8"/>
      <c r="CU499" s="8"/>
    </row>
    <row r="500" spans="69:99" ht="15.75" customHeight="1">
      <c r="BQ500" s="8"/>
      <c r="BR500" s="8"/>
      <c r="CT500" s="8"/>
      <c r="CU500" s="8"/>
    </row>
    <row r="501" spans="69:99" ht="15.75" customHeight="1">
      <c r="BQ501" s="8"/>
      <c r="BR501" s="8"/>
      <c r="CT501" s="8"/>
      <c r="CU501" s="8"/>
    </row>
    <row r="502" spans="69:99" ht="15.75" customHeight="1">
      <c r="BQ502" s="8"/>
      <c r="BR502" s="8"/>
      <c r="CT502" s="8"/>
      <c r="CU502" s="8"/>
    </row>
    <row r="503" spans="69:99" ht="15.75" customHeight="1">
      <c r="BQ503" s="8"/>
      <c r="BR503" s="8"/>
      <c r="CT503" s="8"/>
      <c r="CU503" s="8"/>
    </row>
    <row r="504" spans="69:99" ht="15.75" customHeight="1">
      <c r="BQ504" s="8"/>
      <c r="BR504" s="8"/>
      <c r="CT504" s="8"/>
      <c r="CU504" s="8"/>
    </row>
    <row r="505" spans="69:99" ht="15.75" customHeight="1">
      <c r="BQ505" s="8"/>
      <c r="BR505" s="8"/>
      <c r="CT505" s="8"/>
      <c r="CU505" s="8"/>
    </row>
    <row r="506" spans="69:99" ht="15.75" customHeight="1">
      <c r="BQ506" s="8"/>
      <c r="BR506" s="8"/>
      <c r="CT506" s="8"/>
      <c r="CU506" s="8"/>
    </row>
    <row r="507" spans="69:99" ht="15.75" customHeight="1">
      <c r="BQ507" s="8"/>
      <c r="BR507" s="8"/>
      <c r="CT507" s="8"/>
      <c r="CU507" s="8"/>
    </row>
    <row r="508" spans="69:99" ht="15.75" customHeight="1">
      <c r="BQ508" s="8"/>
      <c r="BR508" s="8"/>
      <c r="CT508" s="8"/>
      <c r="CU508" s="8"/>
    </row>
    <row r="509" spans="69:99" ht="15.75" customHeight="1">
      <c r="BQ509" s="8"/>
      <c r="BR509" s="8"/>
      <c r="CT509" s="8"/>
      <c r="CU509" s="8"/>
    </row>
    <row r="510" spans="69:99" ht="15.75" customHeight="1">
      <c r="BQ510" s="8"/>
      <c r="BR510" s="8"/>
      <c r="CT510" s="8"/>
      <c r="CU510" s="8"/>
    </row>
    <row r="511" spans="69:99" ht="15.75" customHeight="1">
      <c r="BQ511" s="8"/>
      <c r="BR511" s="8"/>
      <c r="CT511" s="8"/>
      <c r="CU511" s="8"/>
    </row>
    <row r="512" spans="69:99" ht="15.75" customHeight="1">
      <c r="BQ512" s="8"/>
      <c r="BR512" s="8"/>
      <c r="CT512" s="8"/>
      <c r="CU512" s="8"/>
    </row>
    <row r="513" spans="69:99" ht="15.75" customHeight="1">
      <c r="BQ513" s="8"/>
      <c r="BR513" s="8"/>
      <c r="CT513" s="8"/>
      <c r="CU513" s="8"/>
    </row>
    <row r="514" spans="69:99" ht="15.75" customHeight="1">
      <c r="BQ514" s="8"/>
      <c r="BR514" s="8"/>
      <c r="CT514" s="8"/>
      <c r="CU514" s="8"/>
    </row>
    <row r="515" spans="69:99" ht="15.75" customHeight="1">
      <c r="BQ515" s="8"/>
      <c r="BR515" s="8"/>
      <c r="CT515" s="8"/>
      <c r="CU515" s="8"/>
    </row>
    <row r="516" spans="69:99" ht="15.75" customHeight="1">
      <c r="BQ516" s="8"/>
      <c r="BR516" s="8"/>
      <c r="CT516" s="8"/>
      <c r="CU516" s="8"/>
    </row>
    <row r="517" spans="69:99" ht="15.75" customHeight="1">
      <c r="BQ517" s="8"/>
      <c r="BR517" s="8"/>
      <c r="CT517" s="8"/>
      <c r="CU517" s="8"/>
    </row>
    <row r="518" spans="69:99" ht="15.75" customHeight="1">
      <c r="BQ518" s="8"/>
      <c r="BR518" s="8"/>
      <c r="CT518" s="8"/>
      <c r="CU518" s="8"/>
    </row>
    <row r="519" spans="69:99" ht="15.75" customHeight="1">
      <c r="BQ519" s="8"/>
      <c r="BR519" s="8"/>
      <c r="CT519" s="8"/>
      <c r="CU519" s="8"/>
    </row>
    <row r="520" spans="69:99" ht="15.75" customHeight="1">
      <c r="BQ520" s="8"/>
      <c r="BR520" s="8"/>
      <c r="CT520" s="8"/>
      <c r="CU520" s="8"/>
    </row>
    <row r="521" spans="69:99" ht="15.75" customHeight="1">
      <c r="BQ521" s="8"/>
      <c r="BR521" s="8"/>
      <c r="CT521" s="8"/>
      <c r="CU521" s="8"/>
    </row>
    <row r="522" spans="69:99" ht="15.75" customHeight="1">
      <c r="BQ522" s="8"/>
      <c r="BR522" s="8"/>
      <c r="CT522" s="8"/>
      <c r="CU522" s="8"/>
    </row>
    <row r="523" spans="69:99" ht="15.75" customHeight="1">
      <c r="BQ523" s="8"/>
      <c r="BR523" s="8"/>
      <c r="CT523" s="8"/>
      <c r="CU523" s="8"/>
    </row>
    <row r="524" spans="69:99" ht="15.75" customHeight="1">
      <c r="BQ524" s="8"/>
      <c r="BR524" s="8"/>
      <c r="CT524" s="8"/>
      <c r="CU524" s="8"/>
    </row>
    <row r="525" spans="69:99" ht="15.75" customHeight="1">
      <c r="BQ525" s="8"/>
      <c r="BR525" s="8"/>
      <c r="CT525" s="8"/>
      <c r="CU525" s="8"/>
    </row>
    <row r="526" spans="69:99" ht="15.75" customHeight="1">
      <c r="BQ526" s="8"/>
      <c r="BR526" s="8"/>
      <c r="CT526" s="8"/>
      <c r="CU526" s="8"/>
    </row>
    <row r="527" spans="69:99" ht="15.75" customHeight="1">
      <c r="BQ527" s="8"/>
      <c r="BR527" s="8"/>
      <c r="CT527" s="8"/>
      <c r="CU527" s="8"/>
    </row>
    <row r="528" spans="69:99" ht="15.75" customHeight="1">
      <c r="BQ528" s="8"/>
      <c r="BR528" s="8"/>
      <c r="CT528" s="8"/>
      <c r="CU528" s="8"/>
    </row>
    <row r="529" spans="69:99" ht="15.75" customHeight="1">
      <c r="BQ529" s="8"/>
      <c r="BR529" s="8"/>
      <c r="CT529" s="8"/>
      <c r="CU529" s="8"/>
    </row>
    <row r="530" spans="69:99" ht="15.75" customHeight="1">
      <c r="BQ530" s="8"/>
      <c r="BR530" s="8"/>
      <c r="CT530" s="8"/>
      <c r="CU530" s="8"/>
    </row>
    <row r="531" spans="69:99" ht="15.75" customHeight="1">
      <c r="BQ531" s="8"/>
      <c r="BR531" s="8"/>
      <c r="CT531" s="8"/>
      <c r="CU531" s="8"/>
    </row>
    <row r="532" spans="69:99" ht="15.75" customHeight="1">
      <c r="BQ532" s="8"/>
      <c r="BR532" s="8"/>
      <c r="CT532" s="8"/>
      <c r="CU532" s="8"/>
    </row>
    <row r="533" spans="69:99" ht="15.75" customHeight="1">
      <c r="BQ533" s="8"/>
      <c r="BR533" s="8"/>
      <c r="CT533" s="8"/>
      <c r="CU533" s="8"/>
    </row>
    <row r="534" spans="69:99" ht="15.75" customHeight="1">
      <c r="BQ534" s="8"/>
      <c r="BR534" s="8"/>
      <c r="CT534" s="8"/>
      <c r="CU534" s="8"/>
    </row>
    <row r="535" spans="69:99" ht="15.75" customHeight="1">
      <c r="BQ535" s="8"/>
      <c r="BR535" s="8"/>
      <c r="CT535" s="8"/>
      <c r="CU535" s="8"/>
    </row>
    <row r="536" spans="69:99" ht="15.75" customHeight="1">
      <c r="BQ536" s="8"/>
      <c r="BR536" s="8"/>
      <c r="CT536" s="8"/>
      <c r="CU536" s="8"/>
    </row>
    <row r="537" spans="69:99" ht="15.75" customHeight="1">
      <c r="BQ537" s="8"/>
      <c r="BR537" s="8"/>
      <c r="CT537" s="8"/>
      <c r="CU537" s="8"/>
    </row>
    <row r="538" spans="69:99" ht="15.75" customHeight="1">
      <c r="BQ538" s="8"/>
      <c r="BR538" s="8"/>
      <c r="CT538" s="8"/>
      <c r="CU538" s="8"/>
    </row>
    <row r="539" spans="69:99" ht="15.75" customHeight="1">
      <c r="BQ539" s="8"/>
      <c r="BR539" s="8"/>
      <c r="CT539" s="8"/>
      <c r="CU539" s="8"/>
    </row>
    <row r="540" spans="69:99" ht="15.75" customHeight="1">
      <c r="BQ540" s="8"/>
      <c r="BR540" s="8"/>
      <c r="CT540" s="8"/>
      <c r="CU540" s="8"/>
    </row>
    <row r="541" spans="69:99" ht="15.75" customHeight="1">
      <c r="BQ541" s="8"/>
      <c r="BR541" s="8"/>
      <c r="CT541" s="8"/>
      <c r="CU541" s="8"/>
    </row>
    <row r="542" spans="69:99" ht="15.75" customHeight="1">
      <c r="BQ542" s="8"/>
      <c r="BR542" s="8"/>
      <c r="CT542" s="8"/>
      <c r="CU542" s="8"/>
    </row>
    <row r="543" spans="69:99" ht="15.75" customHeight="1">
      <c r="BQ543" s="8"/>
      <c r="BR543" s="8"/>
      <c r="CT543" s="8"/>
      <c r="CU543" s="8"/>
    </row>
    <row r="544" spans="69:99" ht="15.75" customHeight="1">
      <c r="BQ544" s="8"/>
      <c r="BR544" s="8"/>
      <c r="CT544" s="8"/>
      <c r="CU544" s="8"/>
    </row>
    <row r="545" spans="69:99" ht="15.75" customHeight="1">
      <c r="BQ545" s="8"/>
      <c r="BR545" s="8"/>
      <c r="CT545" s="8"/>
      <c r="CU545" s="8"/>
    </row>
    <row r="546" spans="69:99" ht="15.75" customHeight="1">
      <c r="BQ546" s="8"/>
      <c r="BR546" s="8"/>
      <c r="CT546" s="8"/>
      <c r="CU546" s="8"/>
    </row>
    <row r="547" spans="69:99" ht="15.75" customHeight="1">
      <c r="BQ547" s="8"/>
      <c r="BR547" s="8"/>
      <c r="CT547" s="8"/>
      <c r="CU547" s="8"/>
    </row>
    <row r="548" spans="69:99" ht="15.75" customHeight="1">
      <c r="BQ548" s="8"/>
      <c r="BR548" s="8"/>
      <c r="CT548" s="8"/>
      <c r="CU548" s="8"/>
    </row>
    <row r="549" spans="69:99" ht="15.75" customHeight="1">
      <c r="BQ549" s="8"/>
      <c r="BR549" s="8"/>
      <c r="CT549" s="8"/>
      <c r="CU549" s="8"/>
    </row>
    <row r="550" spans="69:99" ht="15.75" customHeight="1">
      <c r="BQ550" s="8"/>
      <c r="BR550" s="8"/>
      <c r="CT550" s="8"/>
      <c r="CU550" s="8"/>
    </row>
    <row r="551" spans="69:99" ht="15.75" customHeight="1">
      <c r="BQ551" s="8"/>
      <c r="BR551" s="8"/>
      <c r="CT551" s="8"/>
      <c r="CU551" s="8"/>
    </row>
    <row r="552" spans="69:99" ht="15.75" customHeight="1">
      <c r="BQ552" s="8"/>
      <c r="BR552" s="8"/>
      <c r="CT552" s="8"/>
      <c r="CU552" s="8"/>
    </row>
    <row r="553" spans="69:99" ht="15.75" customHeight="1">
      <c r="BQ553" s="8"/>
      <c r="BR553" s="8"/>
      <c r="CT553" s="8"/>
      <c r="CU553" s="8"/>
    </row>
    <row r="554" spans="69:99" ht="15.75" customHeight="1">
      <c r="BQ554" s="8"/>
      <c r="BR554" s="8"/>
      <c r="CT554" s="8"/>
      <c r="CU554" s="8"/>
    </row>
    <row r="555" spans="69:99" ht="15.75" customHeight="1">
      <c r="BQ555" s="8"/>
      <c r="BR555" s="8"/>
      <c r="CT555" s="8"/>
      <c r="CU555" s="8"/>
    </row>
    <row r="556" spans="69:99" ht="15.75" customHeight="1">
      <c r="BQ556" s="8"/>
      <c r="BR556" s="8"/>
      <c r="CT556" s="8"/>
      <c r="CU556" s="8"/>
    </row>
    <row r="557" spans="69:99" ht="15.75" customHeight="1">
      <c r="BQ557" s="8"/>
      <c r="BR557" s="8"/>
      <c r="CT557" s="8"/>
      <c r="CU557" s="8"/>
    </row>
    <row r="558" spans="69:99" ht="15.75" customHeight="1">
      <c r="BQ558" s="8"/>
      <c r="BR558" s="8"/>
      <c r="CT558" s="8"/>
      <c r="CU558" s="8"/>
    </row>
    <row r="559" spans="69:99" ht="15.75" customHeight="1">
      <c r="BQ559" s="8"/>
      <c r="BR559" s="8"/>
      <c r="CT559" s="8"/>
      <c r="CU559" s="8"/>
    </row>
    <row r="560" spans="69:99" ht="15.75" customHeight="1">
      <c r="BQ560" s="8"/>
      <c r="BR560" s="8"/>
      <c r="CT560" s="8"/>
      <c r="CU560" s="8"/>
    </row>
    <row r="561" spans="69:99" ht="15.75" customHeight="1">
      <c r="BQ561" s="8"/>
      <c r="BR561" s="8"/>
      <c r="CT561" s="8"/>
      <c r="CU561" s="8"/>
    </row>
    <row r="562" spans="69:99" ht="15.75" customHeight="1">
      <c r="BQ562" s="8"/>
      <c r="BR562" s="8"/>
      <c r="CT562" s="8"/>
      <c r="CU562" s="8"/>
    </row>
    <row r="563" spans="69:99" ht="15.75" customHeight="1">
      <c r="BQ563" s="8"/>
      <c r="BR563" s="8"/>
      <c r="CT563" s="8"/>
      <c r="CU563" s="8"/>
    </row>
    <row r="564" spans="69:99" ht="15.75" customHeight="1">
      <c r="BQ564" s="8"/>
      <c r="BR564" s="8"/>
      <c r="CT564" s="8"/>
      <c r="CU564" s="8"/>
    </row>
    <row r="565" spans="69:99" ht="15.75" customHeight="1">
      <c r="BQ565" s="8"/>
      <c r="BR565" s="8"/>
      <c r="CT565" s="8"/>
      <c r="CU565" s="8"/>
    </row>
    <row r="566" spans="69:99" ht="15.75" customHeight="1">
      <c r="BQ566" s="8"/>
      <c r="BR566" s="8"/>
      <c r="CT566" s="8"/>
      <c r="CU566" s="8"/>
    </row>
    <row r="567" spans="69:99" ht="15.75" customHeight="1">
      <c r="BQ567" s="8"/>
      <c r="BR567" s="8"/>
      <c r="CT567" s="8"/>
      <c r="CU567" s="8"/>
    </row>
    <row r="568" spans="69:99" ht="15.75" customHeight="1">
      <c r="BQ568" s="8"/>
      <c r="BR568" s="8"/>
      <c r="CT568" s="8"/>
      <c r="CU568" s="8"/>
    </row>
    <row r="569" spans="69:99" ht="15.75" customHeight="1">
      <c r="BQ569" s="8"/>
      <c r="BR569" s="8"/>
      <c r="CT569" s="8"/>
      <c r="CU569" s="8"/>
    </row>
    <row r="570" spans="69:99" ht="15.75" customHeight="1">
      <c r="BQ570" s="8"/>
      <c r="BR570" s="8"/>
      <c r="CT570" s="8"/>
      <c r="CU570" s="8"/>
    </row>
    <row r="571" spans="69:99" ht="15.75" customHeight="1">
      <c r="BQ571" s="8"/>
      <c r="BR571" s="8"/>
      <c r="CT571" s="8"/>
      <c r="CU571" s="8"/>
    </row>
    <row r="572" spans="69:99" ht="15.75" customHeight="1">
      <c r="BQ572" s="8"/>
      <c r="BR572" s="8"/>
      <c r="CT572" s="8"/>
      <c r="CU572" s="8"/>
    </row>
    <row r="573" spans="69:99" ht="15.75" customHeight="1">
      <c r="BQ573" s="8"/>
      <c r="BR573" s="8"/>
      <c r="CT573" s="8"/>
      <c r="CU573" s="8"/>
    </row>
    <row r="574" spans="69:99" ht="15.75" customHeight="1">
      <c r="BQ574" s="8"/>
      <c r="BR574" s="8"/>
      <c r="CT574" s="8"/>
      <c r="CU574" s="8"/>
    </row>
    <row r="575" spans="69:99" ht="15.75" customHeight="1">
      <c r="BQ575" s="8"/>
      <c r="BR575" s="8"/>
      <c r="CT575" s="8"/>
      <c r="CU575" s="8"/>
    </row>
    <row r="576" spans="69:99" ht="15.75" customHeight="1">
      <c r="BQ576" s="8"/>
      <c r="BR576" s="8"/>
      <c r="CT576" s="8"/>
      <c r="CU576" s="8"/>
    </row>
    <row r="577" spans="69:99" ht="15.75" customHeight="1">
      <c r="BQ577" s="8"/>
      <c r="BR577" s="8"/>
      <c r="CT577" s="8"/>
      <c r="CU577" s="8"/>
    </row>
    <row r="578" spans="69:99" ht="15.75" customHeight="1">
      <c r="BQ578" s="8"/>
      <c r="BR578" s="8"/>
      <c r="CT578" s="8"/>
      <c r="CU578" s="8"/>
    </row>
    <row r="579" spans="69:99" ht="15.75" customHeight="1">
      <c r="BQ579" s="8"/>
      <c r="BR579" s="8"/>
      <c r="CT579" s="8"/>
      <c r="CU579" s="8"/>
    </row>
    <row r="580" spans="69:99" ht="15.75" customHeight="1">
      <c r="BQ580" s="8"/>
      <c r="BR580" s="8"/>
      <c r="CT580" s="8"/>
      <c r="CU580" s="8"/>
    </row>
    <row r="581" spans="69:99" ht="15.75" customHeight="1">
      <c r="BQ581" s="8"/>
      <c r="BR581" s="8"/>
      <c r="CT581" s="8"/>
      <c r="CU581" s="8"/>
    </row>
    <row r="582" spans="69:99" ht="15.75" customHeight="1">
      <c r="BQ582" s="8"/>
      <c r="BR582" s="8"/>
      <c r="CT582" s="8"/>
      <c r="CU582" s="8"/>
    </row>
    <row r="583" spans="69:99" ht="15.75" customHeight="1">
      <c r="BQ583" s="8"/>
      <c r="BR583" s="8"/>
      <c r="CT583" s="8"/>
      <c r="CU583" s="8"/>
    </row>
    <row r="584" spans="69:99" ht="15.75" customHeight="1">
      <c r="BQ584" s="8"/>
      <c r="BR584" s="8"/>
      <c r="CT584" s="8"/>
      <c r="CU584" s="8"/>
    </row>
    <row r="585" spans="69:99" ht="15.75" customHeight="1">
      <c r="BQ585" s="8"/>
      <c r="BR585" s="8"/>
      <c r="CT585" s="8"/>
      <c r="CU585" s="8"/>
    </row>
    <row r="586" spans="69:99" ht="15.75" customHeight="1">
      <c r="BQ586" s="8"/>
      <c r="BR586" s="8"/>
      <c r="CT586" s="8"/>
      <c r="CU586" s="8"/>
    </row>
    <row r="587" spans="69:99" ht="15.75" customHeight="1">
      <c r="BQ587" s="8"/>
      <c r="BR587" s="8"/>
      <c r="CT587" s="8"/>
      <c r="CU587" s="8"/>
    </row>
    <row r="588" spans="69:99" ht="15.75" customHeight="1">
      <c r="BQ588" s="8"/>
      <c r="BR588" s="8"/>
      <c r="CT588" s="8"/>
      <c r="CU588" s="8"/>
    </row>
    <row r="589" spans="69:99" ht="15.75" customHeight="1">
      <c r="BQ589" s="8"/>
      <c r="BR589" s="8"/>
      <c r="CT589" s="8"/>
      <c r="CU589" s="8"/>
    </row>
    <row r="590" spans="69:99" ht="15.75" customHeight="1">
      <c r="BQ590" s="8"/>
      <c r="BR590" s="8"/>
      <c r="CT590" s="8"/>
      <c r="CU590" s="8"/>
    </row>
    <row r="591" spans="69:99" ht="15.75" customHeight="1">
      <c r="BQ591" s="8"/>
      <c r="BR591" s="8"/>
      <c r="CT591" s="8"/>
      <c r="CU591" s="8"/>
    </row>
    <row r="592" spans="69:99" ht="15.75" customHeight="1">
      <c r="BQ592" s="8"/>
      <c r="BR592" s="8"/>
      <c r="CT592" s="8"/>
      <c r="CU592" s="8"/>
    </row>
    <row r="593" spans="69:99" ht="15.75" customHeight="1">
      <c r="BQ593" s="8"/>
      <c r="BR593" s="8"/>
      <c r="CT593" s="8"/>
      <c r="CU593" s="8"/>
    </row>
    <row r="594" spans="69:99" ht="15.75" customHeight="1">
      <c r="BQ594" s="8"/>
      <c r="BR594" s="8"/>
      <c r="CT594" s="8"/>
      <c r="CU594" s="8"/>
    </row>
    <row r="595" spans="69:99" ht="15.75" customHeight="1">
      <c r="BQ595" s="8"/>
      <c r="BR595" s="8"/>
      <c r="CT595" s="8"/>
      <c r="CU595" s="8"/>
    </row>
    <row r="596" spans="69:99" ht="15.75" customHeight="1">
      <c r="BQ596" s="8"/>
      <c r="BR596" s="8"/>
      <c r="CT596" s="8"/>
      <c r="CU596" s="8"/>
    </row>
    <row r="597" spans="69:99" ht="15.75" customHeight="1">
      <c r="BQ597" s="8"/>
      <c r="BR597" s="8"/>
      <c r="CT597" s="8"/>
      <c r="CU597" s="8"/>
    </row>
    <row r="598" spans="69:99" ht="15.75" customHeight="1">
      <c r="BQ598" s="8"/>
      <c r="BR598" s="8"/>
      <c r="CT598" s="8"/>
      <c r="CU598" s="8"/>
    </row>
    <row r="599" spans="69:99" ht="15.75" customHeight="1">
      <c r="BQ599" s="8"/>
      <c r="BR599" s="8"/>
      <c r="CT599" s="8"/>
      <c r="CU599" s="8"/>
    </row>
    <row r="600" spans="69:99" ht="15.75" customHeight="1">
      <c r="BQ600" s="8"/>
      <c r="BR600" s="8"/>
      <c r="CT600" s="8"/>
      <c r="CU600" s="8"/>
    </row>
    <row r="601" spans="69:99" ht="15.75" customHeight="1">
      <c r="BQ601" s="8"/>
      <c r="BR601" s="8"/>
      <c r="CT601" s="8"/>
      <c r="CU601" s="8"/>
    </row>
    <row r="602" spans="69:99" ht="15.75" customHeight="1">
      <c r="BQ602" s="8"/>
      <c r="BR602" s="8"/>
      <c r="CT602" s="8"/>
      <c r="CU602" s="8"/>
    </row>
    <row r="603" spans="69:99" ht="15.75" customHeight="1">
      <c r="BQ603" s="8"/>
      <c r="BR603" s="8"/>
      <c r="CT603" s="8"/>
      <c r="CU603" s="8"/>
    </row>
    <row r="604" spans="69:99" ht="15.75" customHeight="1">
      <c r="BQ604" s="8"/>
      <c r="BR604" s="8"/>
      <c r="CT604" s="8"/>
      <c r="CU604" s="8"/>
    </row>
    <row r="605" spans="69:99" ht="15.75" customHeight="1">
      <c r="BQ605" s="8"/>
      <c r="BR605" s="8"/>
      <c r="CT605" s="8"/>
      <c r="CU605" s="8"/>
    </row>
    <row r="606" spans="69:99" ht="15.75" customHeight="1">
      <c r="BQ606" s="8"/>
      <c r="BR606" s="8"/>
      <c r="CT606" s="8"/>
      <c r="CU606" s="8"/>
    </row>
    <row r="607" spans="69:99" ht="15.75" customHeight="1">
      <c r="BQ607" s="8"/>
      <c r="BR607" s="8"/>
      <c r="CT607" s="8"/>
      <c r="CU607" s="8"/>
    </row>
    <row r="608" spans="69:99" ht="15.75" customHeight="1">
      <c r="BQ608" s="8"/>
      <c r="BR608" s="8"/>
      <c r="CT608" s="8"/>
      <c r="CU608" s="8"/>
    </row>
    <row r="609" spans="69:99" ht="15.75" customHeight="1">
      <c r="BQ609" s="8"/>
      <c r="BR609" s="8"/>
      <c r="CT609" s="8"/>
      <c r="CU609" s="8"/>
    </row>
    <row r="610" spans="69:99" ht="15.75" customHeight="1">
      <c r="BQ610" s="8"/>
      <c r="BR610" s="8"/>
      <c r="CT610" s="8"/>
      <c r="CU610" s="8"/>
    </row>
    <row r="611" spans="69:99" ht="15.75" customHeight="1">
      <c r="BQ611" s="8"/>
      <c r="BR611" s="8"/>
      <c r="CT611" s="8"/>
      <c r="CU611" s="8"/>
    </row>
    <row r="612" spans="69:99" ht="15.75" customHeight="1">
      <c r="BQ612" s="8"/>
      <c r="BR612" s="8"/>
      <c r="CT612" s="8"/>
      <c r="CU612" s="8"/>
    </row>
    <row r="613" spans="69:99" ht="15.75" customHeight="1">
      <c r="BQ613" s="8"/>
      <c r="BR613" s="8"/>
      <c r="CT613" s="8"/>
      <c r="CU613" s="8"/>
    </row>
    <row r="614" spans="69:99" ht="15.75" customHeight="1">
      <c r="BQ614" s="8"/>
      <c r="BR614" s="8"/>
      <c r="CT614" s="8"/>
      <c r="CU614" s="8"/>
    </row>
    <row r="615" spans="69:99" ht="15.75" customHeight="1">
      <c r="BQ615" s="8"/>
      <c r="BR615" s="8"/>
      <c r="CT615" s="8"/>
      <c r="CU615" s="8"/>
    </row>
    <row r="616" spans="69:99" ht="15.75" customHeight="1">
      <c r="BQ616" s="8"/>
      <c r="BR616" s="8"/>
      <c r="CT616" s="8"/>
      <c r="CU616" s="8"/>
    </row>
    <row r="617" spans="69:99" ht="15.75" customHeight="1">
      <c r="BQ617" s="8"/>
      <c r="BR617" s="8"/>
      <c r="CT617" s="8"/>
      <c r="CU617" s="8"/>
    </row>
    <row r="618" spans="69:99" ht="15.75" customHeight="1">
      <c r="BQ618" s="8"/>
      <c r="BR618" s="8"/>
      <c r="CT618" s="8"/>
      <c r="CU618" s="8"/>
    </row>
    <row r="619" spans="69:99" ht="15.75" customHeight="1">
      <c r="BQ619" s="8"/>
      <c r="BR619" s="8"/>
      <c r="CT619" s="8"/>
      <c r="CU619" s="8"/>
    </row>
    <row r="620" spans="69:99" ht="15.75" customHeight="1">
      <c r="BQ620" s="8"/>
      <c r="BR620" s="8"/>
      <c r="CT620" s="8"/>
      <c r="CU620" s="8"/>
    </row>
    <row r="621" spans="69:99" ht="15.75" customHeight="1">
      <c r="BQ621" s="8"/>
      <c r="BR621" s="8"/>
      <c r="CT621" s="8"/>
      <c r="CU621" s="8"/>
    </row>
    <row r="622" spans="69:99" ht="15.75" customHeight="1">
      <c r="BQ622" s="8"/>
      <c r="BR622" s="8"/>
      <c r="CT622" s="8"/>
      <c r="CU622" s="8"/>
    </row>
    <row r="623" spans="69:99" ht="15.75" customHeight="1">
      <c r="BQ623" s="8"/>
      <c r="BR623" s="8"/>
      <c r="CT623" s="8"/>
      <c r="CU623" s="8"/>
    </row>
    <row r="624" spans="69:99" ht="15.75" customHeight="1">
      <c r="BQ624" s="8"/>
      <c r="BR624" s="8"/>
      <c r="CT624" s="8"/>
      <c r="CU624" s="8"/>
    </row>
    <row r="625" spans="69:99" ht="15.75" customHeight="1">
      <c r="BQ625" s="8"/>
      <c r="BR625" s="8"/>
      <c r="CT625" s="8"/>
      <c r="CU625" s="8"/>
    </row>
    <row r="626" spans="69:99" ht="15.75" customHeight="1">
      <c r="BQ626" s="8"/>
      <c r="BR626" s="8"/>
      <c r="CT626" s="8"/>
      <c r="CU626" s="8"/>
    </row>
    <row r="627" spans="69:99" ht="15.75" customHeight="1">
      <c r="BQ627" s="8"/>
      <c r="BR627" s="8"/>
      <c r="CT627" s="8"/>
      <c r="CU627" s="8"/>
    </row>
    <row r="628" spans="69:99" ht="15.75" customHeight="1">
      <c r="BQ628" s="8"/>
      <c r="BR628" s="8"/>
      <c r="CT628" s="8"/>
      <c r="CU628" s="8"/>
    </row>
    <row r="629" spans="69:99" ht="15.75" customHeight="1">
      <c r="BQ629" s="8"/>
      <c r="BR629" s="8"/>
      <c r="CT629" s="8"/>
      <c r="CU629" s="8"/>
    </row>
    <row r="630" spans="69:99" ht="15.75" customHeight="1">
      <c r="BQ630" s="8"/>
      <c r="BR630" s="8"/>
      <c r="CT630" s="8"/>
      <c r="CU630" s="8"/>
    </row>
    <row r="631" spans="69:99" ht="15.75" customHeight="1">
      <c r="BQ631" s="8"/>
      <c r="BR631" s="8"/>
      <c r="CT631" s="8"/>
      <c r="CU631" s="8"/>
    </row>
    <row r="632" spans="69:99" ht="15.75" customHeight="1">
      <c r="BQ632" s="8"/>
      <c r="BR632" s="8"/>
      <c r="CT632" s="8"/>
      <c r="CU632" s="8"/>
    </row>
    <row r="633" spans="69:99" ht="15.75" customHeight="1">
      <c r="BQ633" s="8"/>
      <c r="BR633" s="8"/>
      <c r="CT633" s="8"/>
      <c r="CU633" s="8"/>
    </row>
    <row r="634" spans="69:99" ht="15.75" customHeight="1">
      <c r="BQ634" s="8"/>
      <c r="BR634" s="8"/>
      <c r="CT634" s="8"/>
      <c r="CU634" s="8"/>
    </row>
    <row r="635" spans="69:99" ht="15.75" customHeight="1">
      <c r="BQ635" s="8"/>
      <c r="BR635" s="8"/>
      <c r="CT635" s="8"/>
      <c r="CU635" s="8"/>
    </row>
    <row r="636" spans="69:99" ht="15.75" customHeight="1">
      <c r="BQ636" s="8"/>
      <c r="BR636" s="8"/>
      <c r="CT636" s="8"/>
      <c r="CU636" s="8"/>
    </row>
    <row r="637" spans="69:99" ht="15.75" customHeight="1">
      <c r="BQ637" s="8"/>
      <c r="BR637" s="8"/>
      <c r="CT637" s="8"/>
      <c r="CU637" s="8"/>
    </row>
    <row r="638" spans="69:99" ht="15.75" customHeight="1">
      <c r="BQ638" s="8"/>
      <c r="BR638" s="8"/>
      <c r="CT638" s="8"/>
      <c r="CU638" s="8"/>
    </row>
    <row r="639" spans="69:99" ht="15.75" customHeight="1">
      <c r="BQ639" s="8"/>
      <c r="BR639" s="8"/>
      <c r="CT639" s="8"/>
      <c r="CU639" s="8"/>
    </row>
    <row r="640" spans="69:99" ht="15.75" customHeight="1">
      <c r="BQ640" s="8"/>
      <c r="BR640" s="8"/>
      <c r="CT640" s="8"/>
      <c r="CU640" s="8"/>
    </row>
    <row r="641" spans="69:99" ht="15.75" customHeight="1">
      <c r="BQ641" s="8"/>
      <c r="BR641" s="8"/>
      <c r="CT641" s="8"/>
      <c r="CU641" s="8"/>
    </row>
    <row r="642" spans="69:99" ht="15.75" customHeight="1">
      <c r="BQ642" s="8"/>
      <c r="BR642" s="8"/>
      <c r="CT642" s="8"/>
      <c r="CU642" s="8"/>
    </row>
    <row r="643" spans="69:99" ht="15.75" customHeight="1">
      <c r="BQ643" s="8"/>
      <c r="BR643" s="8"/>
      <c r="CT643" s="8"/>
      <c r="CU643" s="8"/>
    </row>
    <row r="644" spans="69:99" ht="15.75" customHeight="1">
      <c r="BQ644" s="8"/>
      <c r="BR644" s="8"/>
      <c r="CT644" s="8"/>
      <c r="CU644" s="8"/>
    </row>
    <row r="645" spans="69:99" ht="15.75" customHeight="1">
      <c r="BQ645" s="8"/>
      <c r="BR645" s="8"/>
      <c r="CT645" s="8"/>
      <c r="CU645" s="8"/>
    </row>
    <row r="646" spans="69:99" ht="15.75" customHeight="1">
      <c r="BQ646" s="8"/>
      <c r="BR646" s="8"/>
      <c r="CT646" s="8"/>
      <c r="CU646" s="8"/>
    </row>
    <row r="647" spans="69:99" ht="15.75" customHeight="1">
      <c r="BQ647" s="8"/>
      <c r="BR647" s="8"/>
      <c r="CT647" s="8"/>
      <c r="CU647" s="8"/>
    </row>
    <row r="648" spans="69:99" ht="15.75" customHeight="1">
      <c r="BQ648" s="8"/>
      <c r="BR648" s="8"/>
      <c r="CT648" s="8"/>
      <c r="CU648" s="8"/>
    </row>
    <row r="649" spans="69:99" ht="15.75" customHeight="1">
      <c r="BQ649" s="8"/>
      <c r="BR649" s="8"/>
      <c r="CT649" s="8"/>
      <c r="CU649" s="8"/>
    </row>
    <row r="650" spans="69:99" ht="15.75" customHeight="1">
      <c r="BQ650" s="8"/>
      <c r="BR650" s="8"/>
      <c r="CT650" s="8"/>
      <c r="CU650" s="8"/>
    </row>
    <row r="651" spans="69:99" ht="15.75" customHeight="1">
      <c r="BQ651" s="8"/>
      <c r="BR651" s="8"/>
      <c r="CT651" s="8"/>
      <c r="CU651" s="8"/>
    </row>
    <row r="652" spans="69:99" ht="15.75" customHeight="1">
      <c r="BQ652" s="8"/>
      <c r="BR652" s="8"/>
      <c r="CT652" s="8"/>
      <c r="CU652" s="8"/>
    </row>
    <row r="653" spans="69:99" ht="15.75" customHeight="1">
      <c r="BQ653" s="8"/>
      <c r="BR653" s="8"/>
      <c r="CT653" s="8"/>
      <c r="CU653" s="8"/>
    </row>
    <row r="654" spans="69:99" ht="15.75" customHeight="1">
      <c r="BQ654" s="8"/>
      <c r="BR654" s="8"/>
      <c r="CT654" s="8"/>
      <c r="CU654" s="8"/>
    </row>
    <row r="655" spans="69:99" ht="15.75" customHeight="1">
      <c r="BQ655" s="8"/>
      <c r="BR655" s="8"/>
      <c r="CT655" s="8"/>
      <c r="CU655" s="8"/>
    </row>
    <row r="656" spans="69:99" ht="15.75" customHeight="1">
      <c r="BQ656" s="8"/>
      <c r="BR656" s="8"/>
      <c r="CT656" s="8"/>
      <c r="CU656" s="8"/>
    </row>
    <row r="657" spans="69:99" ht="15.75" customHeight="1">
      <c r="BQ657" s="8"/>
      <c r="BR657" s="8"/>
      <c r="CT657" s="8"/>
      <c r="CU657" s="8"/>
    </row>
    <row r="658" spans="69:99" ht="15.75" customHeight="1">
      <c r="BQ658" s="8"/>
      <c r="BR658" s="8"/>
      <c r="CT658" s="8"/>
      <c r="CU658" s="8"/>
    </row>
    <row r="659" spans="69:99" ht="15.75" customHeight="1">
      <c r="BQ659" s="8"/>
      <c r="BR659" s="8"/>
      <c r="CT659" s="8"/>
      <c r="CU659" s="8"/>
    </row>
    <row r="660" spans="69:99" ht="15.75" customHeight="1">
      <c r="BQ660" s="8"/>
      <c r="BR660" s="8"/>
      <c r="CT660" s="8"/>
      <c r="CU660" s="8"/>
    </row>
    <row r="661" spans="69:99" ht="15.75" customHeight="1">
      <c r="BQ661" s="8"/>
      <c r="BR661" s="8"/>
      <c r="CT661" s="8"/>
      <c r="CU661" s="8"/>
    </row>
    <row r="662" spans="69:99" ht="15.75" customHeight="1">
      <c r="BQ662" s="8"/>
      <c r="BR662" s="8"/>
      <c r="CT662" s="8"/>
      <c r="CU662" s="8"/>
    </row>
    <row r="663" spans="69:99" ht="15.75" customHeight="1">
      <c r="BQ663" s="8"/>
      <c r="BR663" s="8"/>
      <c r="CT663" s="8"/>
      <c r="CU663" s="8"/>
    </row>
    <row r="664" spans="69:99" ht="15.75" customHeight="1">
      <c r="BQ664" s="8"/>
      <c r="BR664" s="8"/>
      <c r="CT664" s="8"/>
      <c r="CU664" s="8"/>
    </row>
    <row r="665" spans="69:99" ht="15.75" customHeight="1">
      <c r="BQ665" s="8"/>
      <c r="BR665" s="8"/>
      <c r="CT665" s="8"/>
      <c r="CU665" s="8"/>
    </row>
    <row r="666" spans="69:99" ht="15.75" customHeight="1">
      <c r="BQ666" s="8"/>
      <c r="BR666" s="8"/>
      <c r="CT666" s="8"/>
      <c r="CU666" s="8"/>
    </row>
    <row r="667" spans="69:99" ht="15.75" customHeight="1">
      <c r="BQ667" s="8"/>
      <c r="BR667" s="8"/>
      <c r="CT667" s="8"/>
      <c r="CU667" s="8"/>
    </row>
    <row r="668" spans="69:99" ht="15.75" customHeight="1">
      <c r="BQ668" s="8"/>
      <c r="BR668" s="8"/>
      <c r="CT668" s="8"/>
      <c r="CU668" s="8"/>
    </row>
    <row r="669" spans="69:99" ht="15.75" customHeight="1">
      <c r="BQ669" s="8"/>
      <c r="BR669" s="8"/>
      <c r="CT669" s="8"/>
      <c r="CU669" s="8"/>
    </row>
    <row r="670" spans="69:99" ht="15.75" customHeight="1">
      <c r="BQ670" s="8"/>
      <c r="BR670" s="8"/>
      <c r="CT670" s="8"/>
      <c r="CU670" s="8"/>
    </row>
    <row r="671" spans="69:99" ht="15.75" customHeight="1">
      <c r="BQ671" s="8"/>
      <c r="BR671" s="8"/>
      <c r="CT671" s="8"/>
      <c r="CU671" s="8"/>
    </row>
    <row r="672" spans="69:99" ht="15.75" customHeight="1">
      <c r="BQ672" s="8"/>
      <c r="BR672" s="8"/>
      <c r="CT672" s="8"/>
      <c r="CU672" s="8"/>
    </row>
    <row r="673" spans="69:99" ht="15.75" customHeight="1">
      <c r="BQ673" s="8"/>
      <c r="BR673" s="8"/>
      <c r="CT673" s="8"/>
      <c r="CU673" s="8"/>
    </row>
    <row r="674" spans="69:99" ht="15.75" customHeight="1">
      <c r="BQ674" s="8"/>
      <c r="BR674" s="8"/>
      <c r="CT674" s="8"/>
      <c r="CU674" s="8"/>
    </row>
    <row r="675" spans="69:99" ht="15.75" customHeight="1">
      <c r="BQ675" s="8"/>
      <c r="BR675" s="8"/>
      <c r="CT675" s="8"/>
      <c r="CU675" s="8"/>
    </row>
    <row r="676" spans="69:99" ht="15.75" customHeight="1">
      <c r="BQ676" s="8"/>
      <c r="BR676" s="8"/>
      <c r="CT676" s="8"/>
      <c r="CU676" s="8"/>
    </row>
    <row r="677" spans="69:99" ht="15.75" customHeight="1">
      <c r="BQ677" s="8"/>
      <c r="BR677" s="8"/>
      <c r="CT677" s="8"/>
      <c r="CU677" s="8"/>
    </row>
    <row r="678" spans="69:99" ht="15.75" customHeight="1">
      <c r="BQ678" s="8"/>
      <c r="BR678" s="8"/>
      <c r="CT678" s="8"/>
      <c r="CU678" s="8"/>
    </row>
    <row r="679" spans="69:99" ht="15.75" customHeight="1">
      <c r="BQ679" s="8"/>
      <c r="BR679" s="8"/>
      <c r="CT679" s="8"/>
      <c r="CU679" s="8"/>
    </row>
    <row r="680" spans="69:99" ht="15.75" customHeight="1">
      <c r="BQ680" s="8"/>
      <c r="BR680" s="8"/>
      <c r="CT680" s="8"/>
      <c r="CU680" s="8"/>
    </row>
    <row r="681" spans="69:99" ht="15.75" customHeight="1">
      <c r="BQ681" s="8"/>
      <c r="BR681" s="8"/>
      <c r="CT681" s="8"/>
      <c r="CU681" s="8"/>
    </row>
    <row r="682" spans="69:99" ht="15.75" customHeight="1">
      <c r="BQ682" s="8"/>
      <c r="BR682" s="8"/>
      <c r="CT682" s="8"/>
      <c r="CU682" s="8"/>
    </row>
    <row r="683" spans="69:99" ht="15.75" customHeight="1">
      <c r="BQ683" s="8"/>
      <c r="BR683" s="8"/>
      <c r="CT683" s="8"/>
      <c r="CU683" s="8"/>
    </row>
    <row r="684" spans="69:99" ht="15.75" customHeight="1">
      <c r="BQ684" s="8"/>
      <c r="BR684" s="8"/>
      <c r="CT684" s="8"/>
      <c r="CU684" s="8"/>
    </row>
    <row r="685" spans="69:99" ht="15.75" customHeight="1">
      <c r="BQ685" s="8"/>
      <c r="BR685" s="8"/>
      <c r="CT685" s="8"/>
      <c r="CU685" s="8"/>
    </row>
    <row r="686" spans="69:99" ht="15.75" customHeight="1">
      <c r="BQ686" s="8"/>
      <c r="BR686" s="8"/>
      <c r="CT686" s="8"/>
      <c r="CU686" s="8"/>
    </row>
    <row r="687" spans="69:99" ht="15.75" customHeight="1">
      <c r="BQ687" s="8"/>
      <c r="BR687" s="8"/>
      <c r="CT687" s="8"/>
      <c r="CU687" s="8"/>
    </row>
    <row r="688" spans="69:99" ht="15.75" customHeight="1">
      <c r="BQ688" s="8"/>
      <c r="BR688" s="8"/>
      <c r="CT688" s="8"/>
      <c r="CU688" s="8"/>
    </row>
    <row r="689" spans="69:99" ht="15.75" customHeight="1">
      <c r="BQ689" s="8"/>
      <c r="BR689" s="8"/>
      <c r="CT689" s="8"/>
      <c r="CU689" s="8"/>
    </row>
    <row r="690" spans="69:99" ht="15.75" customHeight="1">
      <c r="BQ690" s="8"/>
      <c r="BR690" s="8"/>
      <c r="CT690" s="8"/>
      <c r="CU690" s="8"/>
    </row>
    <row r="691" spans="69:99" ht="15.75" customHeight="1">
      <c r="BQ691" s="8"/>
      <c r="BR691" s="8"/>
      <c r="CT691" s="8"/>
      <c r="CU691" s="8"/>
    </row>
    <row r="692" spans="69:99" ht="15.75" customHeight="1">
      <c r="BQ692" s="8"/>
      <c r="BR692" s="8"/>
      <c r="CT692" s="8"/>
      <c r="CU692" s="8"/>
    </row>
    <row r="693" spans="69:99" ht="15.75" customHeight="1">
      <c r="BQ693" s="8"/>
      <c r="BR693" s="8"/>
      <c r="CT693" s="8"/>
      <c r="CU693" s="8"/>
    </row>
    <row r="694" spans="69:99" ht="15.75" customHeight="1">
      <c r="BQ694" s="8"/>
      <c r="BR694" s="8"/>
      <c r="CT694" s="8"/>
      <c r="CU694" s="8"/>
    </row>
    <row r="695" spans="69:99" ht="15.75" customHeight="1">
      <c r="BQ695" s="8"/>
      <c r="BR695" s="8"/>
      <c r="CT695" s="8"/>
      <c r="CU695" s="8"/>
    </row>
    <row r="696" spans="69:99" ht="15.75" customHeight="1">
      <c r="BQ696" s="8"/>
      <c r="BR696" s="8"/>
      <c r="CT696" s="8"/>
      <c r="CU696" s="8"/>
    </row>
    <row r="697" spans="69:99" ht="15.75" customHeight="1">
      <c r="BQ697" s="8"/>
      <c r="BR697" s="8"/>
      <c r="CT697" s="8"/>
      <c r="CU697" s="8"/>
    </row>
    <row r="698" spans="69:99" ht="15.75" customHeight="1">
      <c r="BQ698" s="8"/>
      <c r="BR698" s="8"/>
      <c r="CT698" s="8"/>
      <c r="CU698" s="8"/>
    </row>
    <row r="699" spans="69:99" ht="15.75" customHeight="1">
      <c r="BQ699" s="8"/>
      <c r="BR699" s="8"/>
      <c r="CT699" s="8"/>
      <c r="CU699" s="8"/>
    </row>
    <row r="700" spans="69:99" ht="15.75" customHeight="1">
      <c r="BQ700" s="8"/>
      <c r="BR700" s="8"/>
      <c r="CT700" s="8"/>
      <c r="CU700" s="8"/>
    </row>
    <row r="701" spans="69:99" ht="15.75" customHeight="1">
      <c r="BQ701" s="8"/>
      <c r="BR701" s="8"/>
      <c r="CT701" s="8"/>
      <c r="CU701" s="8"/>
    </row>
    <row r="702" spans="69:99" ht="15.75" customHeight="1">
      <c r="BQ702" s="8"/>
      <c r="BR702" s="8"/>
      <c r="CT702" s="8"/>
      <c r="CU702" s="8"/>
    </row>
    <row r="703" spans="69:99" ht="15.75" customHeight="1">
      <c r="BQ703" s="8"/>
      <c r="BR703" s="8"/>
      <c r="CT703" s="8"/>
      <c r="CU703" s="8"/>
    </row>
    <row r="704" spans="69:99" ht="15.75" customHeight="1">
      <c r="BQ704" s="8"/>
      <c r="BR704" s="8"/>
      <c r="CT704" s="8"/>
      <c r="CU704" s="8"/>
    </row>
    <row r="705" spans="69:99" ht="15.75" customHeight="1">
      <c r="BQ705" s="8"/>
      <c r="BR705" s="8"/>
      <c r="CT705" s="8"/>
      <c r="CU705" s="8"/>
    </row>
    <row r="706" spans="69:99" ht="15.75" customHeight="1">
      <c r="BQ706" s="8"/>
      <c r="BR706" s="8"/>
      <c r="CT706" s="8"/>
      <c r="CU706" s="8"/>
    </row>
    <row r="707" spans="69:99" ht="15.75" customHeight="1">
      <c r="BQ707" s="8"/>
      <c r="BR707" s="8"/>
      <c r="CT707" s="8"/>
      <c r="CU707" s="8"/>
    </row>
    <row r="708" spans="69:99" ht="15.75" customHeight="1">
      <c r="BQ708" s="8"/>
      <c r="BR708" s="8"/>
      <c r="CT708" s="8"/>
      <c r="CU708" s="8"/>
    </row>
    <row r="709" spans="69:99" ht="15.75" customHeight="1">
      <c r="BQ709" s="8"/>
      <c r="BR709" s="8"/>
      <c r="CT709" s="8"/>
      <c r="CU709" s="8"/>
    </row>
    <row r="710" spans="69:99" ht="15.75" customHeight="1">
      <c r="BQ710" s="8"/>
      <c r="BR710" s="8"/>
      <c r="CT710" s="8"/>
      <c r="CU710" s="8"/>
    </row>
    <row r="711" spans="69:99" ht="15.75" customHeight="1">
      <c r="BQ711" s="8"/>
      <c r="BR711" s="8"/>
      <c r="CT711" s="8"/>
      <c r="CU711" s="8"/>
    </row>
    <row r="712" spans="69:99" ht="15.75" customHeight="1">
      <c r="BQ712" s="8"/>
      <c r="BR712" s="8"/>
      <c r="CT712" s="8"/>
      <c r="CU712" s="8"/>
    </row>
    <row r="713" spans="69:99" ht="15.75" customHeight="1">
      <c r="BQ713" s="8"/>
      <c r="BR713" s="8"/>
      <c r="CT713" s="8"/>
      <c r="CU713" s="8"/>
    </row>
    <row r="714" spans="69:99" ht="15.75" customHeight="1">
      <c r="BQ714" s="8"/>
      <c r="BR714" s="8"/>
      <c r="CT714" s="8"/>
      <c r="CU714" s="8"/>
    </row>
    <row r="715" spans="69:99" ht="15.75" customHeight="1">
      <c r="BQ715" s="8"/>
      <c r="BR715" s="8"/>
      <c r="CT715" s="8"/>
      <c r="CU715" s="8"/>
    </row>
    <row r="716" spans="69:99" ht="15.75" customHeight="1">
      <c r="BQ716" s="8"/>
      <c r="BR716" s="8"/>
      <c r="CT716" s="8"/>
      <c r="CU716" s="8"/>
    </row>
    <row r="717" spans="69:99" ht="15.75" customHeight="1">
      <c r="BQ717" s="8"/>
      <c r="BR717" s="8"/>
      <c r="CT717" s="8"/>
      <c r="CU717" s="8"/>
    </row>
    <row r="718" spans="69:99" ht="15.75" customHeight="1">
      <c r="BQ718" s="8"/>
      <c r="BR718" s="8"/>
      <c r="CT718" s="8"/>
      <c r="CU718" s="8"/>
    </row>
    <row r="719" spans="69:99" ht="15.75" customHeight="1">
      <c r="BQ719" s="8"/>
      <c r="BR719" s="8"/>
      <c r="CT719" s="8"/>
      <c r="CU719" s="8"/>
    </row>
    <row r="720" spans="69:99" ht="15.75" customHeight="1">
      <c r="BQ720" s="8"/>
      <c r="BR720" s="8"/>
      <c r="CT720" s="8"/>
      <c r="CU720" s="8"/>
    </row>
    <row r="721" spans="69:99" ht="15.75" customHeight="1">
      <c r="BQ721" s="8"/>
      <c r="BR721" s="8"/>
      <c r="CT721" s="8"/>
      <c r="CU721" s="8"/>
    </row>
    <row r="722" spans="69:99" ht="15.75" customHeight="1">
      <c r="BQ722" s="8"/>
      <c r="BR722" s="8"/>
      <c r="CT722" s="8"/>
      <c r="CU722" s="8"/>
    </row>
    <row r="723" spans="69:99" ht="15.75" customHeight="1">
      <c r="BQ723" s="8"/>
      <c r="BR723" s="8"/>
      <c r="CT723" s="8"/>
      <c r="CU723" s="8"/>
    </row>
    <row r="724" spans="69:99" ht="15.75" customHeight="1">
      <c r="BQ724" s="8"/>
      <c r="BR724" s="8"/>
      <c r="CT724" s="8"/>
      <c r="CU724" s="8"/>
    </row>
    <row r="725" spans="69:99" ht="15.75" customHeight="1">
      <c r="BQ725" s="8"/>
      <c r="BR725" s="8"/>
      <c r="CT725" s="8"/>
      <c r="CU725" s="8"/>
    </row>
    <row r="726" spans="69:99" ht="15.75" customHeight="1">
      <c r="BQ726" s="8"/>
      <c r="BR726" s="8"/>
      <c r="CT726" s="8"/>
      <c r="CU726" s="8"/>
    </row>
    <row r="727" spans="69:99" ht="15.75" customHeight="1">
      <c r="BQ727" s="8"/>
      <c r="BR727" s="8"/>
      <c r="CT727" s="8"/>
      <c r="CU727" s="8"/>
    </row>
    <row r="728" spans="69:99" ht="15.75" customHeight="1">
      <c r="BQ728" s="8"/>
      <c r="BR728" s="8"/>
      <c r="CT728" s="8"/>
      <c r="CU728" s="8"/>
    </row>
    <row r="729" spans="69:99" ht="15.75" customHeight="1">
      <c r="BQ729" s="8"/>
      <c r="BR729" s="8"/>
      <c r="CT729" s="8"/>
      <c r="CU729" s="8"/>
    </row>
    <row r="730" spans="69:99" ht="15.75" customHeight="1">
      <c r="BQ730" s="8"/>
      <c r="BR730" s="8"/>
      <c r="CT730" s="8"/>
      <c r="CU730" s="8"/>
    </row>
    <row r="731" spans="69:99" ht="15.75" customHeight="1">
      <c r="BQ731" s="8"/>
      <c r="BR731" s="8"/>
      <c r="CT731" s="8"/>
      <c r="CU731" s="8"/>
    </row>
    <row r="732" spans="69:99" ht="15.75" customHeight="1">
      <c r="BQ732" s="8"/>
      <c r="BR732" s="8"/>
      <c r="CT732" s="8"/>
      <c r="CU732" s="8"/>
    </row>
    <row r="733" spans="69:99" ht="15.75" customHeight="1">
      <c r="BQ733" s="8"/>
      <c r="BR733" s="8"/>
      <c r="CT733" s="8"/>
      <c r="CU733" s="8"/>
    </row>
    <row r="734" spans="69:99" ht="15.75" customHeight="1">
      <c r="BQ734" s="8"/>
      <c r="BR734" s="8"/>
      <c r="CT734" s="8"/>
      <c r="CU734" s="8"/>
    </row>
    <row r="735" spans="69:99" ht="15.75" customHeight="1">
      <c r="BQ735" s="8"/>
      <c r="BR735" s="8"/>
      <c r="CT735" s="8"/>
      <c r="CU735" s="8"/>
    </row>
    <row r="736" spans="69:99" ht="15.75" customHeight="1">
      <c r="BQ736" s="8"/>
      <c r="BR736" s="8"/>
      <c r="CT736" s="8"/>
      <c r="CU736" s="8"/>
    </row>
    <row r="737" spans="69:99" ht="15.75" customHeight="1">
      <c r="BQ737" s="8"/>
      <c r="BR737" s="8"/>
      <c r="CT737" s="8"/>
      <c r="CU737" s="8"/>
    </row>
    <row r="738" spans="69:99" ht="15.75" customHeight="1">
      <c r="BQ738" s="8"/>
      <c r="BR738" s="8"/>
      <c r="CT738" s="8"/>
      <c r="CU738" s="8"/>
    </row>
    <row r="739" spans="69:99" ht="15.75" customHeight="1">
      <c r="BQ739" s="8"/>
      <c r="BR739" s="8"/>
      <c r="CT739" s="8"/>
      <c r="CU739" s="8"/>
    </row>
    <row r="740" spans="69:99" ht="15.75" customHeight="1">
      <c r="BQ740" s="8"/>
      <c r="BR740" s="8"/>
      <c r="CT740" s="8"/>
      <c r="CU740" s="8"/>
    </row>
    <row r="741" spans="69:99" ht="15.75" customHeight="1">
      <c r="BQ741" s="8"/>
      <c r="BR741" s="8"/>
      <c r="CT741" s="8"/>
      <c r="CU741" s="8"/>
    </row>
    <row r="742" spans="69:99" ht="15.75" customHeight="1">
      <c r="BQ742" s="8"/>
      <c r="BR742" s="8"/>
      <c r="CT742" s="8"/>
      <c r="CU742" s="8"/>
    </row>
    <row r="743" spans="69:99" ht="15.75" customHeight="1">
      <c r="BQ743" s="8"/>
      <c r="BR743" s="8"/>
      <c r="CT743" s="8"/>
      <c r="CU743" s="8"/>
    </row>
    <row r="744" spans="69:99" ht="15.75" customHeight="1">
      <c r="BQ744" s="8"/>
      <c r="BR744" s="8"/>
      <c r="CT744" s="8"/>
      <c r="CU744" s="8"/>
    </row>
    <row r="745" spans="69:99" ht="15.75" customHeight="1">
      <c r="BQ745" s="8"/>
      <c r="BR745" s="8"/>
      <c r="CT745" s="8"/>
      <c r="CU745" s="8"/>
    </row>
    <row r="746" spans="69:99" ht="15.75" customHeight="1">
      <c r="BQ746" s="8"/>
      <c r="BR746" s="8"/>
      <c r="CT746" s="8"/>
      <c r="CU746" s="8"/>
    </row>
    <row r="747" spans="69:99" ht="15.75" customHeight="1">
      <c r="BQ747" s="8"/>
      <c r="BR747" s="8"/>
      <c r="CT747" s="8"/>
      <c r="CU747" s="8"/>
    </row>
    <row r="748" spans="69:99" ht="15.75" customHeight="1">
      <c r="BQ748" s="8"/>
      <c r="BR748" s="8"/>
      <c r="CT748" s="8"/>
      <c r="CU748" s="8"/>
    </row>
    <row r="749" spans="69:99" ht="15.75" customHeight="1">
      <c r="BQ749" s="8"/>
      <c r="BR749" s="8"/>
      <c r="CT749" s="8"/>
      <c r="CU749" s="8"/>
    </row>
    <row r="750" spans="69:99" ht="15.75" customHeight="1">
      <c r="BQ750" s="8"/>
      <c r="BR750" s="8"/>
      <c r="CT750" s="8"/>
      <c r="CU750" s="8"/>
    </row>
    <row r="751" spans="69:99" ht="15.75" customHeight="1">
      <c r="BQ751" s="8"/>
      <c r="BR751" s="8"/>
      <c r="CT751" s="8"/>
      <c r="CU751" s="8"/>
    </row>
    <row r="752" spans="69:99" ht="15.75" customHeight="1">
      <c r="BQ752" s="8"/>
      <c r="BR752" s="8"/>
      <c r="CT752" s="8"/>
      <c r="CU752" s="8"/>
    </row>
    <row r="753" spans="69:99" ht="15.75" customHeight="1">
      <c r="BQ753" s="8"/>
      <c r="BR753" s="8"/>
      <c r="CT753" s="8"/>
      <c r="CU753" s="8"/>
    </row>
    <row r="754" spans="69:99" ht="15.75" customHeight="1">
      <c r="BQ754" s="8"/>
      <c r="BR754" s="8"/>
      <c r="CT754" s="8"/>
      <c r="CU754" s="8"/>
    </row>
    <row r="755" spans="69:99" ht="15.75" customHeight="1">
      <c r="BQ755" s="8"/>
      <c r="BR755" s="8"/>
      <c r="CT755" s="8"/>
      <c r="CU755" s="8"/>
    </row>
    <row r="756" spans="69:99" ht="15.75" customHeight="1">
      <c r="BQ756" s="8"/>
      <c r="BR756" s="8"/>
      <c r="CT756" s="8"/>
      <c r="CU756" s="8"/>
    </row>
    <row r="757" spans="69:99" ht="15.75" customHeight="1">
      <c r="BQ757" s="8"/>
      <c r="BR757" s="8"/>
      <c r="CT757" s="8"/>
      <c r="CU757" s="8"/>
    </row>
    <row r="758" spans="69:99" ht="15.75" customHeight="1">
      <c r="BQ758" s="8"/>
      <c r="BR758" s="8"/>
      <c r="CT758" s="8"/>
      <c r="CU758" s="8"/>
    </row>
    <row r="759" spans="69:99" ht="15.75" customHeight="1">
      <c r="BQ759" s="8"/>
      <c r="BR759" s="8"/>
      <c r="CT759" s="8"/>
      <c r="CU759" s="8"/>
    </row>
    <row r="760" spans="69:99" ht="15.75" customHeight="1">
      <c r="BQ760" s="8"/>
      <c r="BR760" s="8"/>
      <c r="CT760" s="8"/>
      <c r="CU760" s="8"/>
    </row>
    <row r="761" spans="69:99" ht="15.75" customHeight="1">
      <c r="BQ761" s="8"/>
      <c r="BR761" s="8"/>
      <c r="CT761" s="8"/>
      <c r="CU761" s="8"/>
    </row>
    <row r="762" spans="69:99" ht="15.75" customHeight="1">
      <c r="BQ762" s="8"/>
      <c r="BR762" s="8"/>
      <c r="CT762" s="8"/>
      <c r="CU762" s="8"/>
    </row>
    <row r="763" spans="69:99" ht="15.75" customHeight="1">
      <c r="BQ763" s="8"/>
      <c r="BR763" s="8"/>
      <c r="CT763" s="8"/>
      <c r="CU763" s="8"/>
    </row>
    <row r="764" spans="69:99" ht="15.75" customHeight="1">
      <c r="BQ764" s="8"/>
      <c r="BR764" s="8"/>
      <c r="CT764" s="8"/>
      <c r="CU764" s="8"/>
    </row>
    <row r="765" spans="69:99" ht="15.75" customHeight="1">
      <c r="BQ765" s="8"/>
      <c r="BR765" s="8"/>
      <c r="CT765" s="8"/>
      <c r="CU765" s="8"/>
    </row>
    <row r="766" spans="69:99" ht="15.75" customHeight="1">
      <c r="BQ766" s="8"/>
      <c r="BR766" s="8"/>
      <c r="CT766" s="8"/>
      <c r="CU766" s="8"/>
    </row>
    <row r="767" spans="69:99" ht="15.75" customHeight="1">
      <c r="BQ767" s="8"/>
      <c r="BR767" s="8"/>
      <c r="CT767" s="8"/>
      <c r="CU767" s="8"/>
    </row>
    <row r="768" spans="69:99" ht="15.75" customHeight="1">
      <c r="BQ768" s="8"/>
      <c r="BR768" s="8"/>
      <c r="CT768" s="8"/>
      <c r="CU768" s="8"/>
    </row>
    <row r="769" spans="69:99" ht="15.75" customHeight="1">
      <c r="BQ769" s="8"/>
      <c r="BR769" s="8"/>
      <c r="CT769" s="8"/>
      <c r="CU769" s="8"/>
    </row>
    <row r="770" spans="69:99" ht="15.75" customHeight="1">
      <c r="BQ770" s="8"/>
      <c r="BR770" s="8"/>
      <c r="CT770" s="8"/>
      <c r="CU770" s="8"/>
    </row>
    <row r="771" spans="69:99" ht="15.75" customHeight="1">
      <c r="BQ771" s="8"/>
      <c r="BR771" s="8"/>
      <c r="CT771" s="8"/>
      <c r="CU771" s="8"/>
    </row>
    <row r="772" spans="69:99" ht="15.75" customHeight="1">
      <c r="BQ772" s="8"/>
      <c r="BR772" s="8"/>
      <c r="CT772" s="8"/>
      <c r="CU772" s="8"/>
    </row>
    <row r="773" spans="69:99" ht="15.75" customHeight="1">
      <c r="BQ773" s="8"/>
      <c r="BR773" s="8"/>
      <c r="CT773" s="8"/>
      <c r="CU773" s="8"/>
    </row>
    <row r="774" spans="69:99" ht="15.75" customHeight="1">
      <c r="BQ774" s="8"/>
      <c r="BR774" s="8"/>
      <c r="CT774" s="8"/>
      <c r="CU774" s="8"/>
    </row>
    <row r="775" spans="69:99" ht="15.75" customHeight="1">
      <c r="BQ775" s="8"/>
      <c r="BR775" s="8"/>
      <c r="CT775" s="8"/>
      <c r="CU775" s="8"/>
    </row>
    <row r="776" spans="69:99" ht="15.75" customHeight="1">
      <c r="BQ776" s="8"/>
      <c r="BR776" s="8"/>
      <c r="CT776" s="8"/>
      <c r="CU776" s="8"/>
    </row>
    <row r="777" spans="69:99" ht="15.75" customHeight="1">
      <c r="BQ777" s="8"/>
      <c r="BR777" s="8"/>
      <c r="CT777" s="8"/>
      <c r="CU777" s="8"/>
    </row>
    <row r="778" spans="69:99" ht="15.75" customHeight="1">
      <c r="BQ778" s="8"/>
      <c r="BR778" s="8"/>
      <c r="CT778" s="8"/>
      <c r="CU778" s="8"/>
    </row>
    <row r="779" spans="69:99" ht="15.75" customHeight="1">
      <c r="BQ779" s="8"/>
      <c r="BR779" s="8"/>
      <c r="CT779" s="8"/>
      <c r="CU779" s="8"/>
    </row>
    <row r="780" spans="69:99" ht="15.75" customHeight="1">
      <c r="BQ780" s="8"/>
      <c r="BR780" s="8"/>
      <c r="CT780" s="8"/>
      <c r="CU780" s="8"/>
    </row>
    <row r="781" spans="69:99" ht="15.75" customHeight="1">
      <c r="BQ781" s="8"/>
      <c r="BR781" s="8"/>
      <c r="CT781" s="8"/>
      <c r="CU781" s="8"/>
    </row>
    <row r="782" spans="69:99" ht="15.75" customHeight="1">
      <c r="BQ782" s="8"/>
      <c r="BR782" s="8"/>
      <c r="CT782" s="8"/>
      <c r="CU782" s="8"/>
    </row>
    <row r="783" spans="69:99" ht="15.75" customHeight="1">
      <c r="BQ783" s="8"/>
      <c r="BR783" s="8"/>
      <c r="CT783" s="8"/>
      <c r="CU783" s="8"/>
    </row>
    <row r="784" spans="69:99" ht="15.75" customHeight="1">
      <c r="BQ784" s="8"/>
      <c r="BR784" s="8"/>
      <c r="CT784" s="8"/>
      <c r="CU784" s="8"/>
    </row>
    <row r="785" spans="69:99" ht="15.75" customHeight="1">
      <c r="BQ785" s="8"/>
      <c r="BR785" s="8"/>
      <c r="CT785" s="8"/>
      <c r="CU785" s="8"/>
    </row>
    <row r="786" spans="69:99" ht="15.75" customHeight="1">
      <c r="BQ786" s="8"/>
      <c r="BR786" s="8"/>
      <c r="CT786" s="8"/>
      <c r="CU786" s="8"/>
    </row>
    <row r="787" spans="69:99" ht="15.75" customHeight="1">
      <c r="BQ787" s="8"/>
      <c r="BR787" s="8"/>
      <c r="CT787" s="8"/>
      <c r="CU787" s="8"/>
    </row>
    <row r="788" spans="69:99" ht="15.75" customHeight="1">
      <c r="BQ788" s="8"/>
      <c r="BR788" s="8"/>
      <c r="CT788" s="8"/>
      <c r="CU788" s="8"/>
    </row>
    <row r="789" spans="69:99" ht="15.75" customHeight="1">
      <c r="BQ789" s="8"/>
      <c r="BR789" s="8"/>
      <c r="CT789" s="8"/>
      <c r="CU789" s="8"/>
    </row>
    <row r="790" spans="69:99" ht="15.75" customHeight="1">
      <c r="BQ790" s="8"/>
      <c r="BR790" s="8"/>
      <c r="CT790" s="8"/>
      <c r="CU790" s="8"/>
    </row>
    <row r="791" spans="69:99" ht="15.75" customHeight="1">
      <c r="BQ791" s="8"/>
      <c r="BR791" s="8"/>
      <c r="CT791" s="8"/>
      <c r="CU791" s="8"/>
    </row>
    <row r="792" spans="69:99" ht="15.75" customHeight="1">
      <c r="BQ792" s="8"/>
      <c r="BR792" s="8"/>
      <c r="CT792" s="8"/>
      <c r="CU792" s="8"/>
    </row>
    <row r="793" spans="69:99" ht="15.75" customHeight="1">
      <c r="BQ793" s="8"/>
      <c r="BR793" s="8"/>
      <c r="CT793" s="8"/>
      <c r="CU793" s="8"/>
    </row>
    <row r="794" spans="69:99" ht="15.75" customHeight="1">
      <c r="BQ794" s="8"/>
      <c r="BR794" s="8"/>
      <c r="CT794" s="8"/>
      <c r="CU794" s="8"/>
    </row>
    <row r="795" spans="69:99" ht="15.75" customHeight="1">
      <c r="BQ795" s="8"/>
      <c r="BR795" s="8"/>
      <c r="CT795" s="8"/>
      <c r="CU795" s="8"/>
    </row>
    <row r="796" spans="69:99" ht="15.75" customHeight="1">
      <c r="BQ796" s="8"/>
      <c r="BR796" s="8"/>
      <c r="CT796" s="8"/>
      <c r="CU796" s="8"/>
    </row>
    <row r="797" spans="69:99" ht="15.75" customHeight="1">
      <c r="BQ797" s="8"/>
      <c r="BR797" s="8"/>
      <c r="CT797" s="8"/>
      <c r="CU797" s="8"/>
    </row>
    <row r="798" spans="69:99" ht="15.75" customHeight="1">
      <c r="BQ798" s="8"/>
      <c r="BR798" s="8"/>
      <c r="CT798" s="8"/>
      <c r="CU798" s="8"/>
    </row>
    <row r="799" spans="69:99" ht="15.75" customHeight="1">
      <c r="BQ799" s="8"/>
      <c r="BR799" s="8"/>
      <c r="CT799" s="8"/>
      <c r="CU799" s="8"/>
    </row>
    <row r="800" spans="69:99" ht="15.75" customHeight="1">
      <c r="BQ800" s="8"/>
      <c r="BR800" s="8"/>
      <c r="CT800" s="8"/>
      <c r="CU800" s="8"/>
    </row>
    <row r="801" spans="69:99" ht="15.75" customHeight="1">
      <c r="BQ801" s="8"/>
      <c r="BR801" s="8"/>
      <c r="CT801" s="8"/>
      <c r="CU801" s="8"/>
    </row>
    <row r="802" spans="69:99" ht="15.75" customHeight="1">
      <c r="BQ802" s="8"/>
      <c r="BR802" s="8"/>
      <c r="CT802" s="8"/>
      <c r="CU802" s="8"/>
    </row>
    <row r="803" spans="69:99" ht="15.75" customHeight="1">
      <c r="BQ803" s="8"/>
      <c r="BR803" s="8"/>
      <c r="CT803" s="8"/>
      <c r="CU803" s="8"/>
    </row>
    <row r="804" spans="69:99" ht="15.75" customHeight="1">
      <c r="BQ804" s="8"/>
      <c r="BR804" s="8"/>
      <c r="CT804" s="8"/>
      <c r="CU804" s="8"/>
    </row>
    <row r="805" spans="69:99" ht="15.75" customHeight="1">
      <c r="BQ805" s="8"/>
      <c r="BR805" s="8"/>
      <c r="CT805" s="8"/>
      <c r="CU805" s="8"/>
    </row>
    <row r="806" spans="69:99" ht="15.75" customHeight="1">
      <c r="BQ806" s="8"/>
      <c r="BR806" s="8"/>
      <c r="CT806" s="8"/>
      <c r="CU806" s="8"/>
    </row>
    <row r="807" spans="69:99" ht="15.75" customHeight="1">
      <c r="BQ807" s="8"/>
      <c r="BR807" s="8"/>
      <c r="CT807" s="8"/>
      <c r="CU807" s="8"/>
    </row>
    <row r="808" spans="69:99" ht="15.75" customHeight="1">
      <c r="BQ808" s="8"/>
      <c r="BR808" s="8"/>
      <c r="CT808" s="8"/>
      <c r="CU808" s="8"/>
    </row>
    <row r="809" spans="69:99" ht="15.75" customHeight="1">
      <c r="BQ809" s="8"/>
      <c r="BR809" s="8"/>
      <c r="CT809" s="8"/>
      <c r="CU809" s="8"/>
    </row>
    <row r="810" spans="69:99" ht="15.75" customHeight="1">
      <c r="BQ810" s="8"/>
      <c r="BR810" s="8"/>
      <c r="CT810" s="8"/>
      <c r="CU810" s="8"/>
    </row>
    <row r="811" spans="69:99" ht="15.75" customHeight="1">
      <c r="BQ811" s="8"/>
      <c r="BR811" s="8"/>
      <c r="CT811" s="8"/>
      <c r="CU811" s="8"/>
    </row>
    <row r="812" spans="69:99" ht="15.75" customHeight="1">
      <c r="BQ812" s="8"/>
      <c r="BR812" s="8"/>
      <c r="CT812" s="8"/>
      <c r="CU812" s="8"/>
    </row>
    <row r="813" spans="69:99" ht="15.75" customHeight="1">
      <c r="BQ813" s="8"/>
      <c r="BR813" s="8"/>
      <c r="CT813" s="8"/>
      <c r="CU813" s="8"/>
    </row>
    <row r="814" spans="69:99" ht="15.75" customHeight="1">
      <c r="BQ814" s="8"/>
      <c r="BR814" s="8"/>
      <c r="CT814" s="8"/>
      <c r="CU814" s="8"/>
    </row>
    <row r="815" spans="69:99" ht="15.75" customHeight="1">
      <c r="BQ815" s="8"/>
      <c r="BR815" s="8"/>
      <c r="CT815" s="8"/>
      <c r="CU815" s="8"/>
    </row>
    <row r="816" spans="69:99" ht="15.75" customHeight="1">
      <c r="BQ816" s="8"/>
      <c r="BR816" s="8"/>
      <c r="CT816" s="8"/>
      <c r="CU816" s="8"/>
    </row>
    <row r="817" spans="69:99" ht="15.75" customHeight="1">
      <c r="BQ817" s="8"/>
      <c r="BR817" s="8"/>
      <c r="CT817" s="8"/>
      <c r="CU817" s="8"/>
    </row>
    <row r="818" spans="69:99" ht="15.75" customHeight="1">
      <c r="BQ818" s="8"/>
      <c r="BR818" s="8"/>
      <c r="CT818" s="8"/>
      <c r="CU818" s="8"/>
    </row>
    <row r="819" spans="69:99" ht="15.75" customHeight="1">
      <c r="BQ819" s="8"/>
      <c r="BR819" s="8"/>
      <c r="CT819" s="8"/>
      <c r="CU819" s="8"/>
    </row>
    <row r="820" spans="69:99" ht="15.75" customHeight="1">
      <c r="BQ820" s="8"/>
      <c r="BR820" s="8"/>
      <c r="CT820" s="8"/>
      <c r="CU820" s="8"/>
    </row>
    <row r="821" spans="69:99" ht="15.75" customHeight="1">
      <c r="BQ821" s="8"/>
      <c r="BR821" s="8"/>
      <c r="CT821" s="8"/>
      <c r="CU821" s="8"/>
    </row>
    <row r="822" spans="69:99" ht="15.75" customHeight="1">
      <c r="BQ822" s="8"/>
      <c r="BR822" s="8"/>
      <c r="CT822" s="8"/>
      <c r="CU822" s="8"/>
    </row>
    <row r="823" spans="69:99" ht="15.75" customHeight="1">
      <c r="BQ823" s="8"/>
      <c r="BR823" s="8"/>
      <c r="CT823" s="8"/>
      <c r="CU823" s="8"/>
    </row>
    <row r="824" spans="69:99" ht="15.75" customHeight="1">
      <c r="BQ824" s="8"/>
      <c r="BR824" s="8"/>
      <c r="CT824" s="8"/>
      <c r="CU824" s="8"/>
    </row>
    <row r="825" spans="69:99" ht="15.75" customHeight="1">
      <c r="BQ825" s="8"/>
      <c r="BR825" s="8"/>
      <c r="CT825" s="8"/>
      <c r="CU825" s="8"/>
    </row>
    <row r="826" spans="69:99" ht="15.75" customHeight="1">
      <c r="BQ826" s="8"/>
      <c r="BR826" s="8"/>
      <c r="CT826" s="8"/>
      <c r="CU826" s="8"/>
    </row>
    <row r="827" spans="69:99" ht="15.75" customHeight="1">
      <c r="BQ827" s="8"/>
      <c r="BR827" s="8"/>
      <c r="CT827" s="8"/>
      <c r="CU827" s="8"/>
    </row>
    <row r="828" spans="69:99" ht="15.75" customHeight="1">
      <c r="BQ828" s="8"/>
      <c r="BR828" s="8"/>
      <c r="CT828" s="8"/>
      <c r="CU828" s="8"/>
    </row>
    <row r="829" spans="69:99" ht="15.75" customHeight="1">
      <c r="BQ829" s="8"/>
      <c r="BR829" s="8"/>
      <c r="CT829" s="8"/>
      <c r="CU829" s="8"/>
    </row>
    <row r="830" spans="69:99" ht="15.75" customHeight="1">
      <c r="BQ830" s="8"/>
      <c r="BR830" s="8"/>
      <c r="CT830" s="8"/>
      <c r="CU830" s="8"/>
    </row>
    <row r="831" spans="69:99" ht="15.75" customHeight="1">
      <c r="BQ831" s="8"/>
      <c r="BR831" s="8"/>
      <c r="CT831" s="8"/>
      <c r="CU831" s="8"/>
    </row>
    <row r="832" spans="69:99" ht="15.75" customHeight="1">
      <c r="BQ832" s="8"/>
      <c r="BR832" s="8"/>
      <c r="CT832" s="8"/>
      <c r="CU832" s="8"/>
    </row>
    <row r="833" spans="69:99" ht="15.75" customHeight="1">
      <c r="BQ833" s="8"/>
      <c r="BR833" s="8"/>
      <c r="CT833" s="8"/>
      <c r="CU833" s="8"/>
    </row>
    <row r="834" spans="69:99" ht="15.75" customHeight="1">
      <c r="BQ834" s="8"/>
      <c r="BR834" s="8"/>
      <c r="CT834" s="8"/>
      <c r="CU834" s="8"/>
    </row>
    <row r="835" spans="69:99" ht="15.75" customHeight="1">
      <c r="BQ835" s="8"/>
      <c r="BR835" s="8"/>
      <c r="CT835" s="8"/>
      <c r="CU835" s="8"/>
    </row>
    <row r="836" spans="69:99" ht="15.75" customHeight="1">
      <c r="BQ836" s="8"/>
      <c r="BR836" s="8"/>
      <c r="CT836" s="8"/>
      <c r="CU836" s="8"/>
    </row>
    <row r="837" spans="69:99" ht="15.75" customHeight="1">
      <c r="BQ837" s="8"/>
      <c r="BR837" s="8"/>
      <c r="CT837" s="8"/>
      <c r="CU837" s="8"/>
    </row>
    <row r="838" spans="69:99" ht="15.75" customHeight="1">
      <c r="BQ838" s="8"/>
      <c r="BR838" s="8"/>
      <c r="CT838" s="8"/>
      <c r="CU838" s="8"/>
    </row>
    <row r="839" spans="69:99" ht="15.75" customHeight="1">
      <c r="BQ839" s="8"/>
      <c r="BR839" s="8"/>
      <c r="CT839" s="8"/>
      <c r="CU839" s="8"/>
    </row>
    <row r="840" spans="69:99" ht="15.75" customHeight="1">
      <c r="BQ840" s="8"/>
      <c r="BR840" s="8"/>
      <c r="CT840" s="8"/>
      <c r="CU840" s="8"/>
    </row>
    <row r="841" spans="69:99" ht="15.75" customHeight="1">
      <c r="BQ841" s="8"/>
      <c r="BR841" s="8"/>
      <c r="CT841" s="8"/>
      <c r="CU841" s="8"/>
    </row>
    <row r="842" spans="69:99" ht="15.75" customHeight="1">
      <c r="BQ842" s="8"/>
      <c r="BR842" s="8"/>
      <c r="CT842" s="8"/>
      <c r="CU842" s="8"/>
    </row>
    <row r="843" spans="69:99" ht="15.75" customHeight="1">
      <c r="BQ843" s="8"/>
      <c r="BR843" s="8"/>
      <c r="CT843" s="8"/>
      <c r="CU843" s="8"/>
    </row>
    <row r="844" spans="69:99" ht="15.75" customHeight="1">
      <c r="BQ844" s="8"/>
      <c r="BR844" s="8"/>
      <c r="CT844" s="8"/>
      <c r="CU844" s="8"/>
    </row>
    <row r="845" spans="69:99" ht="15.75" customHeight="1">
      <c r="BQ845" s="8"/>
      <c r="BR845" s="8"/>
      <c r="CT845" s="8"/>
      <c r="CU845" s="8"/>
    </row>
    <row r="846" spans="69:99" ht="15.75" customHeight="1">
      <c r="BQ846" s="8"/>
      <c r="BR846" s="8"/>
      <c r="CT846" s="8"/>
      <c r="CU846" s="8"/>
    </row>
    <row r="847" spans="69:99" ht="15.75" customHeight="1">
      <c r="BQ847" s="8"/>
      <c r="BR847" s="8"/>
      <c r="CT847" s="8"/>
      <c r="CU847" s="8"/>
    </row>
    <row r="848" spans="69:99" ht="15.75" customHeight="1">
      <c r="BQ848" s="8"/>
      <c r="BR848" s="8"/>
      <c r="CT848" s="8"/>
      <c r="CU848" s="8"/>
    </row>
    <row r="849" spans="69:99" ht="15.75" customHeight="1">
      <c r="BQ849" s="8"/>
      <c r="BR849" s="8"/>
      <c r="CT849" s="8"/>
      <c r="CU849" s="8"/>
    </row>
    <row r="850" spans="69:99" ht="15.75" customHeight="1">
      <c r="BQ850" s="8"/>
      <c r="BR850" s="8"/>
      <c r="CT850" s="8"/>
      <c r="CU850" s="8"/>
    </row>
    <row r="851" spans="69:99" ht="15.75" customHeight="1">
      <c r="BQ851" s="8"/>
      <c r="BR851" s="8"/>
      <c r="CT851" s="8"/>
      <c r="CU851" s="8"/>
    </row>
    <row r="852" spans="69:99" ht="15.75" customHeight="1">
      <c r="BQ852" s="8"/>
      <c r="BR852" s="8"/>
      <c r="CT852" s="8"/>
      <c r="CU852" s="8"/>
    </row>
    <row r="853" spans="69:99" ht="15.75" customHeight="1">
      <c r="BQ853" s="8"/>
      <c r="BR853" s="8"/>
      <c r="CT853" s="8"/>
      <c r="CU853" s="8"/>
    </row>
    <row r="854" spans="69:99" ht="15.75" customHeight="1">
      <c r="BQ854" s="8"/>
      <c r="BR854" s="8"/>
      <c r="CT854" s="8"/>
      <c r="CU854" s="8"/>
    </row>
    <row r="855" spans="69:99" ht="15.75" customHeight="1">
      <c r="BQ855" s="8"/>
      <c r="BR855" s="8"/>
      <c r="CT855" s="8"/>
      <c r="CU855" s="8"/>
    </row>
    <row r="856" spans="69:99" ht="15.75" customHeight="1">
      <c r="BQ856" s="8"/>
      <c r="BR856" s="8"/>
      <c r="CT856" s="8"/>
      <c r="CU856" s="8"/>
    </row>
    <row r="857" spans="69:99" ht="15.75" customHeight="1">
      <c r="BQ857" s="8"/>
      <c r="BR857" s="8"/>
      <c r="CT857" s="8"/>
      <c r="CU857" s="8"/>
    </row>
    <row r="858" spans="69:99" ht="15.75" customHeight="1">
      <c r="BQ858" s="8"/>
      <c r="BR858" s="8"/>
      <c r="CT858" s="8"/>
      <c r="CU858" s="8"/>
    </row>
    <row r="859" spans="69:99" ht="15.75" customHeight="1">
      <c r="BQ859" s="8"/>
      <c r="BR859" s="8"/>
      <c r="CT859" s="8"/>
      <c r="CU859" s="8"/>
    </row>
    <row r="860" spans="69:99" ht="15.75" customHeight="1">
      <c r="BQ860" s="8"/>
      <c r="BR860" s="8"/>
      <c r="CT860" s="8"/>
      <c r="CU860" s="8"/>
    </row>
    <row r="861" spans="69:99" ht="15.75" customHeight="1">
      <c r="BQ861" s="8"/>
      <c r="BR861" s="8"/>
      <c r="CT861" s="8"/>
      <c r="CU861" s="8"/>
    </row>
    <row r="862" spans="69:99" ht="15.75" customHeight="1">
      <c r="BQ862" s="8"/>
      <c r="BR862" s="8"/>
      <c r="CT862" s="8"/>
      <c r="CU862" s="8"/>
    </row>
    <row r="863" spans="69:99" ht="15.75" customHeight="1">
      <c r="BQ863" s="8"/>
      <c r="BR863" s="8"/>
      <c r="CT863" s="8"/>
      <c r="CU863" s="8"/>
    </row>
    <row r="864" spans="69:99" ht="15.75" customHeight="1">
      <c r="BQ864" s="8"/>
      <c r="BR864" s="8"/>
      <c r="CT864" s="8"/>
      <c r="CU864" s="8"/>
    </row>
    <row r="865" spans="69:99" ht="15.75" customHeight="1">
      <c r="BQ865" s="8"/>
      <c r="BR865" s="8"/>
      <c r="CT865" s="8"/>
      <c r="CU865" s="8"/>
    </row>
    <row r="866" spans="69:99" ht="15.75" customHeight="1">
      <c r="BQ866" s="8"/>
      <c r="BR866" s="8"/>
      <c r="CT866" s="8"/>
      <c r="CU866" s="8"/>
    </row>
    <row r="867" spans="69:99" ht="15.75" customHeight="1">
      <c r="BQ867" s="8"/>
      <c r="BR867" s="8"/>
      <c r="CT867" s="8"/>
      <c r="CU867" s="8"/>
    </row>
    <row r="868" spans="69:99" ht="15.75" customHeight="1">
      <c r="BQ868" s="8"/>
      <c r="BR868" s="8"/>
      <c r="CT868" s="8"/>
      <c r="CU868" s="8"/>
    </row>
    <row r="869" spans="69:99" ht="15.75" customHeight="1">
      <c r="BQ869" s="8"/>
      <c r="BR869" s="8"/>
      <c r="CT869" s="8"/>
      <c r="CU869" s="8"/>
    </row>
    <row r="870" spans="69:99" ht="15.75" customHeight="1">
      <c r="BQ870" s="8"/>
      <c r="BR870" s="8"/>
      <c r="CT870" s="8"/>
      <c r="CU870" s="8"/>
    </row>
    <row r="871" spans="69:99" ht="15.75" customHeight="1">
      <c r="BQ871" s="8"/>
      <c r="BR871" s="8"/>
      <c r="CT871" s="8"/>
      <c r="CU871" s="8"/>
    </row>
    <row r="872" spans="69:99" ht="15.75" customHeight="1">
      <c r="BQ872" s="8"/>
      <c r="BR872" s="8"/>
      <c r="CT872" s="8"/>
      <c r="CU872" s="8"/>
    </row>
    <row r="873" spans="69:99" ht="15.75" customHeight="1">
      <c r="BQ873" s="8"/>
      <c r="BR873" s="8"/>
      <c r="CT873" s="8"/>
      <c r="CU873" s="8"/>
    </row>
    <row r="874" spans="69:99" ht="15.75" customHeight="1">
      <c r="BQ874" s="8"/>
      <c r="BR874" s="8"/>
      <c r="CT874" s="8"/>
      <c r="CU874" s="8"/>
    </row>
    <row r="875" spans="69:99" ht="15.75" customHeight="1">
      <c r="BQ875" s="8"/>
      <c r="BR875" s="8"/>
      <c r="CT875" s="8"/>
      <c r="CU875" s="8"/>
    </row>
    <row r="876" spans="69:99" ht="15.75" customHeight="1">
      <c r="BQ876" s="8"/>
      <c r="BR876" s="8"/>
      <c r="CT876" s="8"/>
      <c r="CU876" s="8"/>
    </row>
    <row r="877" spans="69:99" ht="15.75" customHeight="1">
      <c r="BQ877" s="8"/>
      <c r="BR877" s="8"/>
      <c r="CT877" s="8"/>
      <c r="CU877" s="8"/>
    </row>
    <row r="878" spans="69:99" ht="15.75" customHeight="1">
      <c r="BQ878" s="8"/>
      <c r="BR878" s="8"/>
      <c r="CT878" s="8"/>
      <c r="CU878" s="8"/>
    </row>
    <row r="879" spans="69:99" ht="15.75" customHeight="1">
      <c r="BQ879" s="8"/>
      <c r="BR879" s="8"/>
      <c r="CT879" s="8"/>
      <c r="CU879" s="8"/>
    </row>
    <row r="880" spans="69:99" ht="15.75" customHeight="1">
      <c r="BQ880" s="8"/>
      <c r="BR880" s="8"/>
      <c r="CT880" s="8"/>
      <c r="CU880" s="8"/>
    </row>
    <row r="881" spans="69:99" ht="15.75" customHeight="1">
      <c r="BQ881" s="8"/>
      <c r="BR881" s="8"/>
      <c r="CT881" s="8"/>
      <c r="CU881" s="8"/>
    </row>
    <row r="882" spans="69:99" ht="15.75" customHeight="1">
      <c r="BQ882" s="8"/>
      <c r="BR882" s="8"/>
      <c r="CT882" s="8"/>
      <c r="CU882" s="8"/>
    </row>
    <row r="883" spans="69:99" ht="15.75" customHeight="1">
      <c r="BQ883" s="8"/>
      <c r="BR883" s="8"/>
      <c r="CT883" s="8"/>
      <c r="CU883" s="8"/>
    </row>
    <row r="884" spans="69:99" ht="15.75" customHeight="1">
      <c r="BQ884" s="8"/>
      <c r="BR884" s="8"/>
      <c r="CT884" s="8"/>
      <c r="CU884" s="8"/>
    </row>
    <row r="885" spans="69:99" ht="15.75" customHeight="1">
      <c r="BQ885" s="8"/>
      <c r="BR885" s="8"/>
      <c r="CT885" s="8"/>
      <c r="CU885" s="8"/>
    </row>
    <row r="886" spans="69:99" ht="15.75" customHeight="1">
      <c r="BQ886" s="8"/>
      <c r="BR886" s="8"/>
      <c r="CT886" s="8"/>
      <c r="CU886" s="8"/>
    </row>
    <row r="887" spans="69:99" ht="15.75" customHeight="1">
      <c r="BQ887" s="8"/>
      <c r="BR887" s="8"/>
      <c r="CT887" s="8"/>
      <c r="CU887" s="8"/>
    </row>
    <row r="888" spans="69:99" ht="15.75" customHeight="1">
      <c r="BQ888" s="8"/>
      <c r="BR888" s="8"/>
      <c r="CT888" s="8"/>
      <c r="CU888" s="8"/>
    </row>
    <row r="889" spans="69:99" ht="15.75" customHeight="1">
      <c r="BQ889" s="8"/>
      <c r="BR889" s="8"/>
      <c r="CT889" s="8"/>
      <c r="CU889" s="8"/>
    </row>
    <row r="890" spans="69:99" ht="15.75" customHeight="1">
      <c r="BQ890" s="8"/>
      <c r="BR890" s="8"/>
      <c r="CT890" s="8"/>
      <c r="CU890" s="8"/>
    </row>
    <row r="891" spans="69:99" ht="15.75" customHeight="1">
      <c r="BQ891" s="8"/>
      <c r="BR891" s="8"/>
      <c r="CT891" s="8"/>
      <c r="CU891" s="8"/>
    </row>
    <row r="892" spans="69:99" ht="15.75" customHeight="1">
      <c r="BQ892" s="8"/>
      <c r="BR892" s="8"/>
      <c r="CT892" s="8"/>
      <c r="CU892" s="8"/>
    </row>
    <row r="893" spans="69:99" ht="15.75" customHeight="1">
      <c r="BQ893" s="8"/>
      <c r="BR893" s="8"/>
      <c r="CT893" s="8"/>
      <c r="CU893" s="8"/>
    </row>
    <row r="894" spans="69:99" ht="15.75" customHeight="1">
      <c r="BQ894" s="8"/>
      <c r="BR894" s="8"/>
      <c r="CT894" s="8"/>
      <c r="CU894" s="8"/>
    </row>
    <row r="895" spans="69:99" ht="15.75" customHeight="1">
      <c r="BQ895" s="8"/>
      <c r="BR895" s="8"/>
      <c r="CT895" s="8"/>
      <c r="CU895" s="8"/>
    </row>
    <row r="896" spans="69:99" ht="15.75" customHeight="1">
      <c r="BQ896" s="8"/>
      <c r="BR896" s="8"/>
      <c r="CT896" s="8"/>
      <c r="CU896" s="8"/>
    </row>
    <row r="897" spans="69:99" ht="15.75" customHeight="1">
      <c r="BQ897" s="8"/>
      <c r="BR897" s="8"/>
      <c r="CT897" s="8"/>
      <c r="CU897" s="8"/>
    </row>
    <row r="898" spans="69:99" ht="15.75" customHeight="1">
      <c r="BQ898" s="8"/>
      <c r="BR898" s="8"/>
      <c r="CT898" s="8"/>
      <c r="CU898" s="8"/>
    </row>
    <row r="899" spans="69:99" ht="15.75" customHeight="1">
      <c r="BQ899" s="8"/>
      <c r="BR899" s="8"/>
      <c r="CT899" s="8"/>
      <c r="CU899" s="8"/>
    </row>
    <row r="900" spans="69:99" ht="15.75" customHeight="1">
      <c r="BQ900" s="8"/>
      <c r="BR900" s="8"/>
      <c r="CT900" s="8"/>
      <c r="CU900" s="8"/>
    </row>
    <row r="901" spans="69:99" ht="15.75" customHeight="1">
      <c r="BQ901" s="8"/>
      <c r="BR901" s="8"/>
      <c r="CT901" s="8"/>
      <c r="CU901" s="8"/>
    </row>
    <row r="902" spans="69:99" ht="15.75" customHeight="1">
      <c r="BQ902" s="8"/>
      <c r="BR902" s="8"/>
      <c r="CT902" s="8"/>
      <c r="CU902" s="8"/>
    </row>
    <row r="903" spans="69:99" ht="15.75" customHeight="1">
      <c r="BQ903" s="8"/>
      <c r="BR903" s="8"/>
      <c r="CT903" s="8"/>
      <c r="CU903" s="8"/>
    </row>
    <row r="904" spans="69:99" ht="15.75" customHeight="1">
      <c r="BQ904" s="8"/>
      <c r="BR904" s="8"/>
      <c r="CT904" s="8"/>
      <c r="CU904" s="8"/>
    </row>
    <row r="905" spans="69:99" ht="15.75" customHeight="1">
      <c r="BQ905" s="8"/>
      <c r="BR905" s="8"/>
      <c r="CT905" s="8"/>
      <c r="CU905" s="8"/>
    </row>
    <row r="906" spans="69:99" ht="15.75" customHeight="1">
      <c r="BQ906" s="8"/>
      <c r="BR906" s="8"/>
      <c r="CT906" s="8"/>
      <c r="CU906" s="8"/>
    </row>
    <row r="907" spans="69:99" ht="15.75" customHeight="1">
      <c r="BQ907" s="8"/>
      <c r="BR907" s="8"/>
      <c r="CT907" s="8"/>
      <c r="CU907" s="8"/>
    </row>
    <row r="908" spans="69:99" ht="15.75" customHeight="1">
      <c r="BQ908" s="8"/>
      <c r="BR908" s="8"/>
      <c r="CT908" s="8"/>
      <c r="CU908" s="8"/>
    </row>
    <row r="909" spans="69:99" ht="15.75" customHeight="1">
      <c r="BQ909" s="8"/>
      <c r="BR909" s="8"/>
      <c r="CT909" s="8"/>
      <c r="CU909" s="8"/>
    </row>
    <row r="910" spans="69:99" ht="15.75" customHeight="1">
      <c r="BQ910" s="8"/>
      <c r="BR910" s="8"/>
      <c r="CT910" s="8"/>
      <c r="CU910" s="8"/>
    </row>
    <row r="911" spans="69:99" ht="15.75" customHeight="1">
      <c r="BQ911" s="8"/>
      <c r="BR911" s="8"/>
      <c r="CT911" s="8"/>
      <c r="CU911" s="8"/>
    </row>
    <row r="912" spans="69:99" ht="15.75" customHeight="1">
      <c r="BQ912" s="8"/>
      <c r="BR912" s="8"/>
      <c r="CT912" s="8"/>
      <c r="CU912" s="8"/>
    </row>
    <row r="913" spans="69:99" ht="15.75" customHeight="1">
      <c r="BQ913" s="8"/>
      <c r="BR913" s="8"/>
      <c r="CT913" s="8"/>
      <c r="CU913" s="8"/>
    </row>
    <row r="914" spans="69:99" ht="15.75" customHeight="1">
      <c r="BQ914" s="8"/>
      <c r="BR914" s="8"/>
      <c r="CT914" s="8"/>
      <c r="CU914" s="8"/>
    </row>
    <row r="915" spans="69:99" ht="15.75" customHeight="1">
      <c r="BQ915" s="8"/>
      <c r="BR915" s="8"/>
      <c r="CT915" s="8"/>
      <c r="CU915" s="8"/>
    </row>
    <row r="916" spans="69:99" ht="15.75" customHeight="1">
      <c r="BQ916" s="8"/>
      <c r="BR916" s="8"/>
      <c r="CT916" s="8"/>
      <c r="CU916" s="8"/>
    </row>
    <row r="917" spans="69:99" ht="15.75" customHeight="1">
      <c r="BQ917" s="8"/>
      <c r="BR917" s="8"/>
      <c r="CT917" s="8"/>
      <c r="CU917" s="8"/>
    </row>
    <row r="918" spans="69:99" ht="15.75" customHeight="1">
      <c r="BQ918" s="8"/>
      <c r="BR918" s="8"/>
      <c r="CT918" s="8"/>
      <c r="CU918" s="8"/>
    </row>
    <row r="919" spans="69:99" ht="15.75" customHeight="1">
      <c r="BQ919" s="8"/>
      <c r="BR919" s="8"/>
      <c r="CT919" s="8"/>
      <c r="CU919" s="8"/>
    </row>
    <row r="920" spans="69:99" ht="15.75" customHeight="1">
      <c r="BQ920" s="8"/>
      <c r="BR920" s="8"/>
      <c r="CT920" s="8"/>
      <c r="CU920" s="8"/>
    </row>
    <row r="921" spans="69:99" ht="15.75" customHeight="1">
      <c r="BQ921" s="8"/>
      <c r="BR921" s="8"/>
      <c r="CT921" s="8"/>
      <c r="CU921" s="8"/>
    </row>
    <row r="922" spans="69:99" ht="15.75" customHeight="1">
      <c r="BQ922" s="8"/>
      <c r="BR922" s="8"/>
      <c r="CT922" s="8"/>
      <c r="CU922" s="8"/>
    </row>
    <row r="923" spans="69:99" ht="15.75" customHeight="1">
      <c r="BQ923" s="8"/>
      <c r="BR923" s="8"/>
      <c r="CT923" s="8"/>
      <c r="CU923" s="8"/>
    </row>
    <row r="924" spans="69:99" ht="15.75" customHeight="1">
      <c r="BQ924" s="8"/>
      <c r="BR924" s="8"/>
      <c r="CT924" s="8"/>
      <c r="CU924" s="8"/>
    </row>
    <row r="925" spans="69:99" ht="15.75" customHeight="1">
      <c r="BQ925" s="8"/>
      <c r="BR925" s="8"/>
      <c r="CT925" s="8"/>
      <c r="CU925" s="8"/>
    </row>
    <row r="926" spans="69:99" ht="15.75" customHeight="1">
      <c r="BQ926" s="8"/>
      <c r="BR926" s="8"/>
      <c r="CT926" s="8"/>
      <c r="CU926" s="8"/>
    </row>
    <row r="927" spans="69:99" ht="15.75" customHeight="1">
      <c r="BQ927" s="8"/>
      <c r="BR927" s="8"/>
      <c r="CT927" s="8"/>
      <c r="CU927" s="8"/>
    </row>
    <row r="928" spans="69:99" ht="15.75" customHeight="1">
      <c r="BQ928" s="8"/>
      <c r="BR928" s="8"/>
      <c r="CT928" s="8"/>
      <c r="CU928" s="8"/>
    </row>
    <row r="929" spans="69:99" ht="15.75" customHeight="1">
      <c r="BQ929" s="8"/>
      <c r="BR929" s="8"/>
      <c r="CT929" s="8"/>
      <c r="CU929" s="8"/>
    </row>
    <row r="930" spans="69:99" ht="15.75" customHeight="1">
      <c r="BQ930" s="8"/>
      <c r="BR930" s="8"/>
      <c r="CT930" s="8"/>
      <c r="CU930" s="8"/>
    </row>
    <row r="931" spans="69:99" ht="15.75" customHeight="1">
      <c r="BQ931" s="8"/>
      <c r="BR931" s="8"/>
      <c r="CT931" s="8"/>
      <c r="CU931" s="8"/>
    </row>
    <row r="932" spans="69:99" ht="15.75" customHeight="1">
      <c r="BQ932" s="8"/>
      <c r="BR932" s="8"/>
      <c r="CT932" s="8"/>
      <c r="CU932" s="8"/>
    </row>
    <row r="933" spans="69:99" ht="15.75" customHeight="1">
      <c r="BQ933" s="8"/>
      <c r="BR933" s="8"/>
      <c r="CT933" s="8"/>
      <c r="CU933" s="8"/>
    </row>
    <row r="934" spans="69:99" ht="15.75" customHeight="1">
      <c r="BQ934" s="8"/>
      <c r="BR934" s="8"/>
      <c r="CT934" s="8"/>
      <c r="CU934" s="8"/>
    </row>
    <row r="935" spans="69:99" ht="15.75" customHeight="1">
      <c r="BQ935" s="8"/>
      <c r="BR935" s="8"/>
      <c r="CT935" s="8"/>
      <c r="CU935" s="8"/>
    </row>
    <row r="936" spans="69:99" ht="15.75" customHeight="1">
      <c r="BQ936" s="8"/>
      <c r="BR936" s="8"/>
      <c r="CT936" s="8"/>
      <c r="CU936" s="8"/>
    </row>
    <row r="937" spans="69:99" ht="15.75" customHeight="1">
      <c r="BQ937" s="8"/>
      <c r="BR937" s="8"/>
      <c r="CT937" s="8"/>
      <c r="CU937" s="8"/>
    </row>
    <row r="938" spans="69:99" ht="15.75" customHeight="1">
      <c r="BQ938" s="8"/>
      <c r="BR938" s="8"/>
      <c r="CT938" s="8"/>
      <c r="CU938" s="8"/>
    </row>
    <row r="939" spans="69:99" ht="15.75" customHeight="1">
      <c r="BQ939" s="8"/>
      <c r="BR939" s="8"/>
      <c r="CT939" s="8"/>
      <c r="CU939" s="8"/>
    </row>
    <row r="940" spans="69:99" ht="15.75" customHeight="1">
      <c r="BQ940" s="8"/>
      <c r="BR940" s="8"/>
      <c r="CT940" s="8"/>
      <c r="CU940" s="8"/>
    </row>
    <row r="941" spans="69:99" ht="15.75" customHeight="1">
      <c r="BQ941" s="8"/>
      <c r="BR941" s="8"/>
      <c r="CT941" s="8"/>
      <c r="CU941" s="8"/>
    </row>
    <row r="942" spans="69:99" ht="15.75" customHeight="1">
      <c r="BQ942" s="8"/>
      <c r="BR942" s="8"/>
      <c r="CT942" s="8"/>
      <c r="CU942" s="8"/>
    </row>
    <row r="943" spans="69:99" ht="15.75" customHeight="1">
      <c r="BQ943" s="8"/>
      <c r="BR943" s="8"/>
      <c r="CT943" s="8"/>
      <c r="CU943" s="8"/>
    </row>
    <row r="944" spans="69:99" ht="15.75" customHeight="1">
      <c r="BQ944" s="8"/>
      <c r="BR944" s="8"/>
      <c r="CT944" s="8"/>
      <c r="CU944" s="8"/>
    </row>
    <row r="945" spans="69:99" ht="15.75" customHeight="1">
      <c r="BQ945" s="8"/>
      <c r="BR945" s="8"/>
      <c r="CT945" s="8"/>
      <c r="CU945" s="8"/>
    </row>
    <row r="946" spans="69:99" ht="15.75" customHeight="1">
      <c r="BQ946" s="8"/>
      <c r="BR946" s="8"/>
      <c r="CT946" s="8"/>
      <c r="CU946" s="8"/>
    </row>
    <row r="947" spans="69:99" ht="15.75" customHeight="1">
      <c r="BQ947" s="8"/>
      <c r="BR947" s="8"/>
      <c r="CT947" s="8"/>
      <c r="CU947" s="8"/>
    </row>
    <row r="948" spans="69:99" ht="15.75" customHeight="1">
      <c r="BQ948" s="8"/>
      <c r="BR948" s="8"/>
      <c r="CT948" s="8"/>
      <c r="CU948" s="8"/>
    </row>
    <row r="949" spans="69:99" ht="15.75" customHeight="1">
      <c r="BQ949" s="8"/>
      <c r="BR949" s="8"/>
      <c r="CT949" s="8"/>
      <c r="CU949" s="8"/>
    </row>
    <row r="950" spans="69:99" ht="15.75" customHeight="1">
      <c r="BQ950" s="8"/>
      <c r="BR950" s="8"/>
      <c r="CT950" s="8"/>
      <c r="CU950" s="8"/>
    </row>
    <row r="951" spans="69:99" ht="15.75" customHeight="1">
      <c r="BQ951" s="8"/>
      <c r="BR951" s="8"/>
      <c r="CT951" s="8"/>
      <c r="CU951" s="8"/>
    </row>
    <row r="952" spans="69:99" ht="15.75" customHeight="1">
      <c r="BQ952" s="8"/>
      <c r="BR952" s="8"/>
      <c r="CT952" s="8"/>
      <c r="CU952" s="8"/>
    </row>
    <row r="953" spans="69:99" ht="15.75" customHeight="1">
      <c r="BQ953" s="8"/>
      <c r="BR953" s="8"/>
      <c r="CT953" s="8"/>
      <c r="CU953" s="8"/>
    </row>
    <row r="954" spans="69:99" ht="15.75" customHeight="1">
      <c r="BQ954" s="8"/>
      <c r="BR954" s="8"/>
      <c r="CT954" s="8"/>
      <c r="CU954" s="8"/>
    </row>
    <row r="955" spans="69:99" ht="15.75" customHeight="1">
      <c r="BQ955" s="8"/>
      <c r="BR955" s="8"/>
      <c r="CT955" s="8"/>
      <c r="CU955" s="8"/>
    </row>
    <row r="956" spans="69:99" ht="15.75" customHeight="1">
      <c r="BQ956" s="8"/>
      <c r="BR956" s="8"/>
      <c r="CT956" s="8"/>
      <c r="CU956" s="8"/>
    </row>
    <row r="957" spans="69:99" ht="15.75" customHeight="1">
      <c r="BQ957" s="8"/>
      <c r="BR957" s="8"/>
      <c r="CT957" s="8"/>
      <c r="CU957" s="8"/>
    </row>
    <row r="958" spans="69:99" ht="15.75" customHeight="1">
      <c r="BQ958" s="8"/>
      <c r="BR958" s="8"/>
      <c r="CT958" s="8"/>
      <c r="CU958" s="8"/>
    </row>
    <row r="959" spans="69:99" ht="15.75" customHeight="1">
      <c r="BQ959" s="8"/>
      <c r="BR959" s="8"/>
      <c r="CT959" s="8"/>
      <c r="CU959" s="8"/>
    </row>
    <row r="960" spans="69:99" ht="15.75" customHeight="1">
      <c r="BQ960" s="8"/>
      <c r="BR960" s="8"/>
      <c r="CT960" s="8"/>
      <c r="CU960" s="8"/>
    </row>
    <row r="961" spans="69:99" ht="15.75" customHeight="1">
      <c r="BQ961" s="8"/>
      <c r="BR961" s="8"/>
      <c r="CT961" s="8"/>
      <c r="CU961" s="8"/>
    </row>
    <row r="962" spans="69:99" ht="15.75" customHeight="1">
      <c r="BQ962" s="8"/>
      <c r="BR962" s="8"/>
      <c r="CT962" s="8"/>
      <c r="CU962" s="8"/>
    </row>
    <row r="963" spans="69:99" ht="15.75" customHeight="1">
      <c r="BQ963" s="8"/>
      <c r="BR963" s="8"/>
      <c r="CT963" s="8"/>
      <c r="CU963" s="8"/>
    </row>
    <row r="964" spans="69:99" ht="15.75" customHeight="1">
      <c r="BQ964" s="8"/>
      <c r="BR964" s="8"/>
      <c r="CT964" s="8"/>
      <c r="CU964" s="8"/>
    </row>
    <row r="965" spans="69:99" ht="15.75" customHeight="1">
      <c r="BQ965" s="8"/>
      <c r="BR965" s="8"/>
      <c r="CT965" s="8"/>
      <c r="CU965" s="8"/>
    </row>
    <row r="966" spans="69:99" ht="15.75" customHeight="1">
      <c r="BQ966" s="8"/>
      <c r="BR966" s="8"/>
      <c r="CT966" s="8"/>
      <c r="CU966" s="8"/>
    </row>
    <row r="967" spans="69:99" ht="15.75" customHeight="1">
      <c r="BQ967" s="8"/>
      <c r="BR967" s="8"/>
      <c r="CT967" s="8"/>
      <c r="CU967" s="8"/>
    </row>
    <row r="968" spans="69:99" ht="15.75" customHeight="1">
      <c r="BQ968" s="8"/>
      <c r="BR968" s="8"/>
      <c r="CT968" s="8"/>
      <c r="CU968" s="8"/>
    </row>
    <row r="969" spans="69:99" ht="15.75" customHeight="1">
      <c r="BQ969" s="8"/>
      <c r="BR969" s="8"/>
      <c r="CT969" s="8"/>
      <c r="CU969" s="8"/>
    </row>
    <row r="970" spans="69:99" ht="15.75" customHeight="1">
      <c r="BQ970" s="8"/>
      <c r="BR970" s="8"/>
      <c r="CT970" s="8"/>
      <c r="CU970" s="8"/>
    </row>
    <row r="971" spans="69:99" ht="15.75" customHeight="1">
      <c r="BQ971" s="8"/>
      <c r="BR971" s="8"/>
      <c r="CT971" s="8"/>
      <c r="CU971" s="8"/>
    </row>
    <row r="972" spans="69:99" ht="15.75" customHeight="1">
      <c r="BQ972" s="8"/>
      <c r="BR972" s="8"/>
      <c r="CT972" s="8"/>
      <c r="CU972" s="8"/>
    </row>
    <row r="973" spans="69:99" ht="15.75" customHeight="1">
      <c r="BQ973" s="8"/>
      <c r="BR973" s="8"/>
      <c r="CT973" s="8"/>
      <c r="CU973" s="8"/>
    </row>
    <row r="974" spans="69:99" ht="15.75" customHeight="1">
      <c r="BQ974" s="8"/>
      <c r="BR974" s="8"/>
      <c r="CT974" s="8"/>
      <c r="CU974" s="8"/>
    </row>
    <row r="975" spans="69:99" ht="15.75" customHeight="1">
      <c r="BQ975" s="8"/>
      <c r="BR975" s="8"/>
      <c r="CT975" s="8"/>
      <c r="CU975" s="8"/>
    </row>
    <row r="976" spans="69:99" ht="15.75" customHeight="1">
      <c r="BQ976" s="8"/>
      <c r="BR976" s="8"/>
      <c r="CT976" s="8"/>
      <c r="CU976" s="8"/>
    </row>
    <row r="977" spans="69:99" ht="15.75" customHeight="1">
      <c r="BQ977" s="8"/>
      <c r="BR977" s="8"/>
      <c r="CT977" s="8"/>
      <c r="CU977" s="8"/>
    </row>
    <row r="978" spans="69:99" ht="15.75" customHeight="1">
      <c r="BQ978" s="8"/>
      <c r="BR978" s="8"/>
      <c r="CT978" s="8"/>
      <c r="CU978" s="8"/>
    </row>
    <row r="979" spans="69:99" ht="15.75" customHeight="1">
      <c r="BQ979" s="8"/>
      <c r="BR979" s="8"/>
      <c r="CT979" s="8"/>
      <c r="CU979" s="8"/>
    </row>
    <row r="980" spans="69:99" ht="15.75" customHeight="1">
      <c r="BQ980" s="8"/>
      <c r="BR980" s="8"/>
      <c r="CT980" s="8"/>
      <c r="CU980" s="8"/>
    </row>
    <row r="981" spans="69:99" ht="15.75" customHeight="1">
      <c r="BQ981" s="8"/>
      <c r="BR981" s="8"/>
      <c r="CT981" s="8"/>
      <c r="CU981" s="8"/>
    </row>
    <row r="982" spans="69:99" ht="15.75" customHeight="1">
      <c r="BQ982" s="8"/>
      <c r="BR982" s="8"/>
      <c r="CT982" s="8"/>
      <c r="CU982" s="8"/>
    </row>
    <row r="983" spans="69:99" ht="15.75" customHeight="1">
      <c r="BQ983" s="8"/>
      <c r="BR983" s="8"/>
      <c r="CT983" s="8"/>
      <c r="CU983" s="8"/>
    </row>
    <row r="984" spans="69:99" ht="15.75" customHeight="1">
      <c r="BQ984" s="8"/>
      <c r="BR984" s="8"/>
      <c r="CT984" s="8"/>
      <c r="CU984" s="8"/>
    </row>
    <row r="985" spans="69:99" ht="15.75" customHeight="1">
      <c r="BQ985" s="8"/>
      <c r="BR985" s="8"/>
      <c r="CT985" s="8"/>
      <c r="CU985" s="8"/>
    </row>
    <row r="986" spans="69:99" ht="15.75" customHeight="1">
      <c r="BQ986" s="8"/>
      <c r="BR986" s="8"/>
      <c r="CT986" s="8"/>
      <c r="CU986" s="8"/>
    </row>
    <row r="987" spans="69:99" ht="15.75" customHeight="1">
      <c r="BQ987" s="8"/>
      <c r="BR987" s="8"/>
      <c r="CT987" s="8"/>
      <c r="CU987" s="8"/>
    </row>
    <row r="988" spans="69:99" ht="15.75" customHeight="1">
      <c r="BQ988" s="8"/>
      <c r="BR988" s="8"/>
      <c r="CT988" s="8"/>
      <c r="CU988" s="8"/>
    </row>
    <row r="989" spans="69:99" ht="15.75" customHeight="1">
      <c r="BQ989" s="8"/>
      <c r="BR989" s="8"/>
      <c r="CT989" s="8"/>
      <c r="CU989" s="8"/>
    </row>
    <row r="990" spans="69:99" ht="15.75" customHeight="1">
      <c r="BQ990" s="8"/>
      <c r="BR990" s="8"/>
      <c r="CT990" s="8"/>
      <c r="CU990" s="8"/>
    </row>
    <row r="991" spans="69:99" ht="15.75" customHeight="1">
      <c r="BQ991" s="8"/>
      <c r="BR991" s="8"/>
      <c r="CT991" s="8"/>
      <c r="CU991" s="8"/>
    </row>
    <row r="992" spans="69:99" ht="15.75" customHeight="1">
      <c r="BQ992" s="8"/>
      <c r="BR992" s="8"/>
      <c r="CT992" s="8"/>
      <c r="CU992" s="8"/>
    </row>
    <row r="993" spans="69:99" ht="15.75" customHeight="1">
      <c r="BQ993" s="8"/>
      <c r="BR993" s="8"/>
      <c r="CT993" s="8"/>
      <c r="CU993" s="8"/>
    </row>
    <row r="994" spans="69:99" ht="15.75" customHeight="1">
      <c r="BQ994" s="8"/>
      <c r="BR994" s="8"/>
      <c r="CT994" s="8"/>
      <c r="CU994" s="8"/>
    </row>
    <row r="995" spans="69:99" ht="15.75" customHeight="1">
      <c r="BQ995" s="8"/>
      <c r="BR995" s="8"/>
      <c r="CT995" s="8"/>
      <c r="CU995" s="8"/>
    </row>
    <row r="996" spans="69:99" ht="15.75" customHeight="1">
      <c r="BQ996" s="8"/>
      <c r="BR996" s="8"/>
      <c r="CT996" s="8"/>
      <c r="CU996" s="8"/>
    </row>
    <row r="997" spans="69:99" ht="15.75" customHeight="1">
      <c r="BQ997" s="8"/>
      <c r="BR997" s="8"/>
      <c r="CT997" s="8"/>
      <c r="CU997" s="8"/>
    </row>
    <row r="998" spans="69:99" ht="15.75" customHeight="1">
      <c r="BQ998" s="8"/>
      <c r="BR998" s="8"/>
      <c r="CT998" s="8"/>
      <c r="CU998" s="8"/>
    </row>
    <row r="999" spans="69:99" ht="15.75" customHeight="1">
      <c r="BQ999" s="8"/>
      <c r="BR999" s="8"/>
      <c r="CT999" s="8"/>
      <c r="CU999" s="8"/>
    </row>
    <row r="1000" spans="69:99" ht="15.75" customHeight="1">
      <c r="BQ1000" s="8"/>
      <c r="BR1000" s="8"/>
      <c r="CT1000" s="8"/>
      <c r="CU1000" s="8"/>
    </row>
  </sheetData>
  <mergeCells count="62">
    <mergeCell ref="Y4:AL4"/>
    <mergeCell ref="AM4:AM6"/>
    <mergeCell ref="AN4:AN6"/>
    <mergeCell ref="AO4:AO6"/>
    <mergeCell ref="AI5:AL5"/>
    <mergeCell ref="DX4:DX6"/>
    <mergeCell ref="E5:I5"/>
    <mergeCell ref="J5:N5"/>
    <mergeCell ref="A4:A6"/>
    <mergeCell ref="B4:B6"/>
    <mergeCell ref="C4:C6"/>
    <mergeCell ref="D4:D6"/>
    <mergeCell ref="E4:S4"/>
    <mergeCell ref="T4:T6"/>
    <mergeCell ref="U4:U6"/>
    <mergeCell ref="O5:S5"/>
    <mergeCell ref="Y5:AC5"/>
    <mergeCell ref="AD5:AH5"/>
    <mergeCell ref="V4:V6"/>
    <mergeCell ref="W4:W6"/>
    <mergeCell ref="X4:X6"/>
    <mergeCell ref="DS4:DS6"/>
    <mergeCell ref="DT4:DT6"/>
    <mergeCell ref="DU4:DU6"/>
    <mergeCell ref="DV4:DV6"/>
    <mergeCell ref="DW4:DW6"/>
    <mergeCell ref="DL5:DO5"/>
    <mergeCell ref="DP5:DR5"/>
    <mergeCell ref="CS4:CS6"/>
    <mergeCell ref="CT4:CT6"/>
    <mergeCell ref="CU4:CU6"/>
    <mergeCell ref="CV4:DR4"/>
    <mergeCell ref="CV5:CY5"/>
    <mergeCell ref="CZ5:DC5"/>
    <mergeCell ref="CP4:CP6"/>
    <mergeCell ref="CQ4:CQ6"/>
    <mergeCell ref="CR4:CR6"/>
    <mergeCell ref="DD5:DG5"/>
    <mergeCell ref="DH5:DK5"/>
    <mergeCell ref="CI5:CL5"/>
    <mergeCell ref="CM5:CO5"/>
    <mergeCell ref="BP4:BP6"/>
    <mergeCell ref="BQ4:BQ6"/>
    <mergeCell ref="BR4:BR6"/>
    <mergeCell ref="BS4:CO4"/>
    <mergeCell ref="BS5:BV5"/>
    <mergeCell ref="BW5:BZ5"/>
    <mergeCell ref="BM4:BM6"/>
    <mergeCell ref="BN4:BN6"/>
    <mergeCell ref="BO4:BO6"/>
    <mergeCell ref="CA5:CD5"/>
    <mergeCell ref="CE5:CH5"/>
    <mergeCell ref="BK5:BL5"/>
    <mergeCell ref="AP4:AP6"/>
    <mergeCell ref="AQ4:AQ6"/>
    <mergeCell ref="AR4:AR6"/>
    <mergeCell ref="AS4:BL4"/>
    <mergeCell ref="AS5:AV5"/>
    <mergeCell ref="AW5:AZ5"/>
    <mergeCell ref="BA5:BD5"/>
    <mergeCell ref="BE5:BH5"/>
    <mergeCell ref="BI5:BJ5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34"/>
  <sheetViews>
    <sheetView workbookViewId="0"/>
  </sheetViews>
  <sheetFormatPr baseColWidth="10" defaultColWidth="12.6640625" defaultRowHeight="15" customHeight="1"/>
  <cols>
    <col min="2" max="2" width="32.1640625" customWidth="1"/>
    <col min="3" max="3" width="11.5" customWidth="1"/>
    <col min="4" max="4" width="10.33203125" customWidth="1"/>
  </cols>
  <sheetData>
    <row r="1" spans="1:8" ht="15" customHeight="1">
      <c r="A1" s="2" t="s">
        <v>1</v>
      </c>
      <c r="B1" s="2" t="s">
        <v>6</v>
      </c>
      <c r="C1" s="2" t="s">
        <v>8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</row>
    <row r="2" spans="1:8" ht="15" customHeight="1">
      <c r="A2" s="2" t="s">
        <v>12</v>
      </c>
      <c r="B2" s="2" t="s">
        <v>13</v>
      </c>
      <c r="C2" s="2" t="s">
        <v>14</v>
      </c>
      <c r="D2" s="2">
        <v>13</v>
      </c>
    </row>
    <row r="3" spans="1:8" ht="15" customHeight="1">
      <c r="C3" s="2" t="s">
        <v>15</v>
      </c>
      <c r="D3" s="2">
        <v>1</v>
      </c>
    </row>
    <row r="4" spans="1:8" ht="15" customHeight="1">
      <c r="C4" s="2" t="s">
        <v>17</v>
      </c>
      <c r="D4" s="2">
        <v>7</v>
      </c>
    </row>
    <row r="5" spans="1:8" ht="15" customHeight="1">
      <c r="B5" s="2" t="s">
        <v>21</v>
      </c>
      <c r="C5" s="2" t="s">
        <v>14</v>
      </c>
      <c r="D5" s="6">
        <v>5</v>
      </c>
    </row>
    <row r="6" spans="1:8" ht="15" customHeight="1">
      <c r="C6" s="2" t="s">
        <v>15</v>
      </c>
      <c r="D6" s="9">
        <v>2</v>
      </c>
    </row>
    <row r="7" spans="1:8" ht="15" customHeight="1">
      <c r="C7" s="2" t="s">
        <v>17</v>
      </c>
      <c r="D7" s="6">
        <v>7</v>
      </c>
    </row>
    <row r="8" spans="1:8" ht="15" customHeight="1">
      <c r="B8" s="2" t="s">
        <v>27</v>
      </c>
      <c r="C8" s="2" t="s">
        <v>14</v>
      </c>
    </row>
    <row r="9" spans="1:8" ht="15" customHeight="1">
      <c r="C9" s="2" t="s">
        <v>15</v>
      </c>
    </row>
    <row r="10" spans="1:8" ht="15" customHeight="1">
      <c r="C10" s="2" t="s">
        <v>17</v>
      </c>
    </row>
    <row r="11" spans="1:8" ht="15" customHeight="1">
      <c r="B11" s="2" t="s">
        <v>28</v>
      </c>
      <c r="C11" s="2" t="s">
        <v>14</v>
      </c>
      <c r="D11" s="9">
        <v>10</v>
      </c>
      <c r="E11" s="9">
        <v>7</v>
      </c>
    </row>
    <row r="12" spans="1:8" ht="15" customHeight="1">
      <c r="C12" s="2" t="s">
        <v>15</v>
      </c>
      <c r="D12" s="6">
        <v>1</v>
      </c>
      <c r="E12" s="6">
        <v>4</v>
      </c>
    </row>
    <row r="13" spans="1:8" ht="15" customHeight="1">
      <c r="C13" s="2" t="s">
        <v>17</v>
      </c>
      <c r="D13" s="9">
        <v>9</v>
      </c>
      <c r="E13" s="9">
        <v>9</v>
      </c>
    </row>
    <row r="14" spans="1:8" ht="15" customHeight="1">
      <c r="B14" s="2" t="s">
        <v>41</v>
      </c>
      <c r="C14" s="2" t="s">
        <v>14</v>
      </c>
      <c r="D14" s="6">
        <v>4</v>
      </c>
      <c r="E14" s="6">
        <v>13</v>
      </c>
      <c r="F14" s="9">
        <v>14</v>
      </c>
    </row>
    <row r="15" spans="1:8" ht="15" customHeight="1">
      <c r="C15" s="2" t="s">
        <v>15</v>
      </c>
      <c r="D15" s="9">
        <v>3</v>
      </c>
      <c r="E15" s="9">
        <v>0</v>
      </c>
      <c r="F15" s="6">
        <v>1</v>
      </c>
    </row>
    <row r="16" spans="1:8" ht="15" customHeight="1">
      <c r="C16" s="2" t="s">
        <v>17</v>
      </c>
      <c r="D16" s="6">
        <v>5</v>
      </c>
      <c r="E16" s="6">
        <v>5</v>
      </c>
      <c r="F16" s="9">
        <v>4</v>
      </c>
    </row>
    <row r="17" spans="1:6" ht="15" customHeight="1">
      <c r="C17" s="2" t="s">
        <v>48</v>
      </c>
      <c r="D17" s="15"/>
      <c r="E17" s="15"/>
      <c r="F17" s="9">
        <v>0</v>
      </c>
    </row>
    <row r="18" spans="1:6" ht="15" customHeight="1">
      <c r="C18" s="2" t="s">
        <v>52</v>
      </c>
      <c r="D18" s="15"/>
      <c r="E18" s="15"/>
      <c r="F18" s="6">
        <v>2</v>
      </c>
    </row>
    <row r="19" spans="1:6" ht="15" customHeight="1">
      <c r="C19" s="2" t="s">
        <v>56</v>
      </c>
      <c r="D19" s="15"/>
      <c r="E19" s="15"/>
      <c r="F19" s="2">
        <v>0</v>
      </c>
    </row>
    <row r="20" spans="1:6" ht="15" customHeight="1">
      <c r="A20" s="2" t="s">
        <v>61</v>
      </c>
      <c r="B20" s="2" t="s">
        <v>43</v>
      </c>
      <c r="C20" s="2" t="s">
        <v>14</v>
      </c>
    </row>
    <row r="21" spans="1:6" ht="15" customHeight="1">
      <c r="C21" s="2" t="s">
        <v>15</v>
      </c>
    </row>
    <row r="22" spans="1:6" ht="15" customHeight="1">
      <c r="C22" s="2" t="s">
        <v>17</v>
      </c>
    </row>
    <row r="23" spans="1:6" ht="15" customHeight="1">
      <c r="B23" s="2" t="s">
        <v>29</v>
      </c>
      <c r="C23" s="2" t="s">
        <v>14</v>
      </c>
    </row>
    <row r="24" spans="1:6" ht="15" customHeight="1">
      <c r="C24" s="2" t="s">
        <v>15</v>
      </c>
    </row>
    <row r="25" spans="1:6" ht="15" customHeight="1">
      <c r="C25" s="2" t="s">
        <v>17</v>
      </c>
    </row>
    <row r="26" spans="1:6" ht="15" customHeight="1">
      <c r="B26" s="2" t="s">
        <v>38</v>
      </c>
      <c r="C26" s="2" t="s">
        <v>14</v>
      </c>
    </row>
    <row r="27" spans="1:6" ht="15" customHeight="1">
      <c r="C27" s="2" t="s">
        <v>15</v>
      </c>
    </row>
    <row r="28" spans="1:6" ht="15" customHeight="1">
      <c r="C28" s="2" t="s">
        <v>17</v>
      </c>
    </row>
    <row r="29" spans="1:6" ht="15" customHeight="1">
      <c r="B29" s="2" t="s">
        <v>78</v>
      </c>
      <c r="C29" s="2" t="s">
        <v>14</v>
      </c>
    </row>
    <row r="30" spans="1:6" ht="15" customHeight="1">
      <c r="C30" s="2" t="s">
        <v>15</v>
      </c>
    </row>
    <row r="31" spans="1:6" ht="15" customHeight="1">
      <c r="C31" s="2" t="s">
        <v>17</v>
      </c>
    </row>
    <row r="32" spans="1:6" ht="15" customHeight="1">
      <c r="B32" s="2" t="s">
        <v>85</v>
      </c>
      <c r="C32" s="2" t="s">
        <v>14</v>
      </c>
    </row>
    <row r="33" spans="3:3" ht="15" customHeight="1">
      <c r="C33" s="2" t="s">
        <v>15</v>
      </c>
    </row>
    <row r="34" spans="3:3" ht="15" customHeight="1">
      <c r="C34" s="2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workbookViewId="0"/>
  </sheetViews>
  <sheetFormatPr baseColWidth="10" defaultColWidth="12.6640625" defaultRowHeight="15" customHeight="1"/>
  <cols>
    <col min="1" max="1" width="10.5" customWidth="1"/>
    <col min="2" max="2" width="35" customWidth="1"/>
    <col min="3" max="3" width="37.6640625" customWidth="1"/>
    <col min="4" max="5" width="21" customWidth="1"/>
    <col min="6" max="7" width="22.6640625" customWidth="1"/>
    <col min="8" max="8" width="23.6640625" customWidth="1"/>
    <col min="9" max="10" width="24.5" customWidth="1"/>
    <col min="11" max="24" width="7.6640625" customWidth="1"/>
  </cols>
  <sheetData>
    <row r="1" spans="1:10" ht="27.75" customHeight="1">
      <c r="A1" s="3" t="s">
        <v>0</v>
      </c>
      <c r="B1" s="3" t="s">
        <v>2</v>
      </c>
      <c r="C1" s="3" t="s">
        <v>3</v>
      </c>
      <c r="D1" s="3" t="s">
        <v>5</v>
      </c>
      <c r="E1" s="3" t="s">
        <v>16</v>
      </c>
      <c r="F1" s="3" t="s">
        <v>18</v>
      </c>
      <c r="G1" s="3" t="s">
        <v>20</v>
      </c>
      <c r="H1" s="3" t="s">
        <v>7</v>
      </c>
      <c r="I1" s="3" t="s">
        <v>9</v>
      </c>
      <c r="J1" s="3" t="s">
        <v>10</v>
      </c>
    </row>
    <row r="2" spans="1:10" ht="19.5" customHeight="1">
      <c r="A2" s="11">
        <v>1</v>
      </c>
      <c r="B2" s="13" t="s">
        <v>19</v>
      </c>
      <c r="C2" s="13" t="s">
        <v>22</v>
      </c>
      <c r="D2" s="11">
        <v>8230000</v>
      </c>
      <c r="E2" s="13" t="s">
        <v>30</v>
      </c>
      <c r="F2" s="13" t="s">
        <v>31</v>
      </c>
      <c r="G2" s="13" t="s">
        <v>32</v>
      </c>
      <c r="H2" s="13" t="s">
        <v>24</v>
      </c>
      <c r="I2" s="13" t="s">
        <v>25</v>
      </c>
      <c r="J2" s="13" t="s">
        <v>26</v>
      </c>
    </row>
    <row r="3" spans="1:10" ht="19.5" customHeight="1">
      <c r="A3" s="10">
        <v>2</v>
      </c>
      <c r="B3" s="12" t="s">
        <v>19</v>
      </c>
      <c r="C3" s="12" t="s">
        <v>29</v>
      </c>
      <c r="D3" s="10">
        <v>7348000</v>
      </c>
      <c r="E3" s="12" t="s">
        <v>30</v>
      </c>
      <c r="F3" s="12" t="s">
        <v>36</v>
      </c>
      <c r="G3" s="12" t="s">
        <v>37</v>
      </c>
      <c r="H3" s="12" t="s">
        <v>33</v>
      </c>
      <c r="I3" s="12" t="s">
        <v>34</v>
      </c>
      <c r="J3" s="12" t="s">
        <v>35</v>
      </c>
    </row>
    <row r="4" spans="1:10" ht="19.5" customHeight="1">
      <c r="A4" s="11">
        <v>3</v>
      </c>
      <c r="B4" s="13" t="s">
        <v>19</v>
      </c>
      <c r="C4" s="13" t="s">
        <v>38</v>
      </c>
      <c r="D4" s="11">
        <v>7642000</v>
      </c>
      <c r="E4" s="13" t="s">
        <v>30</v>
      </c>
      <c r="F4" s="13" t="s">
        <v>44</v>
      </c>
      <c r="G4" s="13" t="s">
        <v>45</v>
      </c>
      <c r="H4" s="13" t="s">
        <v>39</v>
      </c>
      <c r="I4" s="13" t="s">
        <v>46</v>
      </c>
      <c r="J4" s="13" t="s">
        <v>42</v>
      </c>
    </row>
    <row r="5" spans="1:10" ht="19.5" customHeight="1">
      <c r="A5" s="10">
        <v>4</v>
      </c>
      <c r="B5" s="12" t="s">
        <v>19</v>
      </c>
      <c r="C5" s="12" t="s">
        <v>43</v>
      </c>
      <c r="D5" s="10">
        <v>7642000</v>
      </c>
      <c r="E5" s="12" t="s">
        <v>30</v>
      </c>
      <c r="F5" s="12" t="s">
        <v>44</v>
      </c>
      <c r="G5" s="12" t="s">
        <v>45</v>
      </c>
      <c r="H5" s="12" t="s">
        <v>39</v>
      </c>
      <c r="I5" s="12" t="s">
        <v>46</v>
      </c>
      <c r="J5" s="12" t="s">
        <v>42</v>
      </c>
    </row>
    <row r="6" spans="1:10" ht="19.5" customHeight="1">
      <c r="A6" s="11">
        <v>5</v>
      </c>
      <c r="B6" s="13" t="s">
        <v>53</v>
      </c>
      <c r="C6" s="13" t="s">
        <v>54</v>
      </c>
      <c r="D6" s="11">
        <v>26355000</v>
      </c>
      <c r="E6" s="13" t="s">
        <v>30</v>
      </c>
      <c r="F6" s="13" t="s">
        <v>55</v>
      </c>
      <c r="G6" s="13" t="s">
        <v>57</v>
      </c>
      <c r="H6" s="13" t="s">
        <v>58</v>
      </c>
      <c r="I6" s="13" t="s">
        <v>59</v>
      </c>
      <c r="J6" s="13" t="s">
        <v>60</v>
      </c>
    </row>
    <row r="7" spans="1:10" ht="19.5" customHeight="1">
      <c r="A7" s="10">
        <v>6</v>
      </c>
      <c r="B7" s="12" t="s">
        <v>63</v>
      </c>
      <c r="C7" s="12" t="s">
        <v>64</v>
      </c>
      <c r="D7" s="10">
        <v>7642000</v>
      </c>
      <c r="E7" s="12" t="s">
        <v>30</v>
      </c>
      <c r="F7" s="12" t="s">
        <v>44</v>
      </c>
      <c r="G7" s="12" t="s">
        <v>45</v>
      </c>
      <c r="H7" s="12" t="s">
        <v>39</v>
      </c>
      <c r="I7" s="12" t="s">
        <v>46</v>
      </c>
      <c r="J7" s="12" t="s">
        <v>42</v>
      </c>
    </row>
    <row r="8" spans="1:10" ht="19.5" customHeight="1">
      <c r="A8" s="11">
        <v>7</v>
      </c>
      <c r="B8" s="13" t="s">
        <v>67</v>
      </c>
      <c r="C8" s="13" t="s">
        <v>68</v>
      </c>
      <c r="D8" s="11">
        <v>12238000</v>
      </c>
      <c r="E8" s="13" t="s">
        <v>30</v>
      </c>
      <c r="F8" s="13" t="s">
        <v>72</v>
      </c>
      <c r="G8" s="13" t="s">
        <v>73</v>
      </c>
      <c r="H8" s="13" t="s">
        <v>69</v>
      </c>
      <c r="I8" s="13" t="s">
        <v>70</v>
      </c>
      <c r="J8" s="13" t="s">
        <v>71</v>
      </c>
    </row>
    <row r="9" spans="1:10" ht="19.5" customHeight="1">
      <c r="A9" s="10">
        <v>8</v>
      </c>
      <c r="B9" s="12" t="s">
        <v>67</v>
      </c>
      <c r="C9" s="12" t="s">
        <v>74</v>
      </c>
      <c r="D9" s="10">
        <v>11767000</v>
      </c>
      <c r="E9" s="12" t="s">
        <v>30</v>
      </c>
      <c r="F9" s="12" t="s">
        <v>80</v>
      </c>
      <c r="G9" s="12" t="s">
        <v>82</v>
      </c>
      <c r="H9" s="12" t="s">
        <v>84</v>
      </c>
      <c r="I9" s="12" t="s">
        <v>76</v>
      </c>
      <c r="J9" s="12" t="s">
        <v>77</v>
      </c>
    </row>
    <row r="10" spans="1:10" ht="19.5" customHeight="1">
      <c r="A10" s="11">
        <v>9</v>
      </c>
      <c r="B10" s="13" t="s">
        <v>67</v>
      </c>
      <c r="C10" s="13" t="s">
        <v>79</v>
      </c>
      <c r="D10" s="11">
        <v>13650000</v>
      </c>
      <c r="E10" s="13" t="s">
        <v>30</v>
      </c>
      <c r="F10" s="13" t="s">
        <v>88</v>
      </c>
      <c r="G10" s="13" t="s">
        <v>89</v>
      </c>
      <c r="H10" s="13" t="s">
        <v>81</v>
      </c>
      <c r="I10" s="13" t="s">
        <v>83</v>
      </c>
      <c r="J10" s="13" t="s">
        <v>86</v>
      </c>
    </row>
    <row r="11" spans="1:10" ht="19.5" customHeight="1">
      <c r="A11" s="10">
        <v>10</v>
      </c>
      <c r="B11" s="12" t="s">
        <v>67</v>
      </c>
      <c r="C11" s="12" t="s">
        <v>87</v>
      </c>
      <c r="D11" s="10">
        <v>13650000</v>
      </c>
      <c r="E11" s="12" t="s">
        <v>30</v>
      </c>
      <c r="F11" s="12" t="s">
        <v>88</v>
      </c>
      <c r="G11" s="12" t="s">
        <v>89</v>
      </c>
      <c r="H11" s="12" t="s">
        <v>81</v>
      </c>
      <c r="I11" s="12" t="s">
        <v>83</v>
      </c>
      <c r="J11" s="12" t="s">
        <v>86</v>
      </c>
    </row>
    <row r="12" spans="1:10" ht="19.5" customHeight="1">
      <c r="A12" s="11">
        <v>11</v>
      </c>
      <c r="B12" s="13" t="s">
        <v>67</v>
      </c>
      <c r="C12" s="13" t="s">
        <v>90</v>
      </c>
      <c r="D12" s="11">
        <v>12709000</v>
      </c>
      <c r="E12" s="13" t="s">
        <v>30</v>
      </c>
      <c r="F12" s="13" t="s">
        <v>96</v>
      </c>
      <c r="G12" s="13" t="s">
        <v>97</v>
      </c>
      <c r="H12" s="13" t="s">
        <v>99</v>
      </c>
      <c r="I12" s="13" t="s">
        <v>92</v>
      </c>
      <c r="J12" s="13" t="s">
        <v>93</v>
      </c>
    </row>
    <row r="13" spans="1:10" ht="19.5" customHeight="1">
      <c r="A13" s="10">
        <v>12</v>
      </c>
      <c r="B13" s="12" t="s">
        <v>67</v>
      </c>
      <c r="C13" s="12" t="s">
        <v>13</v>
      </c>
      <c r="D13" s="10">
        <v>11767000</v>
      </c>
      <c r="E13" s="12" t="s">
        <v>30</v>
      </c>
      <c r="F13" s="12" t="s">
        <v>80</v>
      </c>
      <c r="G13" s="12" t="s">
        <v>82</v>
      </c>
      <c r="H13" s="12" t="s">
        <v>84</v>
      </c>
      <c r="I13" s="12" t="s">
        <v>76</v>
      </c>
      <c r="J13" s="12" t="s">
        <v>77</v>
      </c>
    </row>
    <row r="14" spans="1:10" ht="19.5" customHeight="1">
      <c r="A14" s="11">
        <v>13</v>
      </c>
      <c r="B14" s="13" t="s">
        <v>67</v>
      </c>
      <c r="C14" s="13" t="s">
        <v>95</v>
      </c>
      <c r="D14" s="11">
        <v>15343000</v>
      </c>
      <c r="E14" s="13" t="s">
        <v>30</v>
      </c>
      <c r="F14" s="13" t="s">
        <v>106</v>
      </c>
      <c r="G14" s="13" t="s">
        <v>107</v>
      </c>
      <c r="H14" s="13" t="s">
        <v>100</v>
      </c>
      <c r="I14" s="13" t="s">
        <v>101</v>
      </c>
      <c r="J14" s="13" t="s">
        <v>102</v>
      </c>
    </row>
    <row r="15" spans="1:10" ht="19.5" customHeight="1">
      <c r="A15" s="10">
        <v>14</v>
      </c>
      <c r="B15" s="12" t="s">
        <v>67</v>
      </c>
      <c r="C15" s="12" t="s">
        <v>103</v>
      </c>
      <c r="D15" s="10">
        <v>11767000</v>
      </c>
      <c r="E15" s="12" t="s">
        <v>30</v>
      </c>
      <c r="F15" s="12" t="s">
        <v>80</v>
      </c>
      <c r="G15" s="12" t="s">
        <v>82</v>
      </c>
      <c r="H15" s="12" t="s">
        <v>94</v>
      </c>
      <c r="I15" s="12" t="s">
        <v>76</v>
      </c>
      <c r="J15" s="12" t="s">
        <v>77</v>
      </c>
    </row>
    <row r="16" spans="1:10" ht="19.5" customHeight="1">
      <c r="A16" s="11">
        <v>15</v>
      </c>
      <c r="B16" s="13" t="s">
        <v>67</v>
      </c>
      <c r="C16" s="13" t="s">
        <v>105</v>
      </c>
      <c r="D16" s="11">
        <v>13650000</v>
      </c>
      <c r="E16" s="13" t="s">
        <v>30</v>
      </c>
      <c r="F16" s="13" t="s">
        <v>88</v>
      </c>
      <c r="G16" s="13" t="s">
        <v>89</v>
      </c>
      <c r="H16" s="13" t="s">
        <v>81</v>
      </c>
      <c r="I16" s="13" t="s">
        <v>113</v>
      </c>
      <c r="J16" s="13" t="s">
        <v>86</v>
      </c>
    </row>
    <row r="17" spans="1:10" ht="19.5" customHeight="1">
      <c r="A17" s="10">
        <v>16</v>
      </c>
      <c r="B17" s="12" t="s">
        <v>67</v>
      </c>
      <c r="C17" s="12" t="s">
        <v>110</v>
      </c>
      <c r="D17" s="10">
        <v>11767000</v>
      </c>
      <c r="E17" s="12" t="s">
        <v>30</v>
      </c>
      <c r="F17" s="12" t="s">
        <v>80</v>
      </c>
      <c r="G17" s="12" t="s">
        <v>82</v>
      </c>
      <c r="H17" s="12" t="s">
        <v>94</v>
      </c>
      <c r="I17" s="12" t="s">
        <v>76</v>
      </c>
      <c r="J17" s="12" t="s">
        <v>77</v>
      </c>
    </row>
    <row r="18" spans="1:10" ht="19.5" customHeight="1">
      <c r="A18" s="11">
        <v>17</v>
      </c>
      <c r="B18" s="13" t="s">
        <v>67</v>
      </c>
      <c r="C18" s="13" t="s">
        <v>112</v>
      </c>
      <c r="D18" s="11">
        <v>13650000</v>
      </c>
      <c r="E18" s="13" t="s">
        <v>30</v>
      </c>
      <c r="F18" s="13" t="s">
        <v>88</v>
      </c>
      <c r="G18" s="13" t="s">
        <v>89</v>
      </c>
      <c r="H18" s="13" t="s">
        <v>81</v>
      </c>
      <c r="I18" s="13" t="s">
        <v>83</v>
      </c>
      <c r="J18" s="13" t="s">
        <v>86</v>
      </c>
    </row>
    <row r="19" spans="1:10" ht="19.5" customHeight="1">
      <c r="A19" s="10">
        <v>18</v>
      </c>
      <c r="B19" s="12" t="s">
        <v>115</v>
      </c>
      <c r="C19" s="12" t="s">
        <v>116</v>
      </c>
      <c r="D19" s="10">
        <v>10857000</v>
      </c>
      <c r="E19" s="12" t="s">
        <v>30</v>
      </c>
      <c r="F19" s="12" t="s">
        <v>125</v>
      </c>
      <c r="G19" s="12" t="s">
        <v>126</v>
      </c>
      <c r="H19" s="12" t="s">
        <v>117</v>
      </c>
      <c r="I19" s="12" t="s">
        <v>118</v>
      </c>
      <c r="J19" s="12" t="s">
        <v>119</v>
      </c>
    </row>
    <row r="20" spans="1:10" ht="19.5" customHeight="1">
      <c r="A20" s="11">
        <v>19</v>
      </c>
      <c r="B20" s="13" t="s">
        <v>115</v>
      </c>
      <c r="C20" s="13" t="s">
        <v>120</v>
      </c>
      <c r="D20" s="11">
        <v>11463000</v>
      </c>
      <c r="E20" s="13" t="s">
        <v>30</v>
      </c>
      <c r="F20" s="13" t="s">
        <v>132</v>
      </c>
      <c r="G20" s="13" t="s">
        <v>134</v>
      </c>
      <c r="H20" s="13" t="s">
        <v>121</v>
      </c>
      <c r="I20" s="13" t="s">
        <v>122</v>
      </c>
      <c r="J20" s="13" t="s">
        <v>135</v>
      </c>
    </row>
    <row r="21" spans="1:10" ht="19.5" customHeight="1">
      <c r="A21" s="10">
        <v>20</v>
      </c>
      <c r="B21" s="12" t="s">
        <v>115</v>
      </c>
      <c r="C21" s="12" t="s">
        <v>127</v>
      </c>
      <c r="D21" s="10">
        <v>10857000</v>
      </c>
      <c r="E21" s="12" t="s">
        <v>30</v>
      </c>
      <c r="F21" s="12" t="s">
        <v>125</v>
      </c>
      <c r="G21" s="12" t="s">
        <v>126</v>
      </c>
      <c r="H21" s="12" t="s">
        <v>117</v>
      </c>
      <c r="I21" s="12" t="s">
        <v>118</v>
      </c>
      <c r="J21" s="12" t="s">
        <v>119</v>
      </c>
    </row>
    <row r="22" spans="1:10" ht="19.5" customHeight="1">
      <c r="A22" s="11">
        <v>21</v>
      </c>
      <c r="B22" s="13" t="s">
        <v>115</v>
      </c>
      <c r="C22" s="13" t="s">
        <v>131</v>
      </c>
      <c r="D22" s="11">
        <v>11055000</v>
      </c>
      <c r="E22" s="13" t="s">
        <v>30</v>
      </c>
      <c r="F22" s="13" t="s">
        <v>141</v>
      </c>
      <c r="G22" s="13" t="s">
        <v>142</v>
      </c>
      <c r="H22" s="13" t="s">
        <v>128</v>
      </c>
      <c r="I22" s="13" t="s">
        <v>129</v>
      </c>
      <c r="J22" s="13" t="s">
        <v>143</v>
      </c>
    </row>
    <row r="23" spans="1:10" ht="19.5" customHeight="1">
      <c r="A23" s="10">
        <v>22</v>
      </c>
      <c r="B23" s="12" t="s">
        <v>115</v>
      </c>
      <c r="C23" s="12" t="s">
        <v>137</v>
      </c>
      <c r="D23" s="10">
        <v>11463000</v>
      </c>
      <c r="E23" s="12" t="s">
        <v>30</v>
      </c>
      <c r="F23" s="12" t="s">
        <v>132</v>
      </c>
      <c r="G23" s="12" t="s">
        <v>134</v>
      </c>
      <c r="H23" s="12" t="s">
        <v>121</v>
      </c>
      <c r="I23" s="12" t="s">
        <v>122</v>
      </c>
      <c r="J23" s="12" t="s">
        <v>135</v>
      </c>
    </row>
    <row r="24" spans="1:10" ht="19.5" customHeight="1">
      <c r="A24" s="11">
        <v>23</v>
      </c>
      <c r="B24" s="13" t="s">
        <v>115</v>
      </c>
      <c r="C24" s="13" t="s">
        <v>144</v>
      </c>
      <c r="D24" s="11">
        <v>10857000</v>
      </c>
      <c r="E24" s="13" t="s">
        <v>30</v>
      </c>
      <c r="F24" s="13" t="s">
        <v>125</v>
      </c>
      <c r="G24" s="13" t="s">
        <v>126</v>
      </c>
      <c r="H24" s="13" t="s">
        <v>117</v>
      </c>
      <c r="I24" s="13" t="s">
        <v>118</v>
      </c>
      <c r="J24" s="13" t="s">
        <v>119</v>
      </c>
    </row>
    <row r="25" spans="1:10" ht="19.5" customHeight="1">
      <c r="A25" s="10">
        <v>24</v>
      </c>
      <c r="B25" s="12" t="s">
        <v>115</v>
      </c>
      <c r="C25" s="12" t="s">
        <v>146</v>
      </c>
      <c r="D25" s="10">
        <v>14814000</v>
      </c>
      <c r="E25" s="12" t="s">
        <v>30</v>
      </c>
      <c r="F25" s="12" t="s">
        <v>148</v>
      </c>
      <c r="G25" s="12" t="s">
        <v>150</v>
      </c>
      <c r="H25" s="12" t="s">
        <v>138</v>
      </c>
      <c r="I25" s="12" t="s">
        <v>139</v>
      </c>
      <c r="J25" s="12" t="s">
        <v>140</v>
      </c>
    </row>
    <row r="26" spans="1:10" ht="19.5" customHeight="1">
      <c r="A26" s="11">
        <v>25</v>
      </c>
      <c r="B26" s="13" t="s">
        <v>115</v>
      </c>
      <c r="C26" s="13" t="s">
        <v>147</v>
      </c>
      <c r="D26" s="11">
        <v>14814000</v>
      </c>
      <c r="E26" s="13" t="s">
        <v>30</v>
      </c>
      <c r="F26" s="13" t="s">
        <v>148</v>
      </c>
      <c r="G26" s="13" t="s">
        <v>150</v>
      </c>
      <c r="H26" s="13" t="s">
        <v>138</v>
      </c>
      <c r="I26" s="13" t="s">
        <v>139</v>
      </c>
      <c r="J26" s="13" t="s">
        <v>140</v>
      </c>
    </row>
    <row r="27" spans="1:10" ht="19.5" customHeight="1">
      <c r="A27" s="10">
        <v>26</v>
      </c>
      <c r="B27" s="12" t="s">
        <v>149</v>
      </c>
      <c r="C27" s="12" t="s">
        <v>151</v>
      </c>
      <c r="D27" s="10">
        <v>7348000</v>
      </c>
      <c r="E27" s="12" t="s">
        <v>30</v>
      </c>
      <c r="F27" s="12" t="s">
        <v>36</v>
      </c>
      <c r="G27" s="12" t="s">
        <v>37</v>
      </c>
      <c r="H27" s="12" t="s">
        <v>33</v>
      </c>
      <c r="I27" s="12" t="s">
        <v>34</v>
      </c>
      <c r="J27" s="12" t="s">
        <v>35</v>
      </c>
    </row>
    <row r="28" spans="1:10" ht="19.5" customHeight="1">
      <c r="A28" s="11">
        <v>27</v>
      </c>
      <c r="B28" s="13" t="s">
        <v>149</v>
      </c>
      <c r="C28" s="13" t="s">
        <v>152</v>
      </c>
      <c r="D28" s="11">
        <v>7348000</v>
      </c>
      <c r="E28" s="13" t="s">
        <v>30</v>
      </c>
      <c r="F28" s="13" t="s">
        <v>36</v>
      </c>
      <c r="G28" s="13" t="s">
        <v>37</v>
      </c>
      <c r="H28" s="13" t="s">
        <v>33</v>
      </c>
      <c r="I28" s="13" t="s">
        <v>34</v>
      </c>
      <c r="J28" s="13" t="s">
        <v>35</v>
      </c>
    </row>
    <row r="29" spans="1:10" ht="19.5" customHeight="1">
      <c r="A29" s="10">
        <v>28</v>
      </c>
      <c r="B29" s="12" t="s">
        <v>149</v>
      </c>
      <c r="C29" s="12" t="s">
        <v>153</v>
      </c>
      <c r="D29" s="10">
        <v>7348000</v>
      </c>
      <c r="E29" s="12" t="s">
        <v>30</v>
      </c>
      <c r="F29" s="12" t="s">
        <v>36</v>
      </c>
      <c r="G29" s="12" t="s">
        <v>37</v>
      </c>
      <c r="H29" s="12" t="s">
        <v>33</v>
      </c>
      <c r="I29" s="12" t="s">
        <v>34</v>
      </c>
      <c r="J29" s="12" t="s">
        <v>35</v>
      </c>
    </row>
    <row r="30" spans="1:10" ht="19.5" customHeight="1">
      <c r="A30" s="11">
        <v>29</v>
      </c>
      <c r="B30" s="13" t="s">
        <v>149</v>
      </c>
      <c r="C30" s="13" t="s">
        <v>155</v>
      </c>
      <c r="D30" s="11">
        <v>10857000</v>
      </c>
      <c r="E30" s="13" t="s">
        <v>30</v>
      </c>
      <c r="F30" s="13" t="s">
        <v>125</v>
      </c>
      <c r="G30" s="13" t="s">
        <v>126</v>
      </c>
      <c r="H30" s="13" t="s">
        <v>117</v>
      </c>
      <c r="I30" s="13" t="s">
        <v>118</v>
      </c>
      <c r="J30" s="13" t="s">
        <v>119</v>
      </c>
    </row>
    <row r="31" spans="1:10" ht="19.5" customHeight="1">
      <c r="A31" s="10">
        <v>30</v>
      </c>
      <c r="B31" s="12" t="s">
        <v>149</v>
      </c>
      <c r="C31" s="12" t="s">
        <v>160</v>
      </c>
      <c r="D31" s="10">
        <v>7348000</v>
      </c>
      <c r="E31" s="12" t="s">
        <v>30</v>
      </c>
      <c r="F31" s="12" t="s">
        <v>36</v>
      </c>
      <c r="G31" s="12" t="s">
        <v>37</v>
      </c>
      <c r="H31" s="12" t="s">
        <v>33</v>
      </c>
      <c r="I31" s="12" t="s">
        <v>34</v>
      </c>
      <c r="J31" s="12" t="s">
        <v>35</v>
      </c>
    </row>
    <row r="32" spans="1:10" ht="19.5" customHeight="1">
      <c r="A32" s="11">
        <v>31</v>
      </c>
      <c r="B32" s="13" t="s">
        <v>149</v>
      </c>
      <c r="C32" s="13" t="s">
        <v>164</v>
      </c>
      <c r="D32" s="11">
        <v>11463000</v>
      </c>
      <c r="E32" s="13" t="s">
        <v>30</v>
      </c>
      <c r="F32" s="13" t="s">
        <v>132</v>
      </c>
      <c r="G32" s="13" t="s">
        <v>134</v>
      </c>
      <c r="H32" s="13" t="s">
        <v>121</v>
      </c>
      <c r="I32" s="13" t="s">
        <v>122</v>
      </c>
      <c r="J32" s="13" t="s">
        <v>135</v>
      </c>
    </row>
    <row r="33" spans="1:10" ht="19.5" customHeight="1">
      <c r="A33" s="10">
        <v>32</v>
      </c>
      <c r="B33" s="12" t="s">
        <v>149</v>
      </c>
      <c r="C33" s="12" t="s">
        <v>166</v>
      </c>
      <c r="D33" s="10">
        <v>8450000</v>
      </c>
      <c r="E33" s="12" t="s">
        <v>30</v>
      </c>
      <c r="F33" s="12" t="s">
        <v>176</v>
      </c>
      <c r="G33" s="12" t="s">
        <v>177</v>
      </c>
      <c r="H33" s="12" t="s">
        <v>157</v>
      </c>
      <c r="I33" s="12" t="s">
        <v>158</v>
      </c>
      <c r="J33" s="12" t="s">
        <v>159</v>
      </c>
    </row>
    <row r="34" spans="1:10" ht="19.5" customHeight="1">
      <c r="A34" s="11">
        <v>33</v>
      </c>
      <c r="B34" s="13" t="s">
        <v>149</v>
      </c>
      <c r="C34" s="13" t="s">
        <v>170</v>
      </c>
      <c r="D34" s="11">
        <v>9553000</v>
      </c>
      <c r="E34" s="13" t="s">
        <v>30</v>
      </c>
      <c r="F34" s="13" t="s">
        <v>183</v>
      </c>
      <c r="G34" s="13" t="s">
        <v>184</v>
      </c>
      <c r="H34" s="13" t="s">
        <v>161</v>
      </c>
      <c r="I34" s="13" t="s">
        <v>165</v>
      </c>
      <c r="J34" s="13" t="s">
        <v>163</v>
      </c>
    </row>
    <row r="35" spans="1:10" ht="19.5" customHeight="1">
      <c r="A35" s="10">
        <v>34</v>
      </c>
      <c r="B35" s="12" t="s">
        <v>149</v>
      </c>
      <c r="C35" s="12" t="s">
        <v>171</v>
      </c>
      <c r="D35" s="10">
        <v>9553000</v>
      </c>
      <c r="E35" s="12" t="s">
        <v>30</v>
      </c>
      <c r="F35" s="12" t="s">
        <v>183</v>
      </c>
      <c r="G35" s="12" t="s">
        <v>184</v>
      </c>
      <c r="H35" s="12" t="s">
        <v>161</v>
      </c>
      <c r="I35" s="12" t="s">
        <v>165</v>
      </c>
      <c r="J35" s="12" t="s">
        <v>163</v>
      </c>
    </row>
    <row r="36" spans="1:10" ht="19.5" customHeight="1">
      <c r="A36" s="11">
        <v>35</v>
      </c>
      <c r="B36" s="13" t="s">
        <v>149</v>
      </c>
      <c r="C36" s="13" t="s">
        <v>174</v>
      </c>
      <c r="D36" s="11">
        <v>12227000</v>
      </c>
      <c r="E36" s="13" t="s">
        <v>30</v>
      </c>
      <c r="F36" s="13" t="s">
        <v>72</v>
      </c>
      <c r="G36" s="13" t="s">
        <v>189</v>
      </c>
      <c r="H36" s="13" t="s">
        <v>167</v>
      </c>
      <c r="I36" s="13" t="s">
        <v>168</v>
      </c>
      <c r="J36" s="13" t="s">
        <v>169</v>
      </c>
    </row>
    <row r="37" spans="1:10" ht="19.5" customHeight="1">
      <c r="A37" s="10">
        <v>36</v>
      </c>
      <c r="B37" s="12" t="s">
        <v>149</v>
      </c>
      <c r="C37" s="12" t="s">
        <v>178</v>
      </c>
      <c r="D37" s="10">
        <v>11463000</v>
      </c>
      <c r="E37" s="12" t="s">
        <v>30</v>
      </c>
      <c r="F37" s="12" t="s">
        <v>132</v>
      </c>
      <c r="G37" s="12" t="s">
        <v>134</v>
      </c>
      <c r="H37" s="12" t="s">
        <v>121</v>
      </c>
      <c r="I37" s="12" t="s">
        <v>122</v>
      </c>
      <c r="J37" s="12" t="s">
        <v>135</v>
      </c>
    </row>
    <row r="38" spans="1:10" ht="19.5" customHeight="1">
      <c r="A38" s="11">
        <v>37</v>
      </c>
      <c r="B38" s="13" t="s">
        <v>149</v>
      </c>
      <c r="C38" s="13" t="s">
        <v>182</v>
      </c>
      <c r="D38" s="11">
        <v>11463000</v>
      </c>
      <c r="E38" s="13" t="s">
        <v>30</v>
      </c>
      <c r="F38" s="13" t="s">
        <v>132</v>
      </c>
      <c r="G38" s="13" t="s">
        <v>134</v>
      </c>
      <c r="H38" s="13" t="s">
        <v>121</v>
      </c>
      <c r="I38" s="13" t="s">
        <v>122</v>
      </c>
      <c r="J38" s="13" t="s">
        <v>135</v>
      </c>
    </row>
    <row r="39" spans="1:10" ht="19.5" customHeight="1">
      <c r="A39" s="10">
        <v>38</v>
      </c>
      <c r="B39" s="12" t="s">
        <v>149</v>
      </c>
      <c r="C39" s="12" t="s">
        <v>185</v>
      </c>
      <c r="D39" s="10">
        <v>10439000</v>
      </c>
      <c r="E39" s="12" t="s">
        <v>30</v>
      </c>
      <c r="F39" s="12" t="s">
        <v>196</v>
      </c>
      <c r="G39" s="12" t="s">
        <v>198</v>
      </c>
      <c r="H39" s="12" t="s">
        <v>179</v>
      </c>
      <c r="I39" s="12" t="s">
        <v>180</v>
      </c>
      <c r="J39" s="12" t="s">
        <v>181</v>
      </c>
    </row>
    <row r="40" spans="1:10" ht="19.5" customHeight="1">
      <c r="A40" s="11">
        <v>39</v>
      </c>
      <c r="B40" s="13" t="s">
        <v>149</v>
      </c>
      <c r="C40" s="13" t="s">
        <v>188</v>
      </c>
      <c r="D40" s="11">
        <v>7642000</v>
      </c>
      <c r="E40" s="13" t="s">
        <v>30</v>
      </c>
      <c r="F40" s="13" t="s">
        <v>44</v>
      </c>
      <c r="G40" s="13" t="s">
        <v>45</v>
      </c>
      <c r="H40" s="13" t="s">
        <v>39</v>
      </c>
      <c r="I40" s="13" t="s">
        <v>46</v>
      </c>
      <c r="J40" s="13" t="s">
        <v>42</v>
      </c>
    </row>
    <row r="41" spans="1:10" ht="19.5" customHeight="1">
      <c r="A41" s="10">
        <v>40</v>
      </c>
      <c r="B41" s="12" t="s">
        <v>149</v>
      </c>
      <c r="C41" s="12" t="s">
        <v>190</v>
      </c>
      <c r="D41" s="10">
        <v>7348000</v>
      </c>
      <c r="E41" s="12" t="s">
        <v>30</v>
      </c>
      <c r="F41" s="12" t="s">
        <v>36</v>
      </c>
      <c r="G41" s="12" t="s">
        <v>37</v>
      </c>
      <c r="H41" s="12" t="s">
        <v>33</v>
      </c>
      <c r="I41" s="12" t="s">
        <v>34</v>
      </c>
      <c r="J41" s="12" t="s">
        <v>35</v>
      </c>
    </row>
    <row r="42" spans="1:10" ht="19.5" customHeight="1">
      <c r="A42" s="11">
        <v>41</v>
      </c>
      <c r="B42" s="13" t="s">
        <v>149</v>
      </c>
      <c r="C42" s="13" t="s">
        <v>192</v>
      </c>
      <c r="D42" s="11">
        <v>8450000</v>
      </c>
      <c r="E42" s="13" t="s">
        <v>30</v>
      </c>
      <c r="F42" s="13" t="s">
        <v>176</v>
      </c>
      <c r="G42" s="13" t="s">
        <v>177</v>
      </c>
      <c r="H42" s="13" t="s">
        <v>157</v>
      </c>
      <c r="I42" s="13" t="s">
        <v>158</v>
      </c>
      <c r="J42" s="13" t="s">
        <v>159</v>
      </c>
    </row>
    <row r="43" spans="1:10" ht="19.5" customHeight="1">
      <c r="A43" s="10">
        <v>42</v>
      </c>
      <c r="B43" s="12" t="s">
        <v>193</v>
      </c>
      <c r="C43" s="12" t="s">
        <v>194</v>
      </c>
      <c r="D43" s="10">
        <v>26355000</v>
      </c>
      <c r="E43" s="12" t="s">
        <v>30</v>
      </c>
      <c r="F43" s="12" t="s">
        <v>55</v>
      </c>
      <c r="G43" s="12" t="s">
        <v>57</v>
      </c>
      <c r="H43" s="12" t="s">
        <v>58</v>
      </c>
      <c r="I43" s="12" t="s">
        <v>59</v>
      </c>
      <c r="J43" s="12" t="s">
        <v>60</v>
      </c>
    </row>
    <row r="44" spans="1:10" ht="19.5" customHeight="1">
      <c r="A44" s="11">
        <v>43</v>
      </c>
      <c r="B44" s="13" t="s">
        <v>193</v>
      </c>
      <c r="C44" s="13" t="s">
        <v>195</v>
      </c>
      <c r="D44" s="11">
        <v>8450000</v>
      </c>
      <c r="E44" s="13" t="s">
        <v>30</v>
      </c>
      <c r="F44" s="13" t="s">
        <v>176</v>
      </c>
      <c r="G44" s="13" t="s">
        <v>177</v>
      </c>
      <c r="H44" s="13" t="s">
        <v>157</v>
      </c>
      <c r="I44" s="13" t="s">
        <v>158</v>
      </c>
      <c r="J44" s="13" t="s">
        <v>159</v>
      </c>
    </row>
    <row r="45" spans="1:10" ht="19.5" customHeight="1">
      <c r="A45" s="10">
        <v>44</v>
      </c>
      <c r="B45" s="12" t="s">
        <v>197</v>
      </c>
      <c r="C45" s="12" t="s">
        <v>28</v>
      </c>
      <c r="D45" s="10">
        <v>12227000</v>
      </c>
      <c r="E45" s="12" t="s">
        <v>30</v>
      </c>
      <c r="F45" s="12" t="s">
        <v>72</v>
      </c>
      <c r="G45" s="12" t="s">
        <v>189</v>
      </c>
      <c r="H45" s="12" t="s">
        <v>167</v>
      </c>
      <c r="I45" s="12" t="s">
        <v>168</v>
      </c>
      <c r="J45" s="12" t="s">
        <v>169</v>
      </c>
    </row>
    <row r="46" spans="1:10" ht="19.5" customHeight="1">
      <c r="A46" s="11">
        <v>45</v>
      </c>
      <c r="B46" s="13" t="s">
        <v>197</v>
      </c>
      <c r="C46" s="13" t="s">
        <v>202</v>
      </c>
      <c r="D46" s="11">
        <v>25341000</v>
      </c>
      <c r="E46" s="13" t="s">
        <v>30</v>
      </c>
      <c r="F46" s="13" t="s">
        <v>219</v>
      </c>
      <c r="G46" s="13" t="s">
        <v>220</v>
      </c>
      <c r="H46" s="13" t="s">
        <v>199</v>
      </c>
      <c r="I46" s="13" t="s">
        <v>200</v>
      </c>
      <c r="J46" s="13" t="s">
        <v>201</v>
      </c>
    </row>
    <row r="47" spans="1:10" ht="19.5" customHeight="1">
      <c r="A47" s="10">
        <v>46</v>
      </c>
      <c r="B47" s="12" t="s">
        <v>197</v>
      </c>
      <c r="C47" s="12" t="s">
        <v>203</v>
      </c>
      <c r="D47" s="10">
        <v>12227000</v>
      </c>
      <c r="E47" s="12" t="s">
        <v>30</v>
      </c>
      <c r="F47" s="12" t="s">
        <v>72</v>
      </c>
      <c r="G47" s="12" t="s">
        <v>189</v>
      </c>
      <c r="H47" s="12" t="s">
        <v>167</v>
      </c>
      <c r="I47" s="12" t="s">
        <v>168</v>
      </c>
      <c r="J47" s="12" t="s">
        <v>169</v>
      </c>
    </row>
    <row r="48" spans="1:10" ht="19.5" customHeight="1">
      <c r="A48" s="11">
        <v>47</v>
      </c>
      <c r="B48" s="13" t="s">
        <v>197</v>
      </c>
      <c r="C48" s="13" t="s">
        <v>204</v>
      </c>
      <c r="D48" s="11">
        <v>12227000</v>
      </c>
      <c r="E48" s="13" t="s">
        <v>30</v>
      </c>
      <c r="F48" s="13" t="s">
        <v>72</v>
      </c>
      <c r="G48" s="13" t="s">
        <v>189</v>
      </c>
      <c r="H48" s="13" t="s">
        <v>167</v>
      </c>
      <c r="I48" s="13" t="s">
        <v>168</v>
      </c>
      <c r="J48" s="13" t="s">
        <v>169</v>
      </c>
    </row>
    <row r="49" spans="1:10" ht="19.5" customHeight="1">
      <c r="A49" s="10">
        <v>48</v>
      </c>
      <c r="B49" s="12" t="s">
        <v>197</v>
      </c>
      <c r="C49" s="12" t="s">
        <v>206</v>
      </c>
      <c r="D49" s="10">
        <v>10857000</v>
      </c>
      <c r="E49" s="12" t="s">
        <v>30</v>
      </c>
      <c r="F49" s="12" t="s">
        <v>125</v>
      </c>
      <c r="G49" s="12" t="s">
        <v>126</v>
      </c>
      <c r="H49" s="12" t="s">
        <v>117</v>
      </c>
      <c r="I49" s="12" t="s">
        <v>118</v>
      </c>
      <c r="J49" s="12" t="s">
        <v>119</v>
      </c>
    </row>
    <row r="50" spans="1:10" ht="19.5" customHeight="1">
      <c r="A50" s="11">
        <v>49</v>
      </c>
      <c r="B50" s="13" t="s">
        <v>197</v>
      </c>
      <c r="C50" s="13" t="s">
        <v>208</v>
      </c>
      <c r="D50" s="11">
        <v>10439000</v>
      </c>
      <c r="E50" s="13" t="s">
        <v>30</v>
      </c>
      <c r="F50" s="13" t="s">
        <v>196</v>
      </c>
      <c r="G50" s="13" t="s">
        <v>198</v>
      </c>
      <c r="H50" s="13" t="s">
        <v>179</v>
      </c>
      <c r="I50" s="13" t="s">
        <v>180</v>
      </c>
      <c r="J50" s="13" t="s">
        <v>181</v>
      </c>
    </row>
    <row r="51" spans="1:10" ht="19.5" customHeight="1">
      <c r="A51" s="10">
        <v>50</v>
      </c>
      <c r="B51" s="12" t="s">
        <v>197</v>
      </c>
      <c r="C51" s="12" t="s">
        <v>209</v>
      </c>
      <c r="D51" s="10">
        <v>10857000</v>
      </c>
      <c r="E51" s="12" t="s">
        <v>30</v>
      </c>
      <c r="F51" s="12" t="s">
        <v>125</v>
      </c>
      <c r="G51" s="12" t="s">
        <v>126</v>
      </c>
      <c r="H51" s="12" t="s">
        <v>117</v>
      </c>
      <c r="I51" s="12" t="s">
        <v>118</v>
      </c>
      <c r="J51" s="12" t="s">
        <v>119</v>
      </c>
    </row>
    <row r="52" spans="1:10" ht="19.5" customHeight="1">
      <c r="A52" s="11">
        <v>51</v>
      </c>
      <c r="B52" s="13" t="s">
        <v>210</v>
      </c>
      <c r="C52" s="13" t="s">
        <v>211</v>
      </c>
      <c r="D52" s="11">
        <v>7348000</v>
      </c>
      <c r="E52" s="13" t="s">
        <v>30</v>
      </c>
      <c r="F52" s="13" t="s">
        <v>36</v>
      </c>
      <c r="G52" s="13" t="s">
        <v>37</v>
      </c>
      <c r="H52" s="13" t="s">
        <v>33</v>
      </c>
      <c r="I52" s="13" t="s">
        <v>34</v>
      </c>
      <c r="J52" s="13" t="s">
        <v>35</v>
      </c>
    </row>
    <row r="53" spans="1:10" ht="19.5" customHeight="1">
      <c r="A53" s="10">
        <v>52</v>
      </c>
      <c r="B53" s="12" t="s">
        <v>210</v>
      </c>
      <c r="C53" s="12" t="s">
        <v>212</v>
      </c>
      <c r="D53" s="10">
        <v>7348000</v>
      </c>
      <c r="E53" s="12" t="s">
        <v>30</v>
      </c>
      <c r="F53" s="12" t="s">
        <v>36</v>
      </c>
      <c r="G53" s="12" t="s">
        <v>37</v>
      </c>
      <c r="H53" s="12" t="s">
        <v>33</v>
      </c>
      <c r="I53" s="12" t="s">
        <v>34</v>
      </c>
      <c r="J53" s="12" t="s">
        <v>35</v>
      </c>
    </row>
    <row r="54" spans="1:10" ht="19.5" customHeight="1">
      <c r="A54" s="11">
        <v>53</v>
      </c>
      <c r="B54" s="13" t="s">
        <v>210</v>
      </c>
      <c r="C54" s="13" t="s">
        <v>214</v>
      </c>
      <c r="D54" s="11">
        <v>7348000</v>
      </c>
      <c r="E54" s="13" t="s">
        <v>30</v>
      </c>
      <c r="F54" s="13" t="s">
        <v>36</v>
      </c>
      <c r="G54" s="13" t="s">
        <v>37</v>
      </c>
      <c r="H54" s="13" t="s">
        <v>33</v>
      </c>
      <c r="I54" s="13" t="s">
        <v>34</v>
      </c>
      <c r="J54" s="13" t="s">
        <v>35</v>
      </c>
    </row>
    <row r="55" spans="1:10" ht="19.5" customHeight="1">
      <c r="A55" s="10">
        <v>54</v>
      </c>
      <c r="B55" s="12" t="s">
        <v>210</v>
      </c>
      <c r="C55" s="12" t="s">
        <v>218</v>
      </c>
      <c r="D55" s="10">
        <v>11022000</v>
      </c>
      <c r="E55" s="12" t="s">
        <v>30</v>
      </c>
      <c r="F55" s="12" t="s">
        <v>141</v>
      </c>
      <c r="G55" s="12" t="s">
        <v>241</v>
      </c>
      <c r="H55" s="12" t="s">
        <v>215</v>
      </c>
      <c r="I55" s="12" t="s">
        <v>216</v>
      </c>
      <c r="J55" s="12" t="s">
        <v>217</v>
      </c>
    </row>
    <row r="56" spans="1:10" ht="19.5" customHeight="1">
      <c r="A56" s="11">
        <v>55</v>
      </c>
      <c r="B56" s="13" t="s">
        <v>224</v>
      </c>
      <c r="C56" s="13" t="s">
        <v>225</v>
      </c>
      <c r="D56" s="11">
        <v>12046000</v>
      </c>
      <c r="E56" s="13" t="s">
        <v>30</v>
      </c>
      <c r="F56" s="13" t="s">
        <v>244</v>
      </c>
      <c r="G56" s="13" t="s">
        <v>245</v>
      </c>
      <c r="H56" s="13" t="s">
        <v>221</v>
      </c>
      <c r="I56" s="13" t="s">
        <v>222</v>
      </c>
      <c r="J56" s="13" t="s">
        <v>223</v>
      </c>
    </row>
    <row r="57" spans="1:10" ht="19.5" customHeight="1">
      <c r="A57" s="10">
        <v>56</v>
      </c>
      <c r="B57" s="12" t="s">
        <v>224</v>
      </c>
      <c r="C57" s="12" t="s">
        <v>226</v>
      </c>
      <c r="D57" s="10">
        <v>11463000</v>
      </c>
      <c r="E57" s="12" t="s">
        <v>30</v>
      </c>
      <c r="F57" s="12" t="s">
        <v>132</v>
      </c>
      <c r="G57" s="12" t="s">
        <v>134</v>
      </c>
      <c r="H57" s="12" t="s">
        <v>121</v>
      </c>
      <c r="I57" s="12" t="s">
        <v>122</v>
      </c>
      <c r="J57" s="12" t="s">
        <v>135</v>
      </c>
    </row>
    <row r="58" spans="1:10" ht="19.5" customHeight="1">
      <c r="A58" s="11">
        <v>57</v>
      </c>
      <c r="B58" s="13" t="s">
        <v>224</v>
      </c>
      <c r="C58" s="13" t="s">
        <v>230</v>
      </c>
      <c r="D58" s="11">
        <v>13227000</v>
      </c>
      <c r="E58" s="13" t="s">
        <v>30</v>
      </c>
      <c r="F58" s="13" t="s">
        <v>251</v>
      </c>
      <c r="G58" s="13" t="s">
        <v>252</v>
      </c>
      <c r="H58" s="13" t="s">
        <v>227</v>
      </c>
      <c r="I58" s="13" t="s">
        <v>253</v>
      </c>
      <c r="J58" s="13" t="s">
        <v>229</v>
      </c>
    </row>
    <row r="59" spans="1:10" ht="19.5" customHeight="1">
      <c r="A59" s="10">
        <v>58</v>
      </c>
      <c r="B59" s="12" t="s">
        <v>232</v>
      </c>
      <c r="C59" s="12" t="s">
        <v>233</v>
      </c>
      <c r="D59" s="10">
        <v>26355000</v>
      </c>
      <c r="E59" s="12" t="s">
        <v>30</v>
      </c>
      <c r="F59" s="12" t="s">
        <v>55</v>
      </c>
      <c r="G59" s="12" t="s">
        <v>57</v>
      </c>
      <c r="H59" s="12" t="s">
        <v>58</v>
      </c>
      <c r="I59" s="12" t="s">
        <v>59</v>
      </c>
      <c r="J59" s="12" t="s">
        <v>60</v>
      </c>
    </row>
    <row r="60" spans="1:10" ht="19.5" customHeight="1">
      <c r="A60" s="11">
        <v>59</v>
      </c>
      <c r="B60" s="13" t="s">
        <v>231</v>
      </c>
      <c r="C60" s="13" t="s">
        <v>27</v>
      </c>
      <c r="D60" s="11">
        <v>26355000</v>
      </c>
      <c r="E60" s="13" t="s">
        <v>30</v>
      </c>
      <c r="F60" s="13" t="s">
        <v>55</v>
      </c>
      <c r="G60" s="13" t="s">
        <v>57</v>
      </c>
      <c r="H60" s="13" t="s">
        <v>58</v>
      </c>
      <c r="I60" s="13" t="s">
        <v>59</v>
      </c>
      <c r="J60" s="13" t="s">
        <v>60</v>
      </c>
    </row>
    <row r="61" spans="1:10" ht="15.75" customHeight="1"/>
    <row r="62" spans="1:10" ht="15.75" customHeight="1"/>
    <row r="63" spans="1:10" ht="15.75" customHeight="1"/>
    <row r="64" spans="1:10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00"/>
  <sheetViews>
    <sheetView workbookViewId="0"/>
  </sheetViews>
  <sheetFormatPr baseColWidth="10" defaultColWidth="12.6640625" defaultRowHeight="15" customHeight="1"/>
  <cols>
    <col min="1" max="1" width="10.5" customWidth="1"/>
    <col min="2" max="2" width="35" customWidth="1"/>
    <col min="3" max="3" width="37.6640625" customWidth="1"/>
    <col min="4" max="4" width="10.5" customWidth="1"/>
    <col min="5" max="5" width="21" customWidth="1"/>
    <col min="6" max="6" width="23.6640625" customWidth="1"/>
    <col min="7" max="8" width="24.5" customWidth="1"/>
    <col min="9" max="9" width="40.1640625" customWidth="1"/>
    <col min="10" max="24" width="7.6640625" customWidth="1"/>
  </cols>
  <sheetData>
    <row r="1" spans="1:9" ht="27.7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</v>
      </c>
      <c r="G1" s="1" t="s">
        <v>9</v>
      </c>
      <c r="H1" s="1" t="s">
        <v>10</v>
      </c>
      <c r="I1" s="1" t="s">
        <v>11</v>
      </c>
    </row>
    <row r="2" spans="1:9" ht="19.5" customHeight="1">
      <c r="A2" s="4">
        <v>1</v>
      </c>
      <c r="B2" s="5" t="s">
        <v>19</v>
      </c>
      <c r="C2" s="5" t="s">
        <v>22</v>
      </c>
      <c r="D2" s="7" t="s">
        <v>23</v>
      </c>
      <c r="E2" s="4">
        <v>8230000</v>
      </c>
      <c r="F2" s="5" t="s">
        <v>24</v>
      </c>
      <c r="G2" s="5" t="s">
        <v>25</v>
      </c>
      <c r="H2" s="5" t="s">
        <v>26</v>
      </c>
      <c r="I2" s="4">
        <v>15000000</v>
      </c>
    </row>
    <row r="3" spans="1:9" ht="19.5" customHeight="1">
      <c r="A3" s="10">
        <v>2</v>
      </c>
      <c r="B3" s="12" t="s">
        <v>19</v>
      </c>
      <c r="C3" s="12" t="s">
        <v>29</v>
      </c>
      <c r="D3" s="14" t="s">
        <v>23</v>
      </c>
      <c r="E3" s="10">
        <v>7348000</v>
      </c>
      <c r="F3" s="12" t="s">
        <v>33</v>
      </c>
      <c r="G3" s="12" t="s">
        <v>34</v>
      </c>
      <c r="H3" s="12" t="s">
        <v>35</v>
      </c>
      <c r="I3" s="10">
        <v>15000000</v>
      </c>
    </row>
    <row r="4" spans="1:9" ht="19.5" customHeight="1">
      <c r="A4" s="4">
        <v>3</v>
      </c>
      <c r="B4" s="5" t="s">
        <v>19</v>
      </c>
      <c r="C4" s="5" t="s">
        <v>38</v>
      </c>
      <c r="D4" s="7" t="s">
        <v>23</v>
      </c>
      <c r="E4" s="4">
        <v>7642000</v>
      </c>
      <c r="F4" s="5" t="s">
        <v>39</v>
      </c>
      <c r="G4" s="5" t="s">
        <v>40</v>
      </c>
      <c r="H4" s="5" t="s">
        <v>42</v>
      </c>
      <c r="I4" s="4">
        <v>15000000</v>
      </c>
    </row>
    <row r="5" spans="1:9" ht="19.5" customHeight="1">
      <c r="A5" s="10">
        <v>4</v>
      </c>
      <c r="B5" s="12" t="s">
        <v>19</v>
      </c>
      <c r="C5" s="12" t="s">
        <v>43</v>
      </c>
      <c r="D5" s="14" t="s">
        <v>23</v>
      </c>
      <c r="E5" s="10">
        <v>7642000</v>
      </c>
      <c r="F5" s="12" t="s">
        <v>39</v>
      </c>
      <c r="G5" s="12" t="s">
        <v>46</v>
      </c>
      <c r="H5" s="12" t="s">
        <v>42</v>
      </c>
      <c r="I5" s="10">
        <v>15000000</v>
      </c>
    </row>
    <row r="6" spans="1:9" ht="19.5" customHeight="1">
      <c r="A6" s="4">
        <v>5</v>
      </c>
      <c r="B6" s="5" t="s">
        <v>19</v>
      </c>
      <c r="C6" s="5" t="s">
        <v>47</v>
      </c>
      <c r="D6" s="7" t="s">
        <v>23</v>
      </c>
      <c r="E6" s="4">
        <v>8949000</v>
      </c>
      <c r="F6" s="5" t="s">
        <v>49</v>
      </c>
      <c r="G6" s="5" t="s">
        <v>50</v>
      </c>
      <c r="H6" s="5" t="s">
        <v>51</v>
      </c>
      <c r="I6" s="4">
        <v>15000000</v>
      </c>
    </row>
    <row r="7" spans="1:9" ht="19.5" customHeight="1">
      <c r="A7" s="10">
        <v>6</v>
      </c>
      <c r="B7" s="12" t="s">
        <v>53</v>
      </c>
      <c r="C7" s="12" t="s">
        <v>54</v>
      </c>
      <c r="D7" s="14" t="s">
        <v>23</v>
      </c>
      <c r="E7" s="10">
        <v>26355000</v>
      </c>
      <c r="F7" s="12" t="s">
        <v>58</v>
      </c>
      <c r="G7" s="12" t="s">
        <v>59</v>
      </c>
      <c r="H7" s="12" t="s">
        <v>60</v>
      </c>
      <c r="I7" s="10">
        <v>15000000</v>
      </c>
    </row>
    <row r="8" spans="1:9" ht="19.5" customHeight="1">
      <c r="A8" s="4">
        <v>7</v>
      </c>
      <c r="B8" s="5" t="s">
        <v>63</v>
      </c>
      <c r="C8" s="5" t="s">
        <v>64</v>
      </c>
      <c r="D8" s="7" t="s">
        <v>23</v>
      </c>
      <c r="E8" s="4">
        <v>7642000</v>
      </c>
      <c r="F8" s="5" t="s">
        <v>65</v>
      </c>
      <c r="G8" s="5" t="s">
        <v>46</v>
      </c>
      <c r="H8" s="5" t="s">
        <v>42</v>
      </c>
      <c r="I8" s="4">
        <v>5000000</v>
      </c>
    </row>
    <row r="9" spans="1:9" ht="19.5" customHeight="1">
      <c r="A9" s="10">
        <v>8</v>
      </c>
      <c r="B9" s="12" t="s">
        <v>67</v>
      </c>
      <c r="C9" s="12" t="s">
        <v>68</v>
      </c>
      <c r="D9" s="14" t="s">
        <v>23</v>
      </c>
      <c r="E9" s="10">
        <v>12238000</v>
      </c>
      <c r="F9" s="12" t="s">
        <v>69</v>
      </c>
      <c r="G9" s="12" t="s">
        <v>70</v>
      </c>
      <c r="H9" s="12" t="s">
        <v>71</v>
      </c>
      <c r="I9" s="10">
        <v>40000000</v>
      </c>
    </row>
    <row r="10" spans="1:9" ht="19.5" customHeight="1">
      <c r="A10" s="4">
        <v>9</v>
      </c>
      <c r="B10" s="5" t="s">
        <v>67</v>
      </c>
      <c r="C10" s="5" t="s">
        <v>74</v>
      </c>
      <c r="D10" s="7" t="s">
        <v>23</v>
      </c>
      <c r="E10" s="4">
        <v>11767000</v>
      </c>
      <c r="F10" s="5" t="s">
        <v>75</v>
      </c>
      <c r="G10" s="5" t="s">
        <v>76</v>
      </c>
      <c r="H10" s="5" t="s">
        <v>77</v>
      </c>
      <c r="I10" s="4">
        <v>40000000</v>
      </c>
    </row>
    <row r="11" spans="1:9" ht="19.5" customHeight="1">
      <c r="A11" s="10">
        <v>10</v>
      </c>
      <c r="B11" s="12" t="s">
        <v>67</v>
      </c>
      <c r="C11" s="12" t="s">
        <v>79</v>
      </c>
      <c r="D11" s="14" t="s">
        <v>23</v>
      </c>
      <c r="E11" s="10">
        <v>13650000</v>
      </c>
      <c r="F11" s="12" t="s">
        <v>81</v>
      </c>
      <c r="G11" s="12" t="s">
        <v>83</v>
      </c>
      <c r="H11" s="12" t="s">
        <v>86</v>
      </c>
      <c r="I11" s="10">
        <v>40000000</v>
      </c>
    </row>
    <row r="12" spans="1:9" ht="19.5" customHeight="1">
      <c r="A12" s="4">
        <v>11</v>
      </c>
      <c r="B12" s="5" t="s">
        <v>67</v>
      </c>
      <c r="C12" s="5" t="s">
        <v>87</v>
      </c>
      <c r="D12" s="7" t="s">
        <v>23</v>
      </c>
      <c r="E12" s="4">
        <v>13650000</v>
      </c>
      <c r="F12" s="5" t="s">
        <v>81</v>
      </c>
      <c r="G12" s="5" t="s">
        <v>83</v>
      </c>
      <c r="H12" s="5" t="s">
        <v>86</v>
      </c>
      <c r="I12" s="4">
        <v>40000000</v>
      </c>
    </row>
    <row r="13" spans="1:9" ht="19.5" customHeight="1">
      <c r="A13" s="10">
        <v>12</v>
      </c>
      <c r="B13" s="12" t="s">
        <v>67</v>
      </c>
      <c r="C13" s="12" t="s">
        <v>90</v>
      </c>
      <c r="D13" s="14" t="s">
        <v>23</v>
      </c>
      <c r="E13" s="10">
        <v>12709000</v>
      </c>
      <c r="F13" s="12" t="s">
        <v>91</v>
      </c>
      <c r="G13" s="12" t="s">
        <v>92</v>
      </c>
      <c r="H13" s="12" t="s">
        <v>93</v>
      </c>
      <c r="I13" s="10">
        <v>30000000</v>
      </c>
    </row>
    <row r="14" spans="1:9" ht="19.5" customHeight="1">
      <c r="A14" s="4">
        <v>13</v>
      </c>
      <c r="B14" s="5" t="s">
        <v>67</v>
      </c>
      <c r="C14" s="5" t="s">
        <v>13</v>
      </c>
      <c r="D14" s="7" t="s">
        <v>23</v>
      </c>
      <c r="E14" s="4">
        <v>11767000</v>
      </c>
      <c r="F14" s="5" t="s">
        <v>94</v>
      </c>
      <c r="G14" s="5" t="s">
        <v>76</v>
      </c>
      <c r="H14" s="5" t="s">
        <v>77</v>
      </c>
      <c r="I14" s="4">
        <v>30000000</v>
      </c>
    </row>
    <row r="15" spans="1:9" ht="19.5" customHeight="1">
      <c r="A15" s="10">
        <v>14</v>
      </c>
      <c r="B15" s="12" t="s">
        <v>67</v>
      </c>
      <c r="C15" s="12" t="s">
        <v>95</v>
      </c>
      <c r="D15" s="14" t="s">
        <v>23</v>
      </c>
      <c r="E15" s="10">
        <v>15343000</v>
      </c>
      <c r="F15" s="12" t="s">
        <v>100</v>
      </c>
      <c r="G15" s="12" t="s">
        <v>101</v>
      </c>
      <c r="H15" s="12" t="s">
        <v>102</v>
      </c>
      <c r="I15" s="10">
        <v>30000000</v>
      </c>
    </row>
    <row r="16" spans="1:9" ht="19.5" customHeight="1">
      <c r="A16" s="4">
        <v>15</v>
      </c>
      <c r="B16" s="5" t="s">
        <v>67</v>
      </c>
      <c r="C16" s="5" t="s">
        <v>103</v>
      </c>
      <c r="D16" s="7" t="s">
        <v>23</v>
      </c>
      <c r="E16" s="4">
        <v>11767000</v>
      </c>
      <c r="F16" s="5" t="s">
        <v>94</v>
      </c>
      <c r="G16" s="5" t="s">
        <v>76</v>
      </c>
      <c r="H16" s="5" t="s">
        <v>77</v>
      </c>
      <c r="I16" s="4">
        <v>30000000</v>
      </c>
    </row>
    <row r="17" spans="1:9" ht="19.5" customHeight="1">
      <c r="A17" s="10">
        <v>16</v>
      </c>
      <c r="B17" s="12" t="s">
        <v>67</v>
      </c>
      <c r="C17" s="12" t="s">
        <v>105</v>
      </c>
      <c r="D17" s="14" t="s">
        <v>23</v>
      </c>
      <c r="E17" s="10">
        <v>13650000</v>
      </c>
      <c r="F17" s="12" t="s">
        <v>81</v>
      </c>
      <c r="G17" s="12" t="s">
        <v>83</v>
      </c>
      <c r="H17" s="12" t="s">
        <v>108</v>
      </c>
      <c r="I17" s="10">
        <v>30000000</v>
      </c>
    </row>
    <row r="18" spans="1:9" ht="19.5" customHeight="1">
      <c r="A18" s="4">
        <v>17</v>
      </c>
      <c r="B18" s="5" t="s">
        <v>67</v>
      </c>
      <c r="C18" s="5" t="s">
        <v>110</v>
      </c>
      <c r="D18" s="7" t="s">
        <v>23</v>
      </c>
      <c r="E18" s="4">
        <v>11767000</v>
      </c>
      <c r="F18" s="5" t="s">
        <v>94</v>
      </c>
      <c r="G18" s="5" t="s">
        <v>76</v>
      </c>
      <c r="H18" s="5" t="s">
        <v>77</v>
      </c>
      <c r="I18" s="4">
        <v>50000000</v>
      </c>
    </row>
    <row r="19" spans="1:9" ht="19.5" customHeight="1">
      <c r="A19" s="10">
        <v>18</v>
      </c>
      <c r="B19" s="12" t="s">
        <v>67</v>
      </c>
      <c r="C19" s="12" t="s">
        <v>112</v>
      </c>
      <c r="D19" s="14" t="s">
        <v>23</v>
      </c>
      <c r="E19" s="10">
        <v>13650000</v>
      </c>
      <c r="F19" s="12" t="s">
        <v>81</v>
      </c>
      <c r="G19" s="12" t="s">
        <v>83</v>
      </c>
      <c r="H19" s="12" t="s">
        <v>86</v>
      </c>
      <c r="I19" s="10">
        <v>50000000</v>
      </c>
    </row>
    <row r="20" spans="1:9" ht="19.5" customHeight="1">
      <c r="A20" s="4">
        <v>19</v>
      </c>
      <c r="B20" s="5" t="s">
        <v>115</v>
      </c>
      <c r="C20" s="5" t="s">
        <v>116</v>
      </c>
      <c r="D20" s="7" t="s">
        <v>23</v>
      </c>
      <c r="E20" s="4">
        <v>10857000</v>
      </c>
      <c r="F20" s="5" t="s">
        <v>117</v>
      </c>
      <c r="G20" s="5" t="s">
        <v>118</v>
      </c>
      <c r="H20" s="5" t="s">
        <v>119</v>
      </c>
      <c r="I20" s="4">
        <v>15000000</v>
      </c>
    </row>
    <row r="21" spans="1:9" ht="19.5" customHeight="1">
      <c r="A21" s="10">
        <v>20</v>
      </c>
      <c r="B21" s="12" t="s">
        <v>115</v>
      </c>
      <c r="C21" s="12" t="s">
        <v>120</v>
      </c>
      <c r="D21" s="14" t="s">
        <v>23</v>
      </c>
      <c r="E21" s="10">
        <v>11463000</v>
      </c>
      <c r="F21" s="12" t="s">
        <v>121</v>
      </c>
      <c r="G21" s="12" t="s">
        <v>122</v>
      </c>
      <c r="H21" s="12" t="s">
        <v>123</v>
      </c>
      <c r="I21" s="10">
        <v>15000000</v>
      </c>
    </row>
    <row r="22" spans="1:9" ht="19.5" customHeight="1">
      <c r="A22" s="4">
        <v>21</v>
      </c>
      <c r="B22" s="5" t="s">
        <v>115</v>
      </c>
      <c r="C22" s="5" t="s">
        <v>124</v>
      </c>
      <c r="D22" s="7" t="s">
        <v>23</v>
      </c>
      <c r="E22" s="4">
        <v>10857000</v>
      </c>
      <c r="F22" s="5" t="s">
        <v>117</v>
      </c>
      <c r="G22" s="5" t="s">
        <v>118</v>
      </c>
      <c r="H22" s="5" t="s">
        <v>119</v>
      </c>
      <c r="I22" s="4">
        <v>15000000</v>
      </c>
    </row>
    <row r="23" spans="1:9" ht="19.5" customHeight="1">
      <c r="A23" s="10">
        <v>22</v>
      </c>
      <c r="B23" s="12" t="s">
        <v>115</v>
      </c>
      <c r="C23" s="12" t="s">
        <v>127</v>
      </c>
      <c r="D23" s="14" t="s">
        <v>23</v>
      </c>
      <c r="E23" s="10">
        <v>11055000</v>
      </c>
      <c r="F23" s="12" t="s">
        <v>128</v>
      </c>
      <c r="G23" s="12" t="s">
        <v>129</v>
      </c>
      <c r="H23" s="12" t="s">
        <v>130</v>
      </c>
      <c r="I23" s="10">
        <v>15000000</v>
      </c>
    </row>
    <row r="24" spans="1:9" ht="19.5" customHeight="1">
      <c r="A24" s="4">
        <v>23</v>
      </c>
      <c r="B24" s="5" t="s">
        <v>115</v>
      </c>
      <c r="C24" s="5" t="s">
        <v>131</v>
      </c>
      <c r="D24" s="7" t="s">
        <v>23</v>
      </c>
      <c r="E24" s="4">
        <v>11463000</v>
      </c>
      <c r="F24" s="5" t="s">
        <v>133</v>
      </c>
      <c r="G24" s="5" t="s">
        <v>122</v>
      </c>
      <c r="H24" s="5" t="s">
        <v>135</v>
      </c>
      <c r="I24" s="4">
        <v>15000000</v>
      </c>
    </row>
    <row r="25" spans="1:9" ht="19.5" customHeight="1">
      <c r="A25" s="10">
        <v>24</v>
      </c>
      <c r="B25" s="12" t="s">
        <v>115</v>
      </c>
      <c r="C25" s="12" t="s">
        <v>136</v>
      </c>
      <c r="D25" s="14" t="s">
        <v>23</v>
      </c>
      <c r="E25" s="10">
        <v>10857000</v>
      </c>
      <c r="F25" s="12" t="s">
        <v>117</v>
      </c>
      <c r="G25" s="12" t="s">
        <v>118</v>
      </c>
      <c r="H25" s="12" t="s">
        <v>119</v>
      </c>
      <c r="I25" s="10">
        <v>15000000</v>
      </c>
    </row>
    <row r="26" spans="1:9" ht="19.5" customHeight="1">
      <c r="A26" s="4">
        <v>25</v>
      </c>
      <c r="B26" s="5" t="s">
        <v>115</v>
      </c>
      <c r="C26" s="5" t="s">
        <v>137</v>
      </c>
      <c r="D26" s="7" t="s">
        <v>23</v>
      </c>
      <c r="E26" s="4">
        <v>14814000</v>
      </c>
      <c r="F26" s="5" t="s">
        <v>138</v>
      </c>
      <c r="G26" s="5" t="s">
        <v>139</v>
      </c>
      <c r="H26" s="5" t="s">
        <v>140</v>
      </c>
      <c r="I26" s="4">
        <v>15000000</v>
      </c>
    </row>
    <row r="27" spans="1:9" ht="19.5" customHeight="1">
      <c r="A27" s="10">
        <v>26</v>
      </c>
      <c r="B27" s="12" t="s">
        <v>115</v>
      </c>
      <c r="C27" s="12" t="s">
        <v>144</v>
      </c>
      <c r="D27" s="14" t="s">
        <v>23</v>
      </c>
      <c r="E27" s="10">
        <v>14814000</v>
      </c>
      <c r="F27" s="12" t="s">
        <v>138</v>
      </c>
      <c r="G27" s="12" t="s">
        <v>139</v>
      </c>
      <c r="H27" s="12" t="s">
        <v>140</v>
      </c>
      <c r="I27" s="10">
        <v>15000000</v>
      </c>
    </row>
    <row r="28" spans="1:9" ht="19.5" customHeight="1">
      <c r="A28" s="4">
        <v>27</v>
      </c>
      <c r="B28" s="5" t="s">
        <v>115</v>
      </c>
      <c r="C28" s="5" t="s">
        <v>146</v>
      </c>
      <c r="D28" s="7" t="s">
        <v>23</v>
      </c>
      <c r="E28" s="4">
        <v>7348000</v>
      </c>
      <c r="F28" s="5" t="s">
        <v>33</v>
      </c>
      <c r="G28" s="5" t="s">
        <v>34</v>
      </c>
      <c r="H28" s="5" t="s">
        <v>35</v>
      </c>
      <c r="I28" s="4">
        <v>15000000</v>
      </c>
    </row>
    <row r="29" spans="1:9" ht="19.5" customHeight="1">
      <c r="A29" s="10">
        <v>28</v>
      </c>
      <c r="B29" s="12" t="s">
        <v>115</v>
      </c>
      <c r="C29" s="12" t="s">
        <v>147</v>
      </c>
      <c r="D29" s="14" t="s">
        <v>23</v>
      </c>
      <c r="E29" s="10">
        <v>7348000</v>
      </c>
      <c r="F29" s="12" t="s">
        <v>33</v>
      </c>
      <c r="G29" s="12" t="s">
        <v>34</v>
      </c>
      <c r="H29" s="12" t="s">
        <v>35</v>
      </c>
      <c r="I29" s="10">
        <v>15000000</v>
      </c>
    </row>
    <row r="30" spans="1:9" ht="19.5" customHeight="1">
      <c r="A30" s="4">
        <v>29</v>
      </c>
      <c r="B30" s="5" t="s">
        <v>149</v>
      </c>
      <c r="C30" s="5" t="s">
        <v>151</v>
      </c>
      <c r="D30" s="7" t="s">
        <v>23</v>
      </c>
      <c r="E30" s="4">
        <v>7348000</v>
      </c>
      <c r="F30" s="5" t="s">
        <v>33</v>
      </c>
      <c r="G30" s="5" t="s">
        <v>34</v>
      </c>
      <c r="H30" s="5" t="s">
        <v>35</v>
      </c>
      <c r="I30" s="4">
        <v>5000000</v>
      </c>
    </row>
    <row r="31" spans="1:9" ht="19.5" customHeight="1">
      <c r="A31" s="10">
        <v>30</v>
      </c>
      <c r="B31" s="12" t="s">
        <v>149</v>
      </c>
      <c r="C31" s="12" t="s">
        <v>152</v>
      </c>
      <c r="D31" s="14" t="s">
        <v>23</v>
      </c>
      <c r="E31" s="10">
        <v>10857000</v>
      </c>
      <c r="F31" s="12" t="s">
        <v>117</v>
      </c>
      <c r="G31" s="12" t="s">
        <v>118</v>
      </c>
      <c r="H31" s="12" t="s">
        <v>119</v>
      </c>
      <c r="I31" s="10">
        <v>5000000</v>
      </c>
    </row>
    <row r="32" spans="1:9" ht="19.5" customHeight="1">
      <c r="A32" s="4">
        <v>31</v>
      </c>
      <c r="B32" s="5" t="s">
        <v>149</v>
      </c>
      <c r="C32" s="5" t="s">
        <v>153</v>
      </c>
      <c r="D32" s="7" t="s">
        <v>23</v>
      </c>
      <c r="E32" s="4">
        <v>7348000</v>
      </c>
      <c r="F32" s="5" t="s">
        <v>33</v>
      </c>
      <c r="G32" s="5" t="s">
        <v>34</v>
      </c>
      <c r="H32" s="5" t="s">
        <v>35</v>
      </c>
      <c r="I32" s="4">
        <v>5000000</v>
      </c>
    </row>
    <row r="33" spans="1:9" ht="19.5" customHeight="1">
      <c r="A33" s="10">
        <v>32</v>
      </c>
      <c r="B33" s="12" t="s">
        <v>149</v>
      </c>
      <c r="C33" s="12" t="s">
        <v>155</v>
      </c>
      <c r="D33" s="14" t="s">
        <v>23</v>
      </c>
      <c r="E33" s="10">
        <v>11463000</v>
      </c>
      <c r="F33" s="12" t="s">
        <v>121</v>
      </c>
      <c r="G33" s="12" t="s">
        <v>122</v>
      </c>
      <c r="H33" s="12" t="s">
        <v>135</v>
      </c>
      <c r="I33" s="10">
        <v>5000000</v>
      </c>
    </row>
    <row r="34" spans="1:9" ht="19.5" customHeight="1">
      <c r="A34" s="4">
        <v>33</v>
      </c>
      <c r="B34" s="5" t="s">
        <v>149</v>
      </c>
      <c r="C34" s="5" t="s">
        <v>156</v>
      </c>
      <c r="D34" s="7" t="s">
        <v>23</v>
      </c>
      <c r="E34" s="4">
        <v>8450000</v>
      </c>
      <c r="F34" s="5" t="s">
        <v>157</v>
      </c>
      <c r="G34" s="5" t="s">
        <v>158</v>
      </c>
      <c r="H34" s="5" t="s">
        <v>159</v>
      </c>
      <c r="I34" s="4">
        <v>5000000</v>
      </c>
    </row>
    <row r="35" spans="1:9" ht="19.5" customHeight="1">
      <c r="A35" s="10">
        <v>34</v>
      </c>
      <c r="B35" s="12" t="s">
        <v>149</v>
      </c>
      <c r="C35" s="12" t="s">
        <v>160</v>
      </c>
      <c r="D35" s="14" t="s">
        <v>23</v>
      </c>
      <c r="E35" s="10">
        <v>9553000</v>
      </c>
      <c r="F35" s="12" t="s">
        <v>161</v>
      </c>
      <c r="G35" s="12" t="s">
        <v>162</v>
      </c>
      <c r="H35" s="12" t="s">
        <v>163</v>
      </c>
      <c r="I35" s="10">
        <v>5000000</v>
      </c>
    </row>
    <row r="36" spans="1:9" ht="19.5" customHeight="1">
      <c r="A36" s="4">
        <v>35</v>
      </c>
      <c r="B36" s="5" t="s">
        <v>149</v>
      </c>
      <c r="C36" s="5" t="s">
        <v>164</v>
      </c>
      <c r="D36" s="7" t="s">
        <v>23</v>
      </c>
      <c r="E36" s="4">
        <v>9553000</v>
      </c>
      <c r="F36" s="5" t="s">
        <v>161</v>
      </c>
      <c r="G36" s="5" t="s">
        <v>165</v>
      </c>
      <c r="H36" s="5" t="s">
        <v>163</v>
      </c>
      <c r="I36" s="4">
        <v>5000000</v>
      </c>
    </row>
    <row r="37" spans="1:9" ht="19.5" customHeight="1">
      <c r="A37" s="10">
        <v>36</v>
      </c>
      <c r="B37" s="12" t="s">
        <v>149</v>
      </c>
      <c r="C37" s="12" t="s">
        <v>166</v>
      </c>
      <c r="D37" s="14" t="s">
        <v>23</v>
      </c>
      <c r="E37" s="10">
        <v>12227000</v>
      </c>
      <c r="F37" s="12" t="s">
        <v>167</v>
      </c>
      <c r="G37" s="12" t="s">
        <v>168</v>
      </c>
      <c r="H37" s="12" t="s">
        <v>169</v>
      </c>
      <c r="I37" s="10">
        <v>5000000</v>
      </c>
    </row>
    <row r="38" spans="1:9" ht="19.5" customHeight="1">
      <c r="A38" s="4">
        <v>37</v>
      </c>
      <c r="B38" s="5" t="s">
        <v>149</v>
      </c>
      <c r="C38" s="5" t="s">
        <v>170</v>
      </c>
      <c r="D38" s="7" t="s">
        <v>23</v>
      </c>
      <c r="E38" s="4">
        <v>12463000</v>
      </c>
      <c r="F38" s="5" t="s">
        <v>121</v>
      </c>
      <c r="G38" s="5" t="s">
        <v>122</v>
      </c>
      <c r="H38" s="5" t="s">
        <v>135</v>
      </c>
      <c r="I38" s="4">
        <v>5000000</v>
      </c>
    </row>
    <row r="39" spans="1:9" ht="19.5" customHeight="1">
      <c r="A39" s="10">
        <v>38</v>
      </c>
      <c r="B39" s="12" t="s">
        <v>149</v>
      </c>
      <c r="C39" s="12" t="s">
        <v>171</v>
      </c>
      <c r="D39" s="14" t="s">
        <v>23</v>
      </c>
      <c r="E39" s="12" t="s">
        <v>172</v>
      </c>
      <c r="F39" s="12" t="s">
        <v>121</v>
      </c>
      <c r="G39" s="12" t="s">
        <v>173</v>
      </c>
      <c r="H39" s="12"/>
      <c r="I39" s="10">
        <v>5000000</v>
      </c>
    </row>
    <row r="40" spans="1:9" ht="19.5" customHeight="1">
      <c r="A40" s="4">
        <v>39</v>
      </c>
      <c r="B40" s="5" t="s">
        <v>149</v>
      </c>
      <c r="C40" s="5" t="s">
        <v>174</v>
      </c>
      <c r="D40" s="7" t="s">
        <v>23</v>
      </c>
      <c r="E40" s="4">
        <v>11463000</v>
      </c>
      <c r="F40" s="5" t="s">
        <v>175</v>
      </c>
      <c r="G40" s="5"/>
      <c r="H40" s="5"/>
      <c r="I40" s="4">
        <v>5000000</v>
      </c>
    </row>
    <row r="41" spans="1:9" ht="19.5" customHeight="1">
      <c r="A41" s="10">
        <v>40</v>
      </c>
      <c r="B41" s="12" t="s">
        <v>149</v>
      </c>
      <c r="C41" s="12" t="s">
        <v>178</v>
      </c>
      <c r="D41" s="14" t="s">
        <v>23</v>
      </c>
      <c r="E41" s="10">
        <v>10439000</v>
      </c>
      <c r="F41" s="12" t="s">
        <v>179</v>
      </c>
      <c r="G41" s="12" t="s">
        <v>180</v>
      </c>
      <c r="H41" s="12" t="s">
        <v>181</v>
      </c>
      <c r="I41" s="10">
        <v>5000000</v>
      </c>
    </row>
    <row r="42" spans="1:9" ht="19.5" customHeight="1">
      <c r="A42" s="4">
        <v>41</v>
      </c>
      <c r="B42" s="5" t="s">
        <v>149</v>
      </c>
      <c r="C42" s="5" t="s">
        <v>182</v>
      </c>
      <c r="D42" s="7" t="s">
        <v>23</v>
      </c>
      <c r="E42" s="4">
        <v>7642000</v>
      </c>
      <c r="F42" s="5" t="s">
        <v>39</v>
      </c>
      <c r="G42" s="5" t="s">
        <v>46</v>
      </c>
      <c r="H42" s="5" t="s">
        <v>42</v>
      </c>
      <c r="I42" s="4">
        <v>5000000</v>
      </c>
    </row>
    <row r="43" spans="1:9" ht="19.5" customHeight="1">
      <c r="A43" s="10">
        <v>42</v>
      </c>
      <c r="B43" s="12" t="s">
        <v>149</v>
      </c>
      <c r="C43" s="12" t="s">
        <v>185</v>
      </c>
      <c r="D43" s="14" t="s">
        <v>23</v>
      </c>
      <c r="E43" s="10">
        <v>7348000</v>
      </c>
      <c r="F43" s="12" t="s">
        <v>187</v>
      </c>
      <c r="G43" s="12" t="s">
        <v>34</v>
      </c>
      <c r="H43" s="12" t="s">
        <v>35</v>
      </c>
      <c r="I43" s="10">
        <v>5000000</v>
      </c>
    </row>
    <row r="44" spans="1:9" ht="19.5" customHeight="1">
      <c r="A44" s="4">
        <v>43</v>
      </c>
      <c r="B44" s="5" t="s">
        <v>149</v>
      </c>
      <c r="C44" s="5" t="s">
        <v>188</v>
      </c>
      <c r="D44" s="7" t="s">
        <v>23</v>
      </c>
      <c r="E44" s="4">
        <v>8450000</v>
      </c>
      <c r="F44" s="5" t="s">
        <v>159</v>
      </c>
      <c r="G44" s="5"/>
      <c r="H44" s="5"/>
      <c r="I44" s="4">
        <v>5000000</v>
      </c>
    </row>
    <row r="45" spans="1:9" ht="19.5" customHeight="1">
      <c r="A45" s="10">
        <v>44</v>
      </c>
      <c r="B45" s="12" t="s">
        <v>149</v>
      </c>
      <c r="C45" s="12" t="s">
        <v>190</v>
      </c>
      <c r="D45" s="14" t="s">
        <v>23</v>
      </c>
      <c r="E45" s="12" t="s">
        <v>191</v>
      </c>
      <c r="F45" s="12" t="s">
        <v>157</v>
      </c>
      <c r="G45" s="12" t="s">
        <v>158</v>
      </c>
      <c r="H45" s="12"/>
      <c r="I45" s="10">
        <v>5000000</v>
      </c>
    </row>
    <row r="46" spans="1:9" ht="19.5" customHeight="1">
      <c r="A46" s="4">
        <v>45</v>
      </c>
      <c r="B46" s="5" t="s">
        <v>149</v>
      </c>
      <c r="C46" s="5" t="s">
        <v>192</v>
      </c>
      <c r="D46" s="7" t="s">
        <v>23</v>
      </c>
      <c r="E46" s="4">
        <v>26355000</v>
      </c>
      <c r="F46" s="5" t="s">
        <v>58</v>
      </c>
      <c r="G46" s="5" t="s">
        <v>59</v>
      </c>
      <c r="H46" s="5" t="s">
        <v>60</v>
      </c>
      <c r="I46" s="4">
        <v>5000000</v>
      </c>
    </row>
    <row r="47" spans="1:9" ht="19.5" customHeight="1">
      <c r="A47" s="10">
        <v>46</v>
      </c>
      <c r="B47" s="12" t="s">
        <v>193</v>
      </c>
      <c r="C47" s="12" t="s">
        <v>194</v>
      </c>
      <c r="D47" s="14" t="s">
        <v>23</v>
      </c>
      <c r="E47" s="10">
        <v>8450000</v>
      </c>
      <c r="F47" s="12" t="s">
        <v>157</v>
      </c>
      <c r="G47" s="12" t="s">
        <v>158</v>
      </c>
      <c r="H47" s="12" t="s">
        <v>159</v>
      </c>
      <c r="I47" s="10">
        <v>250000000</v>
      </c>
    </row>
    <row r="48" spans="1:9" ht="19.5" customHeight="1">
      <c r="A48" s="4">
        <v>47</v>
      </c>
      <c r="B48" s="5" t="s">
        <v>193</v>
      </c>
      <c r="C48" s="5" t="s">
        <v>195</v>
      </c>
      <c r="D48" s="7" t="s">
        <v>23</v>
      </c>
      <c r="E48" s="4">
        <v>12227000</v>
      </c>
      <c r="F48" s="5" t="s">
        <v>167</v>
      </c>
      <c r="G48" s="5" t="s">
        <v>168</v>
      </c>
      <c r="H48" s="5" t="s">
        <v>169</v>
      </c>
      <c r="I48" s="4">
        <v>30000000</v>
      </c>
    </row>
    <row r="49" spans="1:9" ht="19.5" customHeight="1">
      <c r="A49" s="10">
        <v>48</v>
      </c>
      <c r="B49" s="12" t="s">
        <v>197</v>
      </c>
      <c r="C49" s="12" t="s">
        <v>28</v>
      </c>
      <c r="D49" s="14" t="s">
        <v>23</v>
      </c>
      <c r="E49" s="10">
        <v>25341000</v>
      </c>
      <c r="F49" s="12" t="s">
        <v>199</v>
      </c>
      <c r="G49" s="12" t="s">
        <v>200</v>
      </c>
      <c r="H49" s="12" t="s">
        <v>201</v>
      </c>
      <c r="I49" s="10">
        <v>5000000</v>
      </c>
    </row>
    <row r="50" spans="1:9" ht="19.5" customHeight="1">
      <c r="A50" s="4">
        <v>49</v>
      </c>
      <c r="B50" s="5" t="s">
        <v>197</v>
      </c>
      <c r="C50" s="5" t="s">
        <v>202</v>
      </c>
      <c r="D50" s="7" t="s">
        <v>23</v>
      </c>
      <c r="E50" s="4">
        <v>12227000</v>
      </c>
      <c r="F50" s="5" t="s">
        <v>167</v>
      </c>
      <c r="G50" s="5" t="s">
        <v>168</v>
      </c>
      <c r="H50" s="5" t="s">
        <v>169</v>
      </c>
      <c r="I50" s="4">
        <v>30000000</v>
      </c>
    </row>
    <row r="51" spans="1:9" ht="19.5" customHeight="1">
      <c r="A51" s="10">
        <v>50</v>
      </c>
      <c r="B51" s="12" t="s">
        <v>197</v>
      </c>
      <c r="C51" s="12" t="s">
        <v>203</v>
      </c>
      <c r="D51" s="14" t="s">
        <v>23</v>
      </c>
      <c r="E51" s="10">
        <v>12227000</v>
      </c>
      <c r="F51" s="12" t="s">
        <v>167</v>
      </c>
      <c r="G51" s="12" t="s">
        <v>168</v>
      </c>
      <c r="H51" s="12" t="s">
        <v>169</v>
      </c>
      <c r="I51" s="10">
        <v>5000000</v>
      </c>
    </row>
    <row r="52" spans="1:9" ht="19.5" customHeight="1">
      <c r="A52" s="4">
        <v>51</v>
      </c>
      <c r="B52" s="5" t="s">
        <v>197</v>
      </c>
      <c r="C52" s="5" t="s">
        <v>204</v>
      </c>
      <c r="D52" s="7" t="s">
        <v>23</v>
      </c>
      <c r="E52" s="4">
        <v>10857000</v>
      </c>
      <c r="F52" s="5" t="s">
        <v>117</v>
      </c>
      <c r="G52" s="5" t="s">
        <v>118</v>
      </c>
      <c r="H52" s="5" t="s">
        <v>119</v>
      </c>
      <c r="I52" s="4">
        <v>5000000</v>
      </c>
    </row>
    <row r="53" spans="1:9" ht="19.5" customHeight="1">
      <c r="A53" s="10">
        <v>52</v>
      </c>
      <c r="B53" s="12" t="s">
        <v>197</v>
      </c>
      <c r="C53" s="12" t="s">
        <v>206</v>
      </c>
      <c r="D53" s="14" t="s">
        <v>23</v>
      </c>
      <c r="E53" s="10">
        <v>10439000</v>
      </c>
      <c r="F53" s="12" t="s">
        <v>179</v>
      </c>
      <c r="G53" s="12" t="s">
        <v>180</v>
      </c>
      <c r="H53" s="12" t="s">
        <v>181</v>
      </c>
      <c r="I53" s="10">
        <v>5000000</v>
      </c>
    </row>
    <row r="54" spans="1:9" ht="19.5" customHeight="1">
      <c r="A54" s="4">
        <v>53</v>
      </c>
      <c r="B54" s="5" t="s">
        <v>197</v>
      </c>
      <c r="C54" s="5" t="s">
        <v>208</v>
      </c>
      <c r="D54" s="7" t="s">
        <v>23</v>
      </c>
      <c r="E54" s="4">
        <v>10857000</v>
      </c>
      <c r="F54" s="5" t="s">
        <v>117</v>
      </c>
      <c r="G54" s="5" t="s">
        <v>118</v>
      </c>
      <c r="H54" s="5" t="s">
        <v>119</v>
      </c>
      <c r="I54" s="4">
        <v>10000000</v>
      </c>
    </row>
    <row r="55" spans="1:9" ht="19.5" customHeight="1">
      <c r="A55" s="10">
        <v>54</v>
      </c>
      <c r="B55" s="12" t="s">
        <v>197</v>
      </c>
      <c r="C55" s="12" t="s">
        <v>209</v>
      </c>
      <c r="D55" s="14" t="s">
        <v>23</v>
      </c>
      <c r="E55" s="10">
        <v>7348000</v>
      </c>
      <c r="F55" s="12" t="s">
        <v>33</v>
      </c>
      <c r="G55" s="12" t="s">
        <v>34</v>
      </c>
      <c r="H55" s="12" t="s">
        <v>35</v>
      </c>
      <c r="I55" s="10">
        <v>25000000</v>
      </c>
    </row>
    <row r="56" spans="1:9" ht="19.5" customHeight="1">
      <c r="A56" s="4">
        <v>55</v>
      </c>
      <c r="B56" s="5" t="s">
        <v>210</v>
      </c>
      <c r="C56" s="5" t="s">
        <v>211</v>
      </c>
      <c r="D56" s="7" t="s">
        <v>23</v>
      </c>
      <c r="E56" s="4">
        <v>7348000</v>
      </c>
      <c r="F56" s="5" t="s">
        <v>33</v>
      </c>
      <c r="G56" s="5" t="s">
        <v>34</v>
      </c>
      <c r="H56" s="5" t="s">
        <v>35</v>
      </c>
      <c r="I56" s="4">
        <v>5000000</v>
      </c>
    </row>
    <row r="57" spans="1:9" ht="19.5" customHeight="1">
      <c r="A57" s="10">
        <v>56</v>
      </c>
      <c r="B57" s="12" t="s">
        <v>210</v>
      </c>
      <c r="C57" s="12" t="s">
        <v>212</v>
      </c>
      <c r="D57" s="14" t="s">
        <v>23</v>
      </c>
      <c r="E57" s="10">
        <v>7348000</v>
      </c>
      <c r="F57" s="12" t="s">
        <v>33</v>
      </c>
      <c r="G57" s="12" t="s">
        <v>34</v>
      </c>
      <c r="H57" s="12" t="s">
        <v>35</v>
      </c>
      <c r="I57" s="10">
        <v>5000000</v>
      </c>
    </row>
    <row r="58" spans="1:9" ht="19.5" customHeight="1">
      <c r="A58" s="4">
        <v>57</v>
      </c>
      <c r="B58" s="5" t="s">
        <v>210</v>
      </c>
      <c r="C58" s="5" t="s">
        <v>214</v>
      </c>
      <c r="D58" s="7" t="s">
        <v>23</v>
      </c>
      <c r="E58" s="4">
        <v>11022000</v>
      </c>
      <c r="F58" s="5" t="s">
        <v>215</v>
      </c>
      <c r="G58" s="5" t="s">
        <v>216</v>
      </c>
      <c r="H58" s="5" t="s">
        <v>217</v>
      </c>
      <c r="I58" s="4">
        <v>5000000</v>
      </c>
    </row>
    <row r="59" spans="1:9" ht="19.5" customHeight="1">
      <c r="A59" s="10">
        <v>58</v>
      </c>
      <c r="B59" s="12" t="s">
        <v>210</v>
      </c>
      <c r="C59" s="12" t="s">
        <v>218</v>
      </c>
      <c r="D59" s="14" t="s">
        <v>23</v>
      </c>
      <c r="E59" s="10">
        <v>12046000</v>
      </c>
      <c r="F59" s="12" t="s">
        <v>221</v>
      </c>
      <c r="G59" s="12" t="s">
        <v>222</v>
      </c>
      <c r="H59" s="12" t="s">
        <v>223</v>
      </c>
      <c r="I59" s="10">
        <v>5000000</v>
      </c>
    </row>
    <row r="60" spans="1:9" ht="19.5" customHeight="1">
      <c r="A60" s="4">
        <v>59</v>
      </c>
      <c r="B60" s="5" t="s">
        <v>224</v>
      </c>
      <c r="C60" s="5" t="s">
        <v>225</v>
      </c>
      <c r="D60" s="7" t="s">
        <v>23</v>
      </c>
      <c r="E60" s="4">
        <v>11463000</v>
      </c>
      <c r="F60" s="5" t="s">
        <v>121</v>
      </c>
      <c r="G60" s="5" t="s">
        <v>122</v>
      </c>
      <c r="H60" s="5" t="s">
        <v>135</v>
      </c>
      <c r="I60" s="4">
        <v>6000000</v>
      </c>
    </row>
    <row r="61" spans="1:9" ht="19.5" customHeight="1">
      <c r="A61" s="10">
        <v>60</v>
      </c>
      <c r="B61" s="12" t="s">
        <v>224</v>
      </c>
      <c r="C61" s="12" t="s">
        <v>226</v>
      </c>
      <c r="D61" s="14" t="s">
        <v>23</v>
      </c>
      <c r="E61" s="10">
        <v>13227000</v>
      </c>
      <c r="F61" s="12" t="s">
        <v>227</v>
      </c>
      <c r="G61" s="12" t="s">
        <v>228</v>
      </c>
      <c r="H61" s="12" t="s">
        <v>229</v>
      </c>
      <c r="I61" s="10">
        <v>6000000</v>
      </c>
    </row>
    <row r="62" spans="1:9" ht="19.5" customHeight="1">
      <c r="A62" s="4">
        <v>61</v>
      </c>
      <c r="B62" s="5" t="s">
        <v>224</v>
      </c>
      <c r="C62" s="5" t="s">
        <v>230</v>
      </c>
      <c r="D62" s="7" t="s">
        <v>23</v>
      </c>
      <c r="E62" s="4">
        <v>26355000</v>
      </c>
      <c r="F62" s="5" t="s">
        <v>58</v>
      </c>
      <c r="G62" s="5" t="s">
        <v>59</v>
      </c>
      <c r="H62" s="5" t="s">
        <v>60</v>
      </c>
      <c r="I62" s="4">
        <v>6000000</v>
      </c>
    </row>
    <row r="63" spans="1:9" ht="19.5" customHeight="1">
      <c r="A63" s="10">
        <v>62</v>
      </c>
      <c r="B63" s="12" t="s">
        <v>231</v>
      </c>
      <c r="C63" s="12" t="s">
        <v>27</v>
      </c>
      <c r="D63" s="14" t="s">
        <v>23</v>
      </c>
      <c r="E63" s="10">
        <v>26355000</v>
      </c>
      <c r="F63" s="12" t="s">
        <v>58</v>
      </c>
      <c r="G63" s="12" t="s">
        <v>59</v>
      </c>
      <c r="H63" s="12" t="s">
        <v>60</v>
      </c>
      <c r="I63" s="10">
        <v>40000000</v>
      </c>
    </row>
    <row r="64" spans="1:9" ht="19.5" customHeight="1">
      <c r="A64" s="4">
        <v>63</v>
      </c>
      <c r="B64" s="5" t="s">
        <v>232</v>
      </c>
      <c r="C64" s="5" t="s">
        <v>233</v>
      </c>
      <c r="D64" s="7" t="s">
        <v>23</v>
      </c>
      <c r="E64" s="5"/>
      <c r="F64" s="5"/>
      <c r="G64" s="5"/>
      <c r="H64" s="5"/>
      <c r="I64" s="4">
        <v>250000000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00"/>
  <sheetViews>
    <sheetView workbookViewId="0"/>
  </sheetViews>
  <sheetFormatPr baseColWidth="10" defaultColWidth="12.6640625" defaultRowHeight="15" customHeight="1"/>
  <cols>
    <col min="1" max="1" width="10.5" customWidth="1"/>
    <col min="2" max="2" width="26.1640625" customWidth="1"/>
    <col min="3" max="3" width="21.83203125" customWidth="1"/>
    <col min="4" max="6" width="10.5" customWidth="1"/>
    <col min="7" max="7" width="32.33203125" customWidth="1"/>
    <col min="8" max="8" width="29.6640625" customWidth="1"/>
    <col min="9" max="26" width="7.6640625" customWidth="1"/>
  </cols>
  <sheetData>
    <row r="1" spans="1:8" ht="27.75" customHeight="1">
      <c r="A1" s="16" t="s">
        <v>0</v>
      </c>
      <c r="B1" s="16" t="s">
        <v>2</v>
      </c>
      <c r="C1" s="16" t="s">
        <v>3</v>
      </c>
      <c r="D1" s="16" t="s">
        <v>4</v>
      </c>
      <c r="E1" s="16" t="s">
        <v>8</v>
      </c>
      <c r="F1" s="16" t="s">
        <v>236</v>
      </c>
      <c r="G1" s="16" t="s">
        <v>237</v>
      </c>
      <c r="H1" s="16" t="s">
        <v>238</v>
      </c>
    </row>
    <row r="2" spans="1:8" ht="19.5" customHeight="1">
      <c r="A2" s="11">
        <v>1</v>
      </c>
      <c r="B2" s="13" t="s">
        <v>19</v>
      </c>
      <c r="C2" s="13" t="s">
        <v>22</v>
      </c>
      <c r="D2" s="17" t="s">
        <v>240</v>
      </c>
      <c r="E2" s="17" t="s">
        <v>242</v>
      </c>
      <c r="F2" s="17" t="s">
        <v>243</v>
      </c>
      <c r="G2" s="11">
        <v>2500000</v>
      </c>
      <c r="H2" s="11">
        <v>5000000</v>
      </c>
    </row>
    <row r="3" spans="1:8" ht="19.5" customHeight="1">
      <c r="A3" s="10">
        <v>2</v>
      </c>
      <c r="B3" s="12" t="s">
        <v>19</v>
      </c>
      <c r="C3" s="12" t="s">
        <v>246</v>
      </c>
      <c r="D3" s="14" t="s">
        <v>240</v>
      </c>
      <c r="E3" s="14" t="s">
        <v>242</v>
      </c>
      <c r="F3" s="14" t="s">
        <v>243</v>
      </c>
      <c r="G3" s="10">
        <v>2500000</v>
      </c>
      <c r="H3" s="10">
        <v>5000000</v>
      </c>
    </row>
    <row r="4" spans="1:8" ht="19.5" customHeight="1">
      <c r="A4" s="11">
        <v>3</v>
      </c>
      <c r="B4" s="13" t="s">
        <v>19</v>
      </c>
      <c r="C4" s="13" t="s">
        <v>248</v>
      </c>
      <c r="D4" s="17" t="s">
        <v>240</v>
      </c>
      <c r="E4" s="17" t="s">
        <v>242</v>
      </c>
      <c r="F4" s="17" t="s">
        <v>243</v>
      </c>
      <c r="G4" s="11">
        <v>2500000</v>
      </c>
      <c r="H4" s="11">
        <v>5000000</v>
      </c>
    </row>
    <row r="5" spans="1:8" ht="19.5" customHeight="1">
      <c r="A5" s="10">
        <v>4</v>
      </c>
      <c r="B5" s="12" t="s">
        <v>19</v>
      </c>
      <c r="C5" s="12" t="s">
        <v>250</v>
      </c>
      <c r="D5" s="14" t="s">
        <v>240</v>
      </c>
      <c r="E5" s="14" t="s">
        <v>242</v>
      </c>
      <c r="F5" s="14" t="s">
        <v>243</v>
      </c>
      <c r="G5" s="10">
        <v>2500000</v>
      </c>
      <c r="H5" s="10">
        <v>5000000</v>
      </c>
    </row>
    <row r="6" spans="1:8" ht="19.5" customHeight="1">
      <c r="A6" s="11">
        <v>5</v>
      </c>
      <c r="B6" s="13" t="s">
        <v>19</v>
      </c>
      <c r="C6" s="13" t="s">
        <v>254</v>
      </c>
      <c r="D6" s="17" t="s">
        <v>240</v>
      </c>
      <c r="E6" s="17" t="s">
        <v>242</v>
      </c>
      <c r="F6" s="17" t="s">
        <v>243</v>
      </c>
      <c r="G6" s="11">
        <v>2500000</v>
      </c>
      <c r="H6" s="11">
        <v>5000000</v>
      </c>
    </row>
    <row r="7" spans="1:8" ht="19.5" customHeight="1">
      <c r="A7" s="10">
        <v>6</v>
      </c>
      <c r="B7" s="12" t="s">
        <v>19</v>
      </c>
      <c r="C7" s="12" t="s">
        <v>255</v>
      </c>
      <c r="D7" s="14" t="s">
        <v>240</v>
      </c>
      <c r="E7" s="14" t="s">
        <v>242</v>
      </c>
      <c r="F7" s="14" t="s">
        <v>243</v>
      </c>
      <c r="G7" s="10">
        <v>2500000</v>
      </c>
      <c r="H7" s="10">
        <v>5000000</v>
      </c>
    </row>
    <row r="8" spans="1:8" ht="19.5" customHeight="1">
      <c r="A8" s="11">
        <v>7</v>
      </c>
      <c r="B8" s="13" t="s">
        <v>197</v>
      </c>
      <c r="C8" s="13" t="s">
        <v>257</v>
      </c>
      <c r="D8" s="17" t="s">
        <v>240</v>
      </c>
      <c r="E8" s="17" t="s">
        <v>242</v>
      </c>
      <c r="F8" s="17" t="s">
        <v>243</v>
      </c>
      <c r="G8" s="11">
        <v>3500000</v>
      </c>
      <c r="H8" s="11">
        <v>7000000</v>
      </c>
    </row>
    <row r="9" spans="1:8" ht="19.5" customHeight="1">
      <c r="A9" s="10">
        <v>8</v>
      </c>
      <c r="B9" s="12" t="s">
        <v>67</v>
      </c>
      <c r="C9" s="12" t="s">
        <v>258</v>
      </c>
      <c r="D9" s="14" t="s">
        <v>240</v>
      </c>
      <c r="E9" s="14" t="s">
        <v>242</v>
      </c>
      <c r="F9" s="14" t="s">
        <v>243</v>
      </c>
      <c r="G9" s="10">
        <v>2250000</v>
      </c>
      <c r="H9" s="10">
        <v>4500000</v>
      </c>
    </row>
    <row r="10" spans="1:8" ht="19.5" customHeight="1">
      <c r="A10" s="11">
        <v>9</v>
      </c>
      <c r="B10" s="13" t="s">
        <v>67</v>
      </c>
      <c r="C10" s="13" t="s">
        <v>105</v>
      </c>
      <c r="D10" s="17" t="s">
        <v>240</v>
      </c>
      <c r="E10" s="17" t="s">
        <v>242</v>
      </c>
      <c r="F10" s="17" t="s">
        <v>243</v>
      </c>
      <c r="G10" s="11">
        <v>2500000</v>
      </c>
      <c r="H10" s="11">
        <v>5000000</v>
      </c>
    </row>
    <row r="11" spans="1:8" ht="19.5" customHeight="1">
      <c r="A11" s="10">
        <v>10</v>
      </c>
      <c r="B11" s="12" t="s">
        <v>67</v>
      </c>
      <c r="C11" s="12" t="s">
        <v>112</v>
      </c>
      <c r="D11" s="14" t="s">
        <v>240</v>
      </c>
      <c r="E11" s="14" t="s">
        <v>242</v>
      </c>
      <c r="F11" s="14" t="s">
        <v>243</v>
      </c>
      <c r="G11" s="10">
        <v>2500000</v>
      </c>
      <c r="H11" s="10">
        <v>5000000</v>
      </c>
    </row>
    <row r="12" spans="1:8" ht="19.5" customHeight="1">
      <c r="A12" s="11">
        <v>11</v>
      </c>
      <c r="B12" s="13" t="s">
        <v>67</v>
      </c>
      <c r="C12" s="13" t="s">
        <v>95</v>
      </c>
      <c r="D12" s="17" t="s">
        <v>240</v>
      </c>
      <c r="E12" s="17" t="s">
        <v>242</v>
      </c>
      <c r="F12" s="17" t="s">
        <v>243</v>
      </c>
      <c r="G12" s="11">
        <v>2500000</v>
      </c>
      <c r="H12" s="11">
        <v>5000000</v>
      </c>
    </row>
    <row r="13" spans="1:8" ht="19.5" customHeight="1">
      <c r="A13" s="10">
        <v>12</v>
      </c>
      <c r="B13" s="12" t="s">
        <v>67</v>
      </c>
      <c r="C13" s="12" t="s">
        <v>260</v>
      </c>
      <c r="D13" s="14" t="s">
        <v>240</v>
      </c>
      <c r="E13" s="14" t="s">
        <v>242</v>
      </c>
      <c r="F13" s="14" t="s">
        <v>243</v>
      </c>
      <c r="G13" s="10">
        <v>2500000</v>
      </c>
      <c r="H13" s="10">
        <v>5000000</v>
      </c>
    </row>
    <row r="14" spans="1:8" ht="19.5" customHeight="1">
      <c r="A14" s="11">
        <v>13</v>
      </c>
      <c r="B14" s="13" t="s">
        <v>115</v>
      </c>
      <c r="C14" s="13" t="s">
        <v>261</v>
      </c>
      <c r="D14" s="17" t="s">
        <v>240</v>
      </c>
      <c r="E14" s="17" t="s">
        <v>242</v>
      </c>
      <c r="F14" s="17" t="s">
        <v>243</v>
      </c>
      <c r="G14" s="11">
        <v>2500000</v>
      </c>
      <c r="H14" s="11">
        <v>5000000</v>
      </c>
    </row>
    <row r="15" spans="1:8" ht="19.5" customHeight="1">
      <c r="A15" s="10">
        <v>14</v>
      </c>
      <c r="B15" s="12" t="s">
        <v>115</v>
      </c>
      <c r="C15" s="12" t="s">
        <v>262</v>
      </c>
      <c r="D15" s="14" t="s">
        <v>240</v>
      </c>
      <c r="E15" s="14" t="s">
        <v>242</v>
      </c>
      <c r="F15" s="14" t="s">
        <v>243</v>
      </c>
      <c r="G15" s="10">
        <v>2500000</v>
      </c>
      <c r="H15" s="10">
        <v>5000000</v>
      </c>
    </row>
    <row r="16" spans="1:8" ht="19.5" customHeight="1">
      <c r="A16" s="11">
        <v>15</v>
      </c>
      <c r="B16" s="13" t="s">
        <v>53</v>
      </c>
      <c r="C16" s="13" t="s">
        <v>264</v>
      </c>
      <c r="D16" s="17" t="s">
        <v>240</v>
      </c>
      <c r="E16" s="17" t="s">
        <v>242</v>
      </c>
      <c r="F16" s="17" t="s">
        <v>243</v>
      </c>
      <c r="G16" s="11">
        <v>3000000</v>
      </c>
      <c r="H16" s="11">
        <v>6000000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000"/>
  <sheetViews>
    <sheetView workbookViewId="0"/>
  </sheetViews>
  <sheetFormatPr baseColWidth="10" defaultColWidth="12.6640625" defaultRowHeight="15" customHeight="1"/>
  <cols>
    <col min="1" max="1" width="10.5" customWidth="1"/>
    <col min="2" max="2" width="26.1640625" customWidth="1"/>
    <col min="3" max="3" width="21.83203125" customWidth="1"/>
    <col min="4" max="6" width="10.5" customWidth="1"/>
    <col min="7" max="7" width="32.33203125" customWidth="1"/>
    <col min="8" max="8" width="29.6640625" customWidth="1"/>
    <col min="9" max="9" width="40.1640625" customWidth="1"/>
    <col min="10" max="26" width="7.6640625" customWidth="1"/>
  </cols>
  <sheetData>
    <row r="1" spans="1:9" ht="27.75" customHeight="1">
      <c r="A1" s="22" t="s">
        <v>0</v>
      </c>
      <c r="B1" s="22" t="s">
        <v>2</v>
      </c>
      <c r="C1" s="22" t="s">
        <v>3</v>
      </c>
      <c r="D1" s="22" t="s">
        <v>4</v>
      </c>
      <c r="E1" s="22" t="s">
        <v>8</v>
      </c>
      <c r="F1" s="22" t="s">
        <v>236</v>
      </c>
      <c r="G1" s="22" t="s">
        <v>237</v>
      </c>
      <c r="H1" s="22" t="s">
        <v>238</v>
      </c>
      <c r="I1" s="22" t="s">
        <v>11</v>
      </c>
    </row>
    <row r="2" spans="1:9" ht="19.5" customHeight="1">
      <c r="A2" s="11">
        <v>1</v>
      </c>
      <c r="B2" s="13" t="s">
        <v>19</v>
      </c>
      <c r="C2" s="13" t="s">
        <v>22</v>
      </c>
      <c r="D2" s="17" t="s">
        <v>240</v>
      </c>
      <c r="E2" s="17" t="s">
        <v>269</v>
      </c>
      <c r="F2" s="17" t="s">
        <v>243</v>
      </c>
      <c r="G2" s="11">
        <v>2500000</v>
      </c>
      <c r="H2" s="11">
        <v>5000000</v>
      </c>
      <c r="I2" s="11">
        <v>5000000</v>
      </c>
    </row>
    <row r="3" spans="1:9" ht="19.5" customHeight="1">
      <c r="A3" s="10">
        <v>2</v>
      </c>
      <c r="B3" s="12" t="s">
        <v>19</v>
      </c>
      <c r="C3" s="12" t="s">
        <v>246</v>
      </c>
      <c r="D3" s="14" t="s">
        <v>240</v>
      </c>
      <c r="E3" s="14" t="s">
        <v>269</v>
      </c>
      <c r="F3" s="14" t="s">
        <v>243</v>
      </c>
      <c r="G3" s="10">
        <v>2500000</v>
      </c>
      <c r="H3" s="10">
        <v>5000000</v>
      </c>
      <c r="I3" s="10">
        <v>5000000</v>
      </c>
    </row>
    <row r="4" spans="1:9" ht="19.5" customHeight="1">
      <c r="A4" s="11">
        <v>3</v>
      </c>
      <c r="B4" s="13" t="s">
        <v>19</v>
      </c>
      <c r="C4" s="13" t="s">
        <v>248</v>
      </c>
      <c r="D4" s="17" t="s">
        <v>240</v>
      </c>
      <c r="E4" s="17" t="s">
        <v>269</v>
      </c>
      <c r="F4" s="17" t="s">
        <v>243</v>
      </c>
      <c r="G4" s="11">
        <v>2500000</v>
      </c>
      <c r="H4" s="11">
        <v>5000000</v>
      </c>
      <c r="I4" s="11">
        <v>5000000</v>
      </c>
    </row>
    <row r="5" spans="1:9" ht="19.5" customHeight="1">
      <c r="A5" s="10">
        <v>4</v>
      </c>
      <c r="B5" s="12" t="s">
        <v>19</v>
      </c>
      <c r="C5" s="12" t="s">
        <v>250</v>
      </c>
      <c r="D5" s="14" t="s">
        <v>240</v>
      </c>
      <c r="E5" s="14" t="s">
        <v>269</v>
      </c>
      <c r="F5" s="14" t="s">
        <v>243</v>
      </c>
      <c r="G5" s="10">
        <v>2500000</v>
      </c>
      <c r="H5" s="10">
        <v>5000000</v>
      </c>
      <c r="I5" s="10">
        <v>5000000</v>
      </c>
    </row>
    <row r="6" spans="1:9" ht="19.5" customHeight="1">
      <c r="A6" s="11">
        <v>5</v>
      </c>
      <c r="B6" s="13" t="s">
        <v>19</v>
      </c>
      <c r="C6" s="13" t="s">
        <v>254</v>
      </c>
      <c r="D6" s="17" t="s">
        <v>240</v>
      </c>
      <c r="E6" s="17" t="s">
        <v>269</v>
      </c>
      <c r="F6" s="17" t="s">
        <v>243</v>
      </c>
      <c r="G6" s="11">
        <v>2500000</v>
      </c>
      <c r="H6" s="11">
        <v>5000000</v>
      </c>
      <c r="I6" s="11">
        <v>5000000</v>
      </c>
    </row>
    <row r="7" spans="1:9" ht="19.5" customHeight="1">
      <c r="A7" s="10">
        <v>6</v>
      </c>
      <c r="B7" s="12" t="s">
        <v>19</v>
      </c>
      <c r="C7" s="12" t="s">
        <v>255</v>
      </c>
      <c r="D7" s="14" t="s">
        <v>240</v>
      </c>
      <c r="E7" s="14" t="s">
        <v>269</v>
      </c>
      <c r="F7" s="14" t="s">
        <v>243</v>
      </c>
      <c r="G7" s="10">
        <v>2500000</v>
      </c>
      <c r="H7" s="10">
        <v>5000000</v>
      </c>
      <c r="I7" s="10">
        <v>5000000</v>
      </c>
    </row>
    <row r="8" spans="1:9" ht="19.5" customHeight="1">
      <c r="A8" s="11">
        <v>7</v>
      </c>
      <c r="B8" s="13" t="s">
        <v>197</v>
      </c>
      <c r="C8" s="13" t="s">
        <v>257</v>
      </c>
      <c r="D8" s="17" t="s">
        <v>240</v>
      </c>
      <c r="E8" s="17" t="s">
        <v>269</v>
      </c>
      <c r="F8" s="17" t="s">
        <v>243</v>
      </c>
      <c r="G8" s="11">
        <v>3500000</v>
      </c>
      <c r="H8" s="11">
        <v>7000000</v>
      </c>
      <c r="I8" s="11">
        <v>0</v>
      </c>
    </row>
    <row r="9" spans="1:9" ht="19.5" customHeight="1">
      <c r="A9" s="10">
        <v>8</v>
      </c>
      <c r="B9" s="12" t="s">
        <v>67</v>
      </c>
      <c r="C9" s="12" t="s">
        <v>258</v>
      </c>
      <c r="D9" s="14" t="s">
        <v>240</v>
      </c>
      <c r="E9" s="14" t="s">
        <v>269</v>
      </c>
      <c r="F9" s="14" t="s">
        <v>243</v>
      </c>
      <c r="G9" s="10">
        <v>2250000</v>
      </c>
      <c r="H9" s="10">
        <v>4500000</v>
      </c>
      <c r="I9" s="10">
        <v>0</v>
      </c>
    </row>
    <row r="10" spans="1:9" ht="19.5" customHeight="1">
      <c r="A10" s="11">
        <v>9</v>
      </c>
      <c r="B10" s="13" t="s">
        <v>67</v>
      </c>
      <c r="C10" s="13" t="s">
        <v>105</v>
      </c>
      <c r="D10" s="17" t="s">
        <v>240</v>
      </c>
      <c r="E10" s="17" t="s">
        <v>269</v>
      </c>
      <c r="F10" s="17" t="s">
        <v>243</v>
      </c>
      <c r="G10" s="11">
        <v>2500000</v>
      </c>
      <c r="H10" s="11">
        <v>5000000</v>
      </c>
      <c r="I10" s="11">
        <v>5000000</v>
      </c>
    </row>
    <row r="11" spans="1:9" ht="19.5" customHeight="1">
      <c r="A11" s="10">
        <v>10</v>
      </c>
      <c r="B11" s="12" t="s">
        <v>67</v>
      </c>
      <c r="C11" s="12" t="s">
        <v>112</v>
      </c>
      <c r="D11" s="14" t="s">
        <v>240</v>
      </c>
      <c r="E11" s="14" t="s">
        <v>269</v>
      </c>
      <c r="F11" s="14" t="s">
        <v>243</v>
      </c>
      <c r="G11" s="10">
        <v>2500000</v>
      </c>
      <c r="H11" s="10">
        <v>5000000</v>
      </c>
      <c r="I11" s="10">
        <v>5000000</v>
      </c>
    </row>
    <row r="12" spans="1:9" ht="19.5" customHeight="1">
      <c r="A12" s="11">
        <v>11</v>
      </c>
      <c r="B12" s="13" t="s">
        <v>67</v>
      </c>
      <c r="C12" s="13" t="s">
        <v>95</v>
      </c>
      <c r="D12" s="17" t="s">
        <v>240</v>
      </c>
      <c r="E12" s="17" t="s">
        <v>269</v>
      </c>
      <c r="F12" s="17" t="s">
        <v>243</v>
      </c>
      <c r="G12" s="11">
        <v>2500000</v>
      </c>
      <c r="H12" s="11">
        <v>5000000</v>
      </c>
      <c r="I12" s="11">
        <v>5000000</v>
      </c>
    </row>
    <row r="13" spans="1:9" ht="19.5" customHeight="1">
      <c r="A13" s="10">
        <v>12</v>
      </c>
      <c r="B13" s="12" t="s">
        <v>67</v>
      </c>
      <c r="C13" s="12" t="s">
        <v>260</v>
      </c>
      <c r="D13" s="14" t="s">
        <v>240</v>
      </c>
      <c r="E13" s="14" t="s">
        <v>269</v>
      </c>
      <c r="F13" s="14" t="s">
        <v>243</v>
      </c>
      <c r="G13" s="10">
        <v>2500000</v>
      </c>
      <c r="H13" s="10">
        <v>5000000</v>
      </c>
      <c r="I13" s="10">
        <v>5000000</v>
      </c>
    </row>
    <row r="14" spans="1:9" ht="19.5" customHeight="1">
      <c r="A14" s="11">
        <v>13</v>
      </c>
      <c r="B14" s="13" t="s">
        <v>115</v>
      </c>
      <c r="C14" s="13" t="s">
        <v>261</v>
      </c>
      <c r="D14" s="17" t="s">
        <v>240</v>
      </c>
      <c r="E14" s="17" t="s">
        <v>269</v>
      </c>
      <c r="F14" s="17" t="s">
        <v>243</v>
      </c>
      <c r="G14" s="11">
        <v>2500000</v>
      </c>
      <c r="H14" s="11">
        <v>5000000</v>
      </c>
      <c r="I14" s="11">
        <v>0</v>
      </c>
    </row>
    <row r="15" spans="1:9" ht="19.5" customHeight="1">
      <c r="A15" s="10">
        <v>14</v>
      </c>
      <c r="B15" s="12" t="s">
        <v>115</v>
      </c>
      <c r="C15" s="12" t="s">
        <v>262</v>
      </c>
      <c r="D15" s="14" t="s">
        <v>240</v>
      </c>
      <c r="E15" s="14" t="s">
        <v>269</v>
      </c>
      <c r="F15" s="14" t="s">
        <v>243</v>
      </c>
      <c r="G15" s="10">
        <v>2500000</v>
      </c>
      <c r="H15" s="10">
        <v>5000000</v>
      </c>
      <c r="I15" s="10">
        <v>0</v>
      </c>
    </row>
    <row r="16" spans="1:9" ht="19.5" customHeight="1">
      <c r="A16" s="11">
        <v>15</v>
      </c>
      <c r="B16" s="13" t="s">
        <v>53</v>
      </c>
      <c r="C16" s="13" t="s">
        <v>264</v>
      </c>
      <c r="D16" s="17" t="s">
        <v>240</v>
      </c>
      <c r="E16" s="17" t="s">
        <v>269</v>
      </c>
      <c r="F16" s="17" t="s">
        <v>243</v>
      </c>
      <c r="G16" s="11">
        <v>3000000</v>
      </c>
      <c r="H16" s="11">
        <v>6000000</v>
      </c>
      <c r="I16" s="11">
        <v>2000000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000"/>
  <sheetViews>
    <sheetView workbookViewId="0"/>
  </sheetViews>
  <sheetFormatPr baseColWidth="10" defaultColWidth="12.6640625" defaultRowHeight="15" customHeight="1"/>
  <cols>
    <col min="1" max="1" width="10.5" customWidth="1"/>
    <col min="2" max="2" width="35" customWidth="1"/>
    <col min="3" max="3" width="37.6640625" customWidth="1"/>
    <col min="4" max="5" width="21" customWidth="1"/>
    <col min="6" max="7" width="22.6640625" customWidth="1"/>
    <col min="8" max="8" width="23.6640625" customWidth="1"/>
    <col min="9" max="10" width="24.5" customWidth="1"/>
    <col min="11" max="24" width="7.6640625" customWidth="1"/>
  </cols>
  <sheetData>
    <row r="1" spans="1:10" ht="27.75" customHeight="1">
      <c r="A1" s="3" t="s">
        <v>0</v>
      </c>
      <c r="B1" s="3" t="s">
        <v>2</v>
      </c>
      <c r="C1" s="3" t="s">
        <v>3</v>
      </c>
      <c r="D1" s="3" t="s">
        <v>5</v>
      </c>
      <c r="E1" s="3" t="s">
        <v>16</v>
      </c>
      <c r="F1" s="3" t="s">
        <v>18</v>
      </c>
      <c r="G1" s="3" t="s">
        <v>20</v>
      </c>
      <c r="H1" s="3" t="s">
        <v>7</v>
      </c>
      <c r="I1" s="3" t="s">
        <v>9</v>
      </c>
      <c r="J1" s="3" t="s">
        <v>10</v>
      </c>
    </row>
    <row r="2" spans="1:10" ht="19.5" customHeight="1">
      <c r="A2" s="11">
        <v>1</v>
      </c>
      <c r="B2" s="13" t="s">
        <v>19</v>
      </c>
      <c r="C2" s="13" t="s">
        <v>22</v>
      </c>
      <c r="D2" s="11">
        <v>8230000</v>
      </c>
      <c r="E2" s="13" t="s">
        <v>30</v>
      </c>
      <c r="F2" s="13" t="s">
        <v>31</v>
      </c>
      <c r="G2" s="13" t="s">
        <v>32</v>
      </c>
      <c r="H2" s="13" t="s">
        <v>24</v>
      </c>
      <c r="I2" s="13" t="s">
        <v>25</v>
      </c>
      <c r="J2" s="13" t="s">
        <v>26</v>
      </c>
    </row>
    <row r="3" spans="1:10" ht="19.5" customHeight="1">
      <c r="A3" s="10">
        <v>2</v>
      </c>
      <c r="B3" s="12" t="s">
        <v>19</v>
      </c>
      <c r="C3" s="12" t="s">
        <v>29</v>
      </c>
      <c r="D3" s="10">
        <v>7348000</v>
      </c>
      <c r="E3" s="12" t="s">
        <v>30</v>
      </c>
      <c r="F3" s="12" t="s">
        <v>36</v>
      </c>
      <c r="G3" s="12" t="s">
        <v>37</v>
      </c>
      <c r="H3" s="12" t="s">
        <v>33</v>
      </c>
      <c r="I3" s="12" t="s">
        <v>34</v>
      </c>
      <c r="J3" s="12" t="s">
        <v>35</v>
      </c>
    </row>
    <row r="4" spans="1:10" ht="19.5" customHeight="1">
      <c r="A4" s="11">
        <v>3</v>
      </c>
      <c r="B4" s="13" t="s">
        <v>19</v>
      </c>
      <c r="C4" s="13" t="s">
        <v>38</v>
      </c>
      <c r="D4" s="11">
        <v>7642000</v>
      </c>
      <c r="E4" s="13" t="s">
        <v>30</v>
      </c>
      <c r="F4" s="13" t="s">
        <v>44</v>
      </c>
      <c r="G4" s="13" t="s">
        <v>45</v>
      </c>
      <c r="H4" s="13" t="s">
        <v>39</v>
      </c>
      <c r="I4" s="13" t="s">
        <v>46</v>
      </c>
      <c r="J4" s="13" t="s">
        <v>42</v>
      </c>
    </row>
    <row r="5" spans="1:10" ht="19.5" customHeight="1">
      <c r="A5" s="10">
        <v>4</v>
      </c>
      <c r="B5" s="12" t="s">
        <v>19</v>
      </c>
      <c r="C5" s="12" t="s">
        <v>43</v>
      </c>
      <c r="D5" s="10">
        <v>7642000</v>
      </c>
      <c r="E5" s="12" t="s">
        <v>30</v>
      </c>
      <c r="F5" s="12" t="s">
        <v>44</v>
      </c>
      <c r="G5" s="12" t="s">
        <v>45</v>
      </c>
      <c r="H5" s="12" t="s">
        <v>39</v>
      </c>
      <c r="I5" s="12" t="s">
        <v>46</v>
      </c>
      <c r="J5" s="12" t="s">
        <v>42</v>
      </c>
    </row>
    <row r="6" spans="1:10" ht="19.5" customHeight="1">
      <c r="A6" s="11">
        <v>5</v>
      </c>
      <c r="B6" s="13" t="s">
        <v>53</v>
      </c>
      <c r="C6" s="13" t="s">
        <v>54</v>
      </c>
      <c r="D6" s="11">
        <v>26355000</v>
      </c>
      <c r="E6" s="13" t="s">
        <v>30</v>
      </c>
      <c r="F6" s="13" t="s">
        <v>55</v>
      </c>
      <c r="G6" s="13" t="s">
        <v>57</v>
      </c>
      <c r="H6" s="13" t="s">
        <v>58</v>
      </c>
      <c r="I6" s="13" t="s">
        <v>59</v>
      </c>
      <c r="J6" s="13" t="s">
        <v>60</v>
      </c>
    </row>
    <row r="7" spans="1:10" ht="19.5" customHeight="1">
      <c r="A7" s="10">
        <v>6</v>
      </c>
      <c r="B7" s="12" t="s">
        <v>63</v>
      </c>
      <c r="C7" s="12" t="s">
        <v>64</v>
      </c>
      <c r="D7" s="10">
        <v>7642000</v>
      </c>
      <c r="E7" s="12" t="s">
        <v>30</v>
      </c>
      <c r="F7" s="12" t="s">
        <v>44</v>
      </c>
      <c r="G7" s="12" t="s">
        <v>45</v>
      </c>
      <c r="H7" s="12" t="s">
        <v>39</v>
      </c>
      <c r="I7" s="12" t="s">
        <v>46</v>
      </c>
      <c r="J7" s="12" t="s">
        <v>42</v>
      </c>
    </row>
    <row r="8" spans="1:10" ht="19.5" customHeight="1">
      <c r="A8" s="11">
        <v>7</v>
      </c>
      <c r="B8" s="13" t="s">
        <v>67</v>
      </c>
      <c r="C8" s="13" t="s">
        <v>68</v>
      </c>
      <c r="D8" s="11">
        <v>12238000</v>
      </c>
      <c r="E8" s="13" t="s">
        <v>30</v>
      </c>
      <c r="F8" s="13" t="s">
        <v>72</v>
      </c>
      <c r="G8" s="13" t="s">
        <v>73</v>
      </c>
      <c r="H8" s="13" t="s">
        <v>69</v>
      </c>
      <c r="I8" s="13" t="s">
        <v>70</v>
      </c>
      <c r="J8" s="13" t="s">
        <v>71</v>
      </c>
    </row>
    <row r="9" spans="1:10" ht="19.5" customHeight="1">
      <c r="A9" s="10">
        <v>8</v>
      </c>
      <c r="B9" s="12" t="s">
        <v>67</v>
      </c>
      <c r="C9" s="12" t="s">
        <v>74</v>
      </c>
      <c r="D9" s="10">
        <v>11767000</v>
      </c>
      <c r="E9" s="12" t="s">
        <v>30</v>
      </c>
      <c r="F9" s="12" t="s">
        <v>80</v>
      </c>
      <c r="G9" s="12" t="s">
        <v>82</v>
      </c>
      <c r="H9" s="12" t="s">
        <v>84</v>
      </c>
      <c r="I9" s="12" t="s">
        <v>76</v>
      </c>
      <c r="J9" s="12" t="s">
        <v>77</v>
      </c>
    </row>
    <row r="10" spans="1:10" ht="19.5" customHeight="1">
      <c r="A10" s="11">
        <v>9</v>
      </c>
      <c r="B10" s="13" t="s">
        <v>67</v>
      </c>
      <c r="C10" s="13" t="s">
        <v>79</v>
      </c>
      <c r="D10" s="11">
        <v>13650000</v>
      </c>
      <c r="E10" s="13" t="s">
        <v>30</v>
      </c>
      <c r="F10" s="13" t="s">
        <v>88</v>
      </c>
      <c r="G10" s="13" t="s">
        <v>89</v>
      </c>
      <c r="H10" s="13" t="s">
        <v>81</v>
      </c>
      <c r="I10" s="13" t="s">
        <v>83</v>
      </c>
      <c r="J10" s="13" t="s">
        <v>86</v>
      </c>
    </row>
    <row r="11" spans="1:10" ht="19.5" customHeight="1">
      <c r="A11" s="10">
        <v>10</v>
      </c>
      <c r="B11" s="12" t="s">
        <v>67</v>
      </c>
      <c r="C11" s="12" t="s">
        <v>87</v>
      </c>
      <c r="D11" s="10">
        <v>13650000</v>
      </c>
      <c r="E11" s="12" t="s">
        <v>30</v>
      </c>
      <c r="F11" s="12" t="s">
        <v>88</v>
      </c>
      <c r="G11" s="12" t="s">
        <v>89</v>
      </c>
      <c r="H11" s="12" t="s">
        <v>81</v>
      </c>
      <c r="I11" s="12" t="s">
        <v>83</v>
      </c>
      <c r="J11" s="12" t="s">
        <v>86</v>
      </c>
    </row>
    <row r="12" spans="1:10" ht="19.5" customHeight="1">
      <c r="A12" s="11">
        <v>11</v>
      </c>
      <c r="B12" s="13" t="s">
        <v>67</v>
      </c>
      <c r="C12" s="13" t="s">
        <v>90</v>
      </c>
      <c r="D12" s="11">
        <v>12709000</v>
      </c>
      <c r="E12" s="13" t="s">
        <v>30</v>
      </c>
      <c r="F12" s="13" t="s">
        <v>96</v>
      </c>
      <c r="G12" s="13" t="s">
        <v>97</v>
      </c>
      <c r="H12" s="13" t="s">
        <v>99</v>
      </c>
      <c r="I12" s="13" t="s">
        <v>92</v>
      </c>
      <c r="J12" s="13" t="s">
        <v>93</v>
      </c>
    </row>
    <row r="13" spans="1:10" ht="19.5" customHeight="1">
      <c r="A13" s="10">
        <v>12</v>
      </c>
      <c r="B13" s="12" t="s">
        <v>67</v>
      </c>
      <c r="C13" s="12" t="s">
        <v>13</v>
      </c>
      <c r="D13" s="10">
        <v>11767000</v>
      </c>
      <c r="E13" s="12" t="s">
        <v>30</v>
      </c>
      <c r="F13" s="12" t="s">
        <v>80</v>
      </c>
      <c r="G13" s="12" t="s">
        <v>82</v>
      </c>
      <c r="H13" s="12" t="s">
        <v>84</v>
      </c>
      <c r="I13" s="12" t="s">
        <v>76</v>
      </c>
      <c r="J13" s="12" t="s">
        <v>77</v>
      </c>
    </row>
    <row r="14" spans="1:10" ht="19.5" customHeight="1">
      <c r="A14" s="11">
        <v>13</v>
      </c>
      <c r="B14" s="13" t="s">
        <v>67</v>
      </c>
      <c r="C14" s="13" t="s">
        <v>95</v>
      </c>
      <c r="D14" s="11">
        <v>15343000</v>
      </c>
      <c r="E14" s="13" t="s">
        <v>30</v>
      </c>
      <c r="F14" s="13" t="s">
        <v>106</v>
      </c>
      <c r="G14" s="13" t="s">
        <v>107</v>
      </c>
      <c r="H14" s="13" t="s">
        <v>100</v>
      </c>
      <c r="I14" s="13" t="s">
        <v>101</v>
      </c>
      <c r="J14" s="13" t="s">
        <v>102</v>
      </c>
    </row>
    <row r="15" spans="1:10" ht="19.5" customHeight="1">
      <c r="A15" s="10">
        <v>14</v>
      </c>
      <c r="B15" s="12" t="s">
        <v>67</v>
      </c>
      <c r="C15" s="12" t="s">
        <v>103</v>
      </c>
      <c r="D15" s="10">
        <v>11767000</v>
      </c>
      <c r="E15" s="12" t="s">
        <v>30</v>
      </c>
      <c r="F15" s="12" t="s">
        <v>80</v>
      </c>
      <c r="G15" s="12" t="s">
        <v>82</v>
      </c>
      <c r="H15" s="12" t="s">
        <v>94</v>
      </c>
      <c r="I15" s="12" t="s">
        <v>76</v>
      </c>
      <c r="J15" s="12" t="s">
        <v>77</v>
      </c>
    </row>
    <row r="16" spans="1:10" ht="19.5" customHeight="1">
      <c r="A16" s="11">
        <v>15</v>
      </c>
      <c r="B16" s="13" t="s">
        <v>67</v>
      </c>
      <c r="C16" s="13" t="s">
        <v>105</v>
      </c>
      <c r="D16" s="11">
        <v>13650000</v>
      </c>
      <c r="E16" s="13" t="s">
        <v>30</v>
      </c>
      <c r="F16" s="13" t="s">
        <v>88</v>
      </c>
      <c r="G16" s="13" t="s">
        <v>89</v>
      </c>
      <c r="H16" s="13" t="s">
        <v>81</v>
      </c>
      <c r="I16" s="13" t="s">
        <v>113</v>
      </c>
      <c r="J16" s="13" t="s">
        <v>86</v>
      </c>
    </row>
    <row r="17" spans="1:10" ht="19.5" customHeight="1">
      <c r="A17" s="10">
        <v>16</v>
      </c>
      <c r="B17" s="12" t="s">
        <v>67</v>
      </c>
      <c r="C17" s="12" t="s">
        <v>110</v>
      </c>
      <c r="D17" s="10">
        <v>11767000</v>
      </c>
      <c r="E17" s="12" t="s">
        <v>30</v>
      </c>
      <c r="F17" s="12" t="s">
        <v>80</v>
      </c>
      <c r="G17" s="12" t="s">
        <v>82</v>
      </c>
      <c r="H17" s="12" t="s">
        <v>94</v>
      </c>
      <c r="I17" s="12" t="s">
        <v>76</v>
      </c>
      <c r="J17" s="12" t="s">
        <v>77</v>
      </c>
    </row>
    <row r="18" spans="1:10" ht="19.5" customHeight="1">
      <c r="A18" s="11">
        <v>17</v>
      </c>
      <c r="B18" s="13" t="s">
        <v>67</v>
      </c>
      <c r="C18" s="13" t="s">
        <v>112</v>
      </c>
      <c r="D18" s="11">
        <v>13650000</v>
      </c>
      <c r="E18" s="13" t="s">
        <v>30</v>
      </c>
      <c r="F18" s="13" t="s">
        <v>88</v>
      </c>
      <c r="G18" s="13" t="s">
        <v>89</v>
      </c>
      <c r="H18" s="13" t="s">
        <v>81</v>
      </c>
      <c r="I18" s="13" t="s">
        <v>83</v>
      </c>
      <c r="J18" s="13" t="s">
        <v>86</v>
      </c>
    </row>
    <row r="19" spans="1:10" ht="19.5" customHeight="1">
      <c r="A19" s="10">
        <v>18</v>
      </c>
      <c r="B19" s="12" t="s">
        <v>115</v>
      </c>
      <c r="C19" s="12" t="s">
        <v>116</v>
      </c>
      <c r="D19" s="10">
        <v>10857000</v>
      </c>
      <c r="E19" s="12" t="s">
        <v>30</v>
      </c>
      <c r="F19" s="12" t="s">
        <v>125</v>
      </c>
      <c r="G19" s="12" t="s">
        <v>126</v>
      </c>
      <c r="H19" s="12" t="s">
        <v>117</v>
      </c>
      <c r="I19" s="12" t="s">
        <v>118</v>
      </c>
      <c r="J19" s="12" t="s">
        <v>119</v>
      </c>
    </row>
    <row r="20" spans="1:10" ht="19.5" customHeight="1">
      <c r="A20" s="11">
        <v>19</v>
      </c>
      <c r="B20" s="13" t="s">
        <v>115</v>
      </c>
      <c r="C20" s="13" t="s">
        <v>120</v>
      </c>
      <c r="D20" s="11">
        <v>11463000</v>
      </c>
      <c r="E20" s="13" t="s">
        <v>30</v>
      </c>
      <c r="F20" s="13" t="s">
        <v>132</v>
      </c>
      <c r="G20" s="13" t="s">
        <v>134</v>
      </c>
      <c r="H20" s="13" t="s">
        <v>121</v>
      </c>
      <c r="I20" s="13" t="s">
        <v>122</v>
      </c>
      <c r="J20" s="13" t="s">
        <v>135</v>
      </c>
    </row>
    <row r="21" spans="1:10" ht="19.5" customHeight="1">
      <c r="A21" s="10">
        <v>20</v>
      </c>
      <c r="B21" s="12" t="s">
        <v>115</v>
      </c>
      <c r="C21" s="12" t="s">
        <v>127</v>
      </c>
      <c r="D21" s="10">
        <v>10857000</v>
      </c>
      <c r="E21" s="12" t="s">
        <v>30</v>
      </c>
      <c r="F21" s="12" t="s">
        <v>125</v>
      </c>
      <c r="G21" s="12" t="s">
        <v>126</v>
      </c>
      <c r="H21" s="12" t="s">
        <v>117</v>
      </c>
      <c r="I21" s="12" t="s">
        <v>118</v>
      </c>
      <c r="J21" s="12" t="s">
        <v>119</v>
      </c>
    </row>
    <row r="22" spans="1:10" ht="19.5" customHeight="1">
      <c r="A22" s="11">
        <v>21</v>
      </c>
      <c r="B22" s="13" t="s">
        <v>115</v>
      </c>
      <c r="C22" s="13" t="s">
        <v>131</v>
      </c>
      <c r="D22" s="11">
        <v>11055000</v>
      </c>
      <c r="E22" s="13" t="s">
        <v>30</v>
      </c>
      <c r="F22" s="13" t="s">
        <v>141</v>
      </c>
      <c r="G22" s="13" t="s">
        <v>142</v>
      </c>
      <c r="H22" s="13" t="s">
        <v>128</v>
      </c>
      <c r="I22" s="13" t="s">
        <v>129</v>
      </c>
      <c r="J22" s="13" t="s">
        <v>143</v>
      </c>
    </row>
    <row r="23" spans="1:10" ht="19.5" customHeight="1">
      <c r="A23" s="10">
        <v>22</v>
      </c>
      <c r="B23" s="12" t="s">
        <v>115</v>
      </c>
      <c r="C23" s="12" t="s">
        <v>137</v>
      </c>
      <c r="D23" s="10">
        <v>11463000</v>
      </c>
      <c r="E23" s="12" t="s">
        <v>30</v>
      </c>
      <c r="F23" s="12" t="s">
        <v>132</v>
      </c>
      <c r="G23" s="12" t="s">
        <v>134</v>
      </c>
      <c r="H23" s="12" t="s">
        <v>121</v>
      </c>
      <c r="I23" s="12" t="s">
        <v>122</v>
      </c>
      <c r="J23" s="12" t="s">
        <v>135</v>
      </c>
    </row>
    <row r="24" spans="1:10" ht="19.5" customHeight="1">
      <c r="A24" s="11">
        <v>23</v>
      </c>
      <c r="B24" s="13" t="s">
        <v>115</v>
      </c>
      <c r="C24" s="13" t="s">
        <v>144</v>
      </c>
      <c r="D24" s="11">
        <v>10857000</v>
      </c>
      <c r="E24" s="13" t="s">
        <v>30</v>
      </c>
      <c r="F24" s="13" t="s">
        <v>125</v>
      </c>
      <c r="G24" s="13" t="s">
        <v>126</v>
      </c>
      <c r="H24" s="13" t="s">
        <v>117</v>
      </c>
      <c r="I24" s="13" t="s">
        <v>118</v>
      </c>
      <c r="J24" s="13" t="s">
        <v>119</v>
      </c>
    </row>
    <row r="25" spans="1:10" ht="19.5" customHeight="1">
      <c r="A25" s="10">
        <v>24</v>
      </c>
      <c r="B25" s="12" t="s">
        <v>115</v>
      </c>
      <c r="C25" s="12" t="s">
        <v>146</v>
      </c>
      <c r="D25" s="10">
        <v>14814000</v>
      </c>
      <c r="E25" s="12" t="s">
        <v>30</v>
      </c>
      <c r="F25" s="12" t="s">
        <v>148</v>
      </c>
      <c r="G25" s="12" t="s">
        <v>150</v>
      </c>
      <c r="H25" s="12" t="s">
        <v>138</v>
      </c>
      <c r="I25" s="12" t="s">
        <v>139</v>
      </c>
      <c r="J25" s="12" t="s">
        <v>140</v>
      </c>
    </row>
    <row r="26" spans="1:10" ht="19.5" customHeight="1">
      <c r="A26" s="11">
        <v>25</v>
      </c>
      <c r="B26" s="13" t="s">
        <v>115</v>
      </c>
      <c r="C26" s="13" t="s">
        <v>147</v>
      </c>
      <c r="D26" s="11">
        <v>14814000</v>
      </c>
      <c r="E26" s="13" t="s">
        <v>30</v>
      </c>
      <c r="F26" s="13" t="s">
        <v>148</v>
      </c>
      <c r="G26" s="13" t="s">
        <v>150</v>
      </c>
      <c r="H26" s="13" t="s">
        <v>138</v>
      </c>
      <c r="I26" s="13" t="s">
        <v>139</v>
      </c>
      <c r="J26" s="13" t="s">
        <v>140</v>
      </c>
    </row>
    <row r="27" spans="1:10" ht="19.5" customHeight="1">
      <c r="A27" s="10">
        <v>26</v>
      </c>
      <c r="B27" s="12" t="s">
        <v>149</v>
      </c>
      <c r="C27" s="12" t="s">
        <v>151</v>
      </c>
      <c r="D27" s="10">
        <v>7348000</v>
      </c>
      <c r="E27" s="12" t="s">
        <v>30</v>
      </c>
      <c r="F27" s="12" t="s">
        <v>36</v>
      </c>
      <c r="G27" s="12" t="s">
        <v>37</v>
      </c>
      <c r="H27" s="12" t="s">
        <v>33</v>
      </c>
      <c r="I27" s="12" t="s">
        <v>34</v>
      </c>
      <c r="J27" s="12" t="s">
        <v>35</v>
      </c>
    </row>
    <row r="28" spans="1:10" ht="19.5" customHeight="1">
      <c r="A28" s="11">
        <v>27</v>
      </c>
      <c r="B28" s="13" t="s">
        <v>149</v>
      </c>
      <c r="C28" s="13" t="s">
        <v>152</v>
      </c>
      <c r="D28" s="11">
        <v>7348000</v>
      </c>
      <c r="E28" s="13" t="s">
        <v>30</v>
      </c>
      <c r="F28" s="13" t="s">
        <v>36</v>
      </c>
      <c r="G28" s="13" t="s">
        <v>37</v>
      </c>
      <c r="H28" s="13" t="s">
        <v>33</v>
      </c>
      <c r="I28" s="13" t="s">
        <v>34</v>
      </c>
      <c r="J28" s="13" t="s">
        <v>35</v>
      </c>
    </row>
    <row r="29" spans="1:10" ht="19.5" customHeight="1">
      <c r="A29" s="10">
        <v>28</v>
      </c>
      <c r="B29" s="12" t="s">
        <v>149</v>
      </c>
      <c r="C29" s="12" t="s">
        <v>153</v>
      </c>
      <c r="D29" s="10">
        <v>7348000</v>
      </c>
      <c r="E29" s="12" t="s">
        <v>30</v>
      </c>
      <c r="F29" s="12" t="s">
        <v>36</v>
      </c>
      <c r="G29" s="12" t="s">
        <v>37</v>
      </c>
      <c r="H29" s="12" t="s">
        <v>33</v>
      </c>
      <c r="I29" s="12" t="s">
        <v>34</v>
      </c>
      <c r="J29" s="12" t="s">
        <v>35</v>
      </c>
    </row>
    <row r="30" spans="1:10" ht="19.5" customHeight="1">
      <c r="A30" s="11">
        <v>29</v>
      </c>
      <c r="B30" s="13" t="s">
        <v>149</v>
      </c>
      <c r="C30" s="13" t="s">
        <v>155</v>
      </c>
      <c r="D30" s="11">
        <v>10857000</v>
      </c>
      <c r="E30" s="13" t="s">
        <v>30</v>
      </c>
      <c r="F30" s="13" t="s">
        <v>125</v>
      </c>
      <c r="G30" s="13" t="s">
        <v>126</v>
      </c>
      <c r="H30" s="13" t="s">
        <v>117</v>
      </c>
      <c r="I30" s="13" t="s">
        <v>118</v>
      </c>
      <c r="J30" s="13" t="s">
        <v>119</v>
      </c>
    </row>
    <row r="31" spans="1:10" ht="19.5" customHeight="1">
      <c r="A31" s="10">
        <v>30</v>
      </c>
      <c r="B31" s="12" t="s">
        <v>149</v>
      </c>
      <c r="C31" s="12" t="s">
        <v>160</v>
      </c>
      <c r="D31" s="10">
        <v>7348000</v>
      </c>
      <c r="E31" s="12" t="s">
        <v>30</v>
      </c>
      <c r="F31" s="12" t="s">
        <v>36</v>
      </c>
      <c r="G31" s="12" t="s">
        <v>37</v>
      </c>
      <c r="H31" s="12" t="s">
        <v>33</v>
      </c>
      <c r="I31" s="12" t="s">
        <v>34</v>
      </c>
      <c r="J31" s="12" t="s">
        <v>35</v>
      </c>
    </row>
    <row r="32" spans="1:10" ht="19.5" customHeight="1">
      <c r="A32" s="11">
        <v>31</v>
      </c>
      <c r="B32" s="13" t="s">
        <v>149</v>
      </c>
      <c r="C32" s="13" t="s">
        <v>164</v>
      </c>
      <c r="D32" s="11">
        <v>11463000</v>
      </c>
      <c r="E32" s="13" t="s">
        <v>30</v>
      </c>
      <c r="F32" s="13" t="s">
        <v>132</v>
      </c>
      <c r="G32" s="13" t="s">
        <v>134</v>
      </c>
      <c r="H32" s="13" t="s">
        <v>121</v>
      </c>
      <c r="I32" s="13" t="s">
        <v>122</v>
      </c>
      <c r="J32" s="13" t="s">
        <v>135</v>
      </c>
    </row>
    <row r="33" spans="1:10" ht="19.5" customHeight="1">
      <c r="A33" s="10">
        <v>32</v>
      </c>
      <c r="B33" s="12" t="s">
        <v>149</v>
      </c>
      <c r="C33" s="12" t="s">
        <v>166</v>
      </c>
      <c r="D33" s="10">
        <v>8450000</v>
      </c>
      <c r="E33" s="12" t="s">
        <v>30</v>
      </c>
      <c r="F33" s="12" t="s">
        <v>176</v>
      </c>
      <c r="G33" s="12" t="s">
        <v>177</v>
      </c>
      <c r="H33" s="12" t="s">
        <v>157</v>
      </c>
      <c r="I33" s="12" t="s">
        <v>158</v>
      </c>
      <c r="J33" s="12" t="s">
        <v>159</v>
      </c>
    </row>
    <row r="34" spans="1:10" ht="19.5" customHeight="1">
      <c r="A34" s="11">
        <v>33</v>
      </c>
      <c r="B34" s="13" t="s">
        <v>149</v>
      </c>
      <c r="C34" s="13" t="s">
        <v>170</v>
      </c>
      <c r="D34" s="11">
        <v>9553000</v>
      </c>
      <c r="E34" s="13" t="s">
        <v>30</v>
      </c>
      <c r="F34" s="13" t="s">
        <v>183</v>
      </c>
      <c r="G34" s="13" t="s">
        <v>184</v>
      </c>
      <c r="H34" s="13" t="s">
        <v>161</v>
      </c>
      <c r="I34" s="13" t="s">
        <v>165</v>
      </c>
      <c r="J34" s="13" t="s">
        <v>163</v>
      </c>
    </row>
    <row r="35" spans="1:10" ht="19.5" customHeight="1">
      <c r="A35" s="10">
        <v>34</v>
      </c>
      <c r="B35" s="12" t="s">
        <v>149</v>
      </c>
      <c r="C35" s="12" t="s">
        <v>171</v>
      </c>
      <c r="D35" s="10">
        <v>9553000</v>
      </c>
      <c r="E35" s="12" t="s">
        <v>30</v>
      </c>
      <c r="F35" s="12" t="s">
        <v>183</v>
      </c>
      <c r="G35" s="12" t="s">
        <v>184</v>
      </c>
      <c r="H35" s="12" t="s">
        <v>161</v>
      </c>
      <c r="I35" s="12" t="s">
        <v>165</v>
      </c>
      <c r="J35" s="12" t="s">
        <v>163</v>
      </c>
    </row>
    <row r="36" spans="1:10" ht="19.5" customHeight="1">
      <c r="A36" s="11">
        <v>35</v>
      </c>
      <c r="B36" s="13" t="s">
        <v>149</v>
      </c>
      <c r="C36" s="13" t="s">
        <v>174</v>
      </c>
      <c r="D36" s="11">
        <v>12227000</v>
      </c>
      <c r="E36" s="13" t="s">
        <v>30</v>
      </c>
      <c r="F36" s="13" t="s">
        <v>72</v>
      </c>
      <c r="G36" s="13" t="s">
        <v>189</v>
      </c>
      <c r="H36" s="13" t="s">
        <v>167</v>
      </c>
      <c r="I36" s="13" t="s">
        <v>168</v>
      </c>
      <c r="J36" s="13" t="s">
        <v>169</v>
      </c>
    </row>
    <row r="37" spans="1:10" ht="19.5" customHeight="1">
      <c r="A37" s="10">
        <v>36</v>
      </c>
      <c r="B37" s="12" t="s">
        <v>149</v>
      </c>
      <c r="C37" s="12" t="s">
        <v>178</v>
      </c>
      <c r="D37" s="10">
        <v>11463000</v>
      </c>
      <c r="E37" s="12" t="s">
        <v>30</v>
      </c>
      <c r="F37" s="12" t="s">
        <v>132</v>
      </c>
      <c r="G37" s="12" t="s">
        <v>134</v>
      </c>
      <c r="H37" s="12" t="s">
        <v>121</v>
      </c>
      <c r="I37" s="12" t="s">
        <v>122</v>
      </c>
      <c r="J37" s="12" t="s">
        <v>135</v>
      </c>
    </row>
    <row r="38" spans="1:10" ht="19.5" customHeight="1">
      <c r="A38" s="11">
        <v>37</v>
      </c>
      <c r="B38" s="13" t="s">
        <v>149</v>
      </c>
      <c r="C38" s="13" t="s">
        <v>182</v>
      </c>
      <c r="D38" s="11">
        <v>11463000</v>
      </c>
      <c r="E38" s="13" t="s">
        <v>30</v>
      </c>
      <c r="F38" s="13" t="s">
        <v>132</v>
      </c>
      <c r="G38" s="13" t="s">
        <v>134</v>
      </c>
      <c r="H38" s="13" t="s">
        <v>121</v>
      </c>
      <c r="I38" s="13" t="s">
        <v>122</v>
      </c>
      <c r="J38" s="13" t="s">
        <v>135</v>
      </c>
    </row>
    <row r="39" spans="1:10" ht="19.5" customHeight="1">
      <c r="A39" s="10">
        <v>38</v>
      </c>
      <c r="B39" s="12" t="s">
        <v>149</v>
      </c>
      <c r="C39" s="12" t="s">
        <v>185</v>
      </c>
      <c r="D39" s="10">
        <v>10439000</v>
      </c>
      <c r="E39" s="12" t="s">
        <v>30</v>
      </c>
      <c r="F39" s="12" t="s">
        <v>196</v>
      </c>
      <c r="G39" s="12" t="s">
        <v>198</v>
      </c>
      <c r="H39" s="12" t="s">
        <v>179</v>
      </c>
      <c r="I39" s="12" t="s">
        <v>180</v>
      </c>
      <c r="J39" s="12" t="s">
        <v>181</v>
      </c>
    </row>
    <row r="40" spans="1:10" ht="19.5" customHeight="1">
      <c r="A40" s="11">
        <v>39</v>
      </c>
      <c r="B40" s="13" t="s">
        <v>149</v>
      </c>
      <c r="C40" s="13" t="s">
        <v>188</v>
      </c>
      <c r="D40" s="11">
        <v>7642000</v>
      </c>
      <c r="E40" s="13" t="s">
        <v>30</v>
      </c>
      <c r="F40" s="13" t="s">
        <v>44</v>
      </c>
      <c r="G40" s="13" t="s">
        <v>45</v>
      </c>
      <c r="H40" s="13" t="s">
        <v>39</v>
      </c>
      <c r="I40" s="13" t="s">
        <v>46</v>
      </c>
      <c r="J40" s="13" t="s">
        <v>42</v>
      </c>
    </row>
    <row r="41" spans="1:10" ht="19.5" customHeight="1">
      <c r="A41" s="10">
        <v>40</v>
      </c>
      <c r="B41" s="12" t="s">
        <v>149</v>
      </c>
      <c r="C41" s="12" t="s">
        <v>190</v>
      </c>
      <c r="D41" s="10">
        <v>7348000</v>
      </c>
      <c r="E41" s="12" t="s">
        <v>30</v>
      </c>
      <c r="F41" s="12" t="s">
        <v>36</v>
      </c>
      <c r="G41" s="12" t="s">
        <v>37</v>
      </c>
      <c r="H41" s="12" t="s">
        <v>33</v>
      </c>
      <c r="I41" s="12" t="s">
        <v>34</v>
      </c>
      <c r="J41" s="12" t="s">
        <v>35</v>
      </c>
    </row>
    <row r="42" spans="1:10" ht="19.5" customHeight="1">
      <c r="A42" s="11">
        <v>41</v>
      </c>
      <c r="B42" s="13" t="s">
        <v>149</v>
      </c>
      <c r="C42" s="13" t="s">
        <v>192</v>
      </c>
      <c r="D42" s="11">
        <v>8450000</v>
      </c>
      <c r="E42" s="13" t="s">
        <v>30</v>
      </c>
      <c r="F42" s="13" t="s">
        <v>176</v>
      </c>
      <c r="G42" s="13" t="s">
        <v>177</v>
      </c>
      <c r="H42" s="13" t="s">
        <v>157</v>
      </c>
      <c r="I42" s="13" t="s">
        <v>158</v>
      </c>
      <c r="J42" s="13" t="s">
        <v>159</v>
      </c>
    </row>
    <row r="43" spans="1:10" ht="19.5" customHeight="1">
      <c r="A43" s="10">
        <v>42</v>
      </c>
      <c r="B43" s="12" t="s">
        <v>193</v>
      </c>
      <c r="C43" s="12" t="s">
        <v>194</v>
      </c>
      <c r="D43" s="10">
        <v>26355000</v>
      </c>
      <c r="E43" s="12" t="s">
        <v>30</v>
      </c>
      <c r="F43" s="12" t="s">
        <v>55</v>
      </c>
      <c r="G43" s="12" t="s">
        <v>57</v>
      </c>
      <c r="H43" s="12" t="s">
        <v>58</v>
      </c>
      <c r="I43" s="12" t="s">
        <v>59</v>
      </c>
      <c r="J43" s="12" t="s">
        <v>60</v>
      </c>
    </row>
    <row r="44" spans="1:10" ht="19.5" customHeight="1">
      <c r="A44" s="11">
        <v>43</v>
      </c>
      <c r="B44" s="13" t="s">
        <v>193</v>
      </c>
      <c r="C44" s="13" t="s">
        <v>195</v>
      </c>
      <c r="D44" s="11">
        <v>8450000</v>
      </c>
      <c r="E44" s="13" t="s">
        <v>30</v>
      </c>
      <c r="F44" s="13" t="s">
        <v>176</v>
      </c>
      <c r="G44" s="13" t="s">
        <v>177</v>
      </c>
      <c r="H44" s="13" t="s">
        <v>157</v>
      </c>
      <c r="I44" s="13" t="s">
        <v>158</v>
      </c>
      <c r="J44" s="13" t="s">
        <v>159</v>
      </c>
    </row>
    <row r="45" spans="1:10" ht="19.5" customHeight="1">
      <c r="A45" s="10">
        <v>44</v>
      </c>
      <c r="B45" s="12" t="s">
        <v>197</v>
      </c>
      <c r="C45" s="12" t="s">
        <v>28</v>
      </c>
      <c r="D45" s="10">
        <v>12227000</v>
      </c>
      <c r="E45" s="12" t="s">
        <v>30</v>
      </c>
      <c r="F45" s="12" t="s">
        <v>72</v>
      </c>
      <c r="G45" s="12" t="s">
        <v>189</v>
      </c>
      <c r="H45" s="12" t="s">
        <v>167</v>
      </c>
      <c r="I45" s="12" t="s">
        <v>168</v>
      </c>
      <c r="J45" s="12" t="s">
        <v>169</v>
      </c>
    </row>
    <row r="46" spans="1:10" ht="19.5" customHeight="1">
      <c r="A46" s="11">
        <v>45</v>
      </c>
      <c r="B46" s="13" t="s">
        <v>197</v>
      </c>
      <c r="C46" s="13" t="s">
        <v>202</v>
      </c>
      <c r="D46" s="11">
        <v>25341000</v>
      </c>
      <c r="E46" s="13" t="s">
        <v>30</v>
      </c>
      <c r="F46" s="13" t="s">
        <v>219</v>
      </c>
      <c r="G46" s="13" t="s">
        <v>220</v>
      </c>
      <c r="H46" s="13" t="s">
        <v>199</v>
      </c>
      <c r="I46" s="13" t="s">
        <v>200</v>
      </c>
      <c r="J46" s="13" t="s">
        <v>201</v>
      </c>
    </row>
    <row r="47" spans="1:10" ht="19.5" customHeight="1">
      <c r="A47" s="10">
        <v>46</v>
      </c>
      <c r="B47" s="12" t="s">
        <v>197</v>
      </c>
      <c r="C47" s="12" t="s">
        <v>203</v>
      </c>
      <c r="D47" s="10">
        <v>12227000</v>
      </c>
      <c r="E47" s="12" t="s">
        <v>30</v>
      </c>
      <c r="F47" s="12" t="s">
        <v>72</v>
      </c>
      <c r="G47" s="12" t="s">
        <v>189</v>
      </c>
      <c r="H47" s="12" t="s">
        <v>167</v>
      </c>
      <c r="I47" s="12" t="s">
        <v>168</v>
      </c>
      <c r="J47" s="12" t="s">
        <v>169</v>
      </c>
    </row>
    <row r="48" spans="1:10" ht="19.5" customHeight="1">
      <c r="A48" s="11">
        <v>47</v>
      </c>
      <c r="B48" s="13" t="s">
        <v>197</v>
      </c>
      <c r="C48" s="13" t="s">
        <v>204</v>
      </c>
      <c r="D48" s="11">
        <v>12227000</v>
      </c>
      <c r="E48" s="13" t="s">
        <v>30</v>
      </c>
      <c r="F48" s="13" t="s">
        <v>72</v>
      </c>
      <c r="G48" s="13" t="s">
        <v>189</v>
      </c>
      <c r="H48" s="13" t="s">
        <v>167</v>
      </c>
      <c r="I48" s="13" t="s">
        <v>168</v>
      </c>
      <c r="J48" s="13" t="s">
        <v>169</v>
      </c>
    </row>
    <row r="49" spans="1:10" ht="19.5" customHeight="1">
      <c r="A49" s="10">
        <v>48</v>
      </c>
      <c r="B49" s="12" t="s">
        <v>197</v>
      </c>
      <c r="C49" s="12" t="s">
        <v>206</v>
      </c>
      <c r="D49" s="10">
        <v>10857000</v>
      </c>
      <c r="E49" s="12" t="s">
        <v>30</v>
      </c>
      <c r="F49" s="12" t="s">
        <v>125</v>
      </c>
      <c r="G49" s="12" t="s">
        <v>126</v>
      </c>
      <c r="H49" s="12" t="s">
        <v>117</v>
      </c>
      <c r="I49" s="12" t="s">
        <v>118</v>
      </c>
      <c r="J49" s="12" t="s">
        <v>119</v>
      </c>
    </row>
    <row r="50" spans="1:10" ht="19.5" customHeight="1">
      <c r="A50" s="11">
        <v>49</v>
      </c>
      <c r="B50" s="13" t="s">
        <v>197</v>
      </c>
      <c r="C50" s="13" t="s">
        <v>208</v>
      </c>
      <c r="D50" s="11">
        <v>10439000</v>
      </c>
      <c r="E50" s="13" t="s">
        <v>30</v>
      </c>
      <c r="F50" s="13" t="s">
        <v>196</v>
      </c>
      <c r="G50" s="13" t="s">
        <v>198</v>
      </c>
      <c r="H50" s="13" t="s">
        <v>179</v>
      </c>
      <c r="I50" s="13" t="s">
        <v>180</v>
      </c>
      <c r="J50" s="13" t="s">
        <v>181</v>
      </c>
    </row>
    <row r="51" spans="1:10" ht="19.5" customHeight="1">
      <c r="A51" s="10">
        <v>50</v>
      </c>
      <c r="B51" s="12" t="s">
        <v>197</v>
      </c>
      <c r="C51" s="12" t="s">
        <v>209</v>
      </c>
      <c r="D51" s="10">
        <v>10857000</v>
      </c>
      <c r="E51" s="12" t="s">
        <v>30</v>
      </c>
      <c r="F51" s="12" t="s">
        <v>125</v>
      </c>
      <c r="G51" s="12" t="s">
        <v>126</v>
      </c>
      <c r="H51" s="12" t="s">
        <v>117</v>
      </c>
      <c r="I51" s="12" t="s">
        <v>118</v>
      </c>
      <c r="J51" s="12" t="s">
        <v>119</v>
      </c>
    </row>
    <row r="52" spans="1:10" ht="19.5" customHeight="1">
      <c r="A52" s="11">
        <v>51</v>
      </c>
      <c r="B52" s="13" t="s">
        <v>210</v>
      </c>
      <c r="C52" s="13" t="s">
        <v>211</v>
      </c>
      <c r="D52" s="11">
        <v>7348000</v>
      </c>
      <c r="E52" s="13" t="s">
        <v>30</v>
      </c>
      <c r="F52" s="13" t="s">
        <v>36</v>
      </c>
      <c r="G52" s="13" t="s">
        <v>37</v>
      </c>
      <c r="H52" s="13" t="s">
        <v>33</v>
      </c>
      <c r="I52" s="13" t="s">
        <v>34</v>
      </c>
      <c r="J52" s="13" t="s">
        <v>35</v>
      </c>
    </row>
    <row r="53" spans="1:10" ht="19.5" customHeight="1">
      <c r="A53" s="10">
        <v>52</v>
      </c>
      <c r="B53" s="12" t="s">
        <v>210</v>
      </c>
      <c r="C53" s="12" t="s">
        <v>212</v>
      </c>
      <c r="D53" s="10">
        <v>7348000</v>
      </c>
      <c r="E53" s="12" t="s">
        <v>30</v>
      </c>
      <c r="F53" s="12" t="s">
        <v>36</v>
      </c>
      <c r="G53" s="12" t="s">
        <v>37</v>
      </c>
      <c r="H53" s="12" t="s">
        <v>33</v>
      </c>
      <c r="I53" s="12" t="s">
        <v>34</v>
      </c>
      <c r="J53" s="12" t="s">
        <v>35</v>
      </c>
    </row>
    <row r="54" spans="1:10" ht="19.5" customHeight="1">
      <c r="A54" s="11">
        <v>53</v>
      </c>
      <c r="B54" s="13" t="s">
        <v>210</v>
      </c>
      <c r="C54" s="13" t="s">
        <v>214</v>
      </c>
      <c r="D54" s="11">
        <v>7348000</v>
      </c>
      <c r="E54" s="13" t="s">
        <v>30</v>
      </c>
      <c r="F54" s="13" t="s">
        <v>36</v>
      </c>
      <c r="G54" s="13" t="s">
        <v>37</v>
      </c>
      <c r="H54" s="13" t="s">
        <v>33</v>
      </c>
      <c r="I54" s="13" t="s">
        <v>34</v>
      </c>
      <c r="J54" s="13" t="s">
        <v>35</v>
      </c>
    </row>
    <row r="55" spans="1:10" ht="19.5" customHeight="1">
      <c r="A55" s="10">
        <v>54</v>
      </c>
      <c r="B55" s="12" t="s">
        <v>210</v>
      </c>
      <c r="C55" s="12" t="s">
        <v>218</v>
      </c>
      <c r="D55" s="10">
        <v>11022000</v>
      </c>
      <c r="E55" s="12" t="s">
        <v>30</v>
      </c>
      <c r="F55" s="12" t="s">
        <v>141</v>
      </c>
      <c r="G55" s="12" t="s">
        <v>241</v>
      </c>
      <c r="H55" s="12" t="s">
        <v>215</v>
      </c>
      <c r="I55" s="12" t="s">
        <v>216</v>
      </c>
      <c r="J55" s="12" t="s">
        <v>217</v>
      </c>
    </row>
    <row r="56" spans="1:10" ht="19.5" customHeight="1">
      <c r="A56" s="11">
        <v>55</v>
      </c>
      <c r="B56" s="13" t="s">
        <v>224</v>
      </c>
      <c r="C56" s="13" t="s">
        <v>225</v>
      </c>
      <c r="D56" s="11">
        <v>12046000</v>
      </c>
      <c r="E56" s="13" t="s">
        <v>30</v>
      </c>
      <c r="F56" s="13" t="s">
        <v>244</v>
      </c>
      <c r="G56" s="13" t="s">
        <v>245</v>
      </c>
      <c r="H56" s="13" t="s">
        <v>221</v>
      </c>
      <c r="I56" s="13" t="s">
        <v>222</v>
      </c>
      <c r="J56" s="13" t="s">
        <v>223</v>
      </c>
    </row>
    <row r="57" spans="1:10" ht="19.5" customHeight="1">
      <c r="A57" s="10">
        <v>56</v>
      </c>
      <c r="B57" s="12" t="s">
        <v>224</v>
      </c>
      <c r="C57" s="12" t="s">
        <v>226</v>
      </c>
      <c r="D57" s="10">
        <v>11463000</v>
      </c>
      <c r="E57" s="12" t="s">
        <v>30</v>
      </c>
      <c r="F57" s="12" t="s">
        <v>132</v>
      </c>
      <c r="G57" s="12" t="s">
        <v>134</v>
      </c>
      <c r="H57" s="12" t="s">
        <v>121</v>
      </c>
      <c r="I57" s="12" t="s">
        <v>122</v>
      </c>
      <c r="J57" s="12" t="s">
        <v>135</v>
      </c>
    </row>
    <row r="58" spans="1:10" ht="19.5" customHeight="1">
      <c r="A58" s="11">
        <v>57</v>
      </c>
      <c r="B58" s="13" t="s">
        <v>224</v>
      </c>
      <c r="C58" s="13" t="s">
        <v>230</v>
      </c>
      <c r="D58" s="11">
        <v>13227000</v>
      </c>
      <c r="E58" s="13" t="s">
        <v>30</v>
      </c>
      <c r="F58" s="13" t="s">
        <v>251</v>
      </c>
      <c r="G58" s="13" t="s">
        <v>252</v>
      </c>
      <c r="H58" s="13" t="s">
        <v>227</v>
      </c>
      <c r="I58" s="13" t="s">
        <v>253</v>
      </c>
      <c r="J58" s="13" t="s">
        <v>229</v>
      </c>
    </row>
    <row r="59" spans="1:10" ht="19.5" customHeight="1">
      <c r="A59" s="10">
        <v>58</v>
      </c>
      <c r="B59" s="12" t="s">
        <v>232</v>
      </c>
      <c r="C59" s="12" t="s">
        <v>233</v>
      </c>
      <c r="D59" s="10">
        <v>26355000</v>
      </c>
      <c r="E59" s="12" t="s">
        <v>30</v>
      </c>
      <c r="F59" s="12" t="s">
        <v>55</v>
      </c>
      <c r="G59" s="12" t="s">
        <v>57</v>
      </c>
      <c r="H59" s="12" t="s">
        <v>58</v>
      </c>
      <c r="I59" s="12" t="s">
        <v>59</v>
      </c>
      <c r="J59" s="12" t="s">
        <v>60</v>
      </c>
    </row>
    <row r="60" spans="1:10" ht="19.5" customHeight="1">
      <c r="A60" s="11">
        <v>59</v>
      </c>
      <c r="B60" s="13" t="s">
        <v>231</v>
      </c>
      <c r="C60" s="13" t="s">
        <v>27</v>
      </c>
      <c r="D60" s="11">
        <v>26355000</v>
      </c>
      <c r="E60" s="13" t="s">
        <v>30</v>
      </c>
      <c r="F60" s="13" t="s">
        <v>55</v>
      </c>
      <c r="G60" s="13" t="s">
        <v>57</v>
      </c>
      <c r="H60" s="13" t="s">
        <v>58</v>
      </c>
      <c r="I60" s="13" t="s">
        <v>59</v>
      </c>
      <c r="J60" s="13" t="s">
        <v>60</v>
      </c>
    </row>
    <row r="61" spans="1:10" ht="15.75" customHeight="1"/>
    <row r="62" spans="1:10" ht="15.75" customHeight="1"/>
    <row r="63" spans="1:10" ht="15.75" customHeight="1"/>
    <row r="64" spans="1:10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000"/>
  <sheetViews>
    <sheetView workbookViewId="0"/>
  </sheetViews>
  <sheetFormatPr baseColWidth="10" defaultColWidth="12.6640625" defaultRowHeight="15" customHeight="1"/>
  <cols>
    <col min="1" max="1" width="10.5" customWidth="1"/>
    <col min="2" max="2" width="35" customWidth="1"/>
    <col min="3" max="3" width="37.6640625" customWidth="1"/>
    <col min="4" max="4" width="10.5" customWidth="1"/>
    <col min="5" max="5" width="21" customWidth="1"/>
    <col min="6" max="6" width="23.6640625" customWidth="1"/>
    <col min="7" max="8" width="24.5" customWidth="1"/>
    <col min="9" max="9" width="40.1640625" customWidth="1"/>
    <col min="10" max="24" width="7.6640625" customWidth="1"/>
  </cols>
  <sheetData>
    <row r="1" spans="1:9" ht="27.7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</v>
      </c>
      <c r="G1" s="1" t="s">
        <v>9</v>
      </c>
      <c r="H1" s="1" t="s">
        <v>10</v>
      </c>
      <c r="I1" s="1" t="s">
        <v>11</v>
      </c>
    </row>
    <row r="2" spans="1:9" ht="19.5" customHeight="1">
      <c r="A2" s="4">
        <v>1</v>
      </c>
      <c r="B2" s="5" t="s">
        <v>19</v>
      </c>
      <c r="C2" s="5" t="s">
        <v>22</v>
      </c>
      <c r="D2" s="7" t="s">
        <v>23</v>
      </c>
      <c r="E2" s="4">
        <v>8230000</v>
      </c>
      <c r="F2" s="5" t="s">
        <v>24</v>
      </c>
      <c r="G2" s="5" t="s">
        <v>25</v>
      </c>
      <c r="H2" s="5" t="s">
        <v>26</v>
      </c>
      <c r="I2" s="4">
        <v>15000000</v>
      </c>
    </row>
    <row r="3" spans="1:9" ht="19.5" customHeight="1">
      <c r="A3" s="10">
        <v>2</v>
      </c>
      <c r="B3" s="12" t="s">
        <v>19</v>
      </c>
      <c r="C3" s="12" t="s">
        <v>29</v>
      </c>
      <c r="D3" s="14" t="s">
        <v>23</v>
      </c>
      <c r="E3" s="10">
        <v>7348000</v>
      </c>
      <c r="F3" s="12" t="s">
        <v>33</v>
      </c>
      <c r="G3" s="12" t="s">
        <v>34</v>
      </c>
      <c r="H3" s="12" t="s">
        <v>35</v>
      </c>
      <c r="I3" s="10">
        <v>15000000</v>
      </c>
    </row>
    <row r="4" spans="1:9" ht="19.5" customHeight="1">
      <c r="A4" s="4">
        <v>3</v>
      </c>
      <c r="B4" s="5" t="s">
        <v>19</v>
      </c>
      <c r="C4" s="5" t="s">
        <v>38</v>
      </c>
      <c r="D4" s="7" t="s">
        <v>23</v>
      </c>
      <c r="E4" s="4">
        <v>7642000</v>
      </c>
      <c r="F4" s="5" t="s">
        <v>39</v>
      </c>
      <c r="G4" s="5" t="s">
        <v>40</v>
      </c>
      <c r="H4" s="5" t="s">
        <v>42</v>
      </c>
      <c r="I4" s="4">
        <v>15000000</v>
      </c>
    </row>
    <row r="5" spans="1:9" ht="19.5" customHeight="1">
      <c r="A5" s="10">
        <v>4</v>
      </c>
      <c r="B5" s="12" t="s">
        <v>19</v>
      </c>
      <c r="C5" s="12" t="s">
        <v>43</v>
      </c>
      <c r="D5" s="14" t="s">
        <v>23</v>
      </c>
      <c r="E5" s="10">
        <v>7642000</v>
      </c>
      <c r="F5" s="12" t="s">
        <v>39</v>
      </c>
      <c r="G5" s="12" t="s">
        <v>46</v>
      </c>
      <c r="H5" s="12" t="s">
        <v>42</v>
      </c>
      <c r="I5" s="10">
        <v>15000000</v>
      </c>
    </row>
    <row r="6" spans="1:9" ht="19.5" customHeight="1">
      <c r="A6" s="4">
        <v>5</v>
      </c>
      <c r="B6" s="5" t="s">
        <v>19</v>
      </c>
      <c r="C6" s="5" t="s">
        <v>47</v>
      </c>
      <c r="D6" s="7" t="s">
        <v>23</v>
      </c>
      <c r="E6" s="4">
        <v>8949000</v>
      </c>
      <c r="F6" s="5" t="s">
        <v>49</v>
      </c>
      <c r="G6" s="5" t="s">
        <v>50</v>
      </c>
      <c r="H6" s="5" t="s">
        <v>51</v>
      </c>
      <c r="I6" s="4">
        <v>15000000</v>
      </c>
    </row>
    <row r="7" spans="1:9" ht="19.5" customHeight="1">
      <c r="A7" s="10">
        <v>6</v>
      </c>
      <c r="B7" s="12" t="s">
        <v>53</v>
      </c>
      <c r="C7" s="12" t="s">
        <v>54</v>
      </c>
      <c r="D7" s="14" t="s">
        <v>23</v>
      </c>
      <c r="E7" s="10">
        <v>26355000</v>
      </c>
      <c r="F7" s="12" t="s">
        <v>58</v>
      </c>
      <c r="G7" s="12" t="s">
        <v>59</v>
      </c>
      <c r="H7" s="12" t="s">
        <v>60</v>
      </c>
      <c r="I7" s="10">
        <v>15000000</v>
      </c>
    </row>
    <row r="8" spans="1:9" ht="19.5" customHeight="1">
      <c r="A8" s="4">
        <v>7</v>
      </c>
      <c r="B8" s="5" t="s">
        <v>63</v>
      </c>
      <c r="C8" s="5" t="s">
        <v>64</v>
      </c>
      <c r="D8" s="7" t="s">
        <v>23</v>
      </c>
      <c r="E8" s="4">
        <v>7642000</v>
      </c>
      <c r="F8" s="5" t="s">
        <v>65</v>
      </c>
      <c r="G8" s="5" t="s">
        <v>46</v>
      </c>
      <c r="H8" s="5" t="s">
        <v>42</v>
      </c>
      <c r="I8" s="4">
        <v>5000000</v>
      </c>
    </row>
    <row r="9" spans="1:9" ht="19.5" customHeight="1">
      <c r="A9" s="10">
        <v>8</v>
      </c>
      <c r="B9" s="12" t="s">
        <v>67</v>
      </c>
      <c r="C9" s="12" t="s">
        <v>68</v>
      </c>
      <c r="D9" s="14" t="s">
        <v>23</v>
      </c>
      <c r="E9" s="10">
        <v>12238000</v>
      </c>
      <c r="F9" s="12" t="s">
        <v>69</v>
      </c>
      <c r="G9" s="12" t="s">
        <v>70</v>
      </c>
      <c r="H9" s="12" t="s">
        <v>71</v>
      </c>
      <c r="I9" s="10">
        <v>40000000</v>
      </c>
    </row>
    <row r="10" spans="1:9" ht="19.5" customHeight="1">
      <c r="A10" s="4">
        <v>9</v>
      </c>
      <c r="B10" s="5" t="s">
        <v>67</v>
      </c>
      <c r="C10" s="5" t="s">
        <v>74</v>
      </c>
      <c r="D10" s="7" t="s">
        <v>23</v>
      </c>
      <c r="E10" s="4">
        <v>11767000</v>
      </c>
      <c r="F10" s="5" t="s">
        <v>75</v>
      </c>
      <c r="G10" s="5" t="s">
        <v>76</v>
      </c>
      <c r="H10" s="5" t="s">
        <v>77</v>
      </c>
      <c r="I10" s="4">
        <v>40000000</v>
      </c>
    </row>
    <row r="11" spans="1:9" ht="19.5" customHeight="1">
      <c r="A11" s="10">
        <v>10</v>
      </c>
      <c r="B11" s="12" t="s">
        <v>67</v>
      </c>
      <c r="C11" s="12" t="s">
        <v>79</v>
      </c>
      <c r="D11" s="14" t="s">
        <v>23</v>
      </c>
      <c r="E11" s="10">
        <v>13650000</v>
      </c>
      <c r="F11" s="12" t="s">
        <v>81</v>
      </c>
      <c r="G11" s="12" t="s">
        <v>83</v>
      </c>
      <c r="H11" s="12" t="s">
        <v>86</v>
      </c>
      <c r="I11" s="10">
        <v>40000000</v>
      </c>
    </row>
    <row r="12" spans="1:9" ht="19.5" customHeight="1">
      <c r="A12" s="4">
        <v>11</v>
      </c>
      <c r="B12" s="5" t="s">
        <v>67</v>
      </c>
      <c r="C12" s="5" t="s">
        <v>87</v>
      </c>
      <c r="D12" s="7" t="s">
        <v>23</v>
      </c>
      <c r="E12" s="4">
        <v>13650000</v>
      </c>
      <c r="F12" s="5" t="s">
        <v>81</v>
      </c>
      <c r="G12" s="5" t="s">
        <v>83</v>
      </c>
      <c r="H12" s="5" t="s">
        <v>86</v>
      </c>
      <c r="I12" s="4">
        <v>40000000</v>
      </c>
    </row>
    <row r="13" spans="1:9" ht="19.5" customHeight="1">
      <c r="A13" s="10">
        <v>12</v>
      </c>
      <c r="B13" s="12" t="s">
        <v>67</v>
      </c>
      <c r="C13" s="12" t="s">
        <v>90</v>
      </c>
      <c r="D13" s="14" t="s">
        <v>23</v>
      </c>
      <c r="E13" s="10">
        <v>12709000</v>
      </c>
      <c r="F13" s="12" t="s">
        <v>91</v>
      </c>
      <c r="G13" s="12" t="s">
        <v>92</v>
      </c>
      <c r="H13" s="12" t="s">
        <v>93</v>
      </c>
      <c r="I13" s="10">
        <v>30000000</v>
      </c>
    </row>
    <row r="14" spans="1:9" ht="19.5" customHeight="1">
      <c r="A14" s="4">
        <v>13</v>
      </c>
      <c r="B14" s="5" t="s">
        <v>67</v>
      </c>
      <c r="C14" s="5" t="s">
        <v>13</v>
      </c>
      <c r="D14" s="7" t="s">
        <v>23</v>
      </c>
      <c r="E14" s="4">
        <v>11767000</v>
      </c>
      <c r="F14" s="5" t="s">
        <v>94</v>
      </c>
      <c r="G14" s="5" t="s">
        <v>76</v>
      </c>
      <c r="H14" s="5" t="s">
        <v>77</v>
      </c>
      <c r="I14" s="4">
        <v>30000000</v>
      </c>
    </row>
    <row r="15" spans="1:9" ht="19.5" customHeight="1">
      <c r="A15" s="10">
        <v>14</v>
      </c>
      <c r="B15" s="12" t="s">
        <v>67</v>
      </c>
      <c r="C15" s="12" t="s">
        <v>95</v>
      </c>
      <c r="D15" s="14" t="s">
        <v>23</v>
      </c>
      <c r="E15" s="10">
        <v>15343000</v>
      </c>
      <c r="F15" s="12" t="s">
        <v>100</v>
      </c>
      <c r="G15" s="12" t="s">
        <v>101</v>
      </c>
      <c r="H15" s="12" t="s">
        <v>102</v>
      </c>
      <c r="I15" s="10">
        <v>30000000</v>
      </c>
    </row>
    <row r="16" spans="1:9" ht="19.5" customHeight="1">
      <c r="A16" s="4">
        <v>15</v>
      </c>
      <c r="B16" s="5" t="s">
        <v>67</v>
      </c>
      <c r="C16" s="5" t="s">
        <v>103</v>
      </c>
      <c r="D16" s="7" t="s">
        <v>23</v>
      </c>
      <c r="E16" s="4">
        <v>11767000</v>
      </c>
      <c r="F16" s="5" t="s">
        <v>94</v>
      </c>
      <c r="G16" s="5" t="s">
        <v>76</v>
      </c>
      <c r="H16" s="5" t="s">
        <v>77</v>
      </c>
      <c r="I16" s="4">
        <v>30000000</v>
      </c>
    </row>
    <row r="17" spans="1:9" ht="19.5" customHeight="1">
      <c r="A17" s="10">
        <v>16</v>
      </c>
      <c r="B17" s="12" t="s">
        <v>67</v>
      </c>
      <c r="C17" s="12" t="s">
        <v>105</v>
      </c>
      <c r="D17" s="14" t="s">
        <v>23</v>
      </c>
      <c r="E17" s="10">
        <v>13650000</v>
      </c>
      <c r="F17" s="12" t="s">
        <v>81</v>
      </c>
      <c r="G17" s="12" t="s">
        <v>83</v>
      </c>
      <c r="H17" s="12" t="s">
        <v>108</v>
      </c>
      <c r="I17" s="10">
        <v>30000000</v>
      </c>
    </row>
    <row r="18" spans="1:9" ht="19.5" customHeight="1">
      <c r="A18" s="4">
        <v>17</v>
      </c>
      <c r="B18" s="5" t="s">
        <v>67</v>
      </c>
      <c r="C18" s="5" t="s">
        <v>110</v>
      </c>
      <c r="D18" s="7" t="s">
        <v>23</v>
      </c>
      <c r="E18" s="4">
        <v>11767000</v>
      </c>
      <c r="F18" s="5" t="s">
        <v>94</v>
      </c>
      <c r="G18" s="5" t="s">
        <v>76</v>
      </c>
      <c r="H18" s="5" t="s">
        <v>77</v>
      </c>
      <c r="I18" s="4">
        <v>50000000</v>
      </c>
    </row>
    <row r="19" spans="1:9" ht="19.5" customHeight="1">
      <c r="A19" s="10">
        <v>18</v>
      </c>
      <c r="B19" s="12" t="s">
        <v>67</v>
      </c>
      <c r="C19" s="12" t="s">
        <v>112</v>
      </c>
      <c r="D19" s="14" t="s">
        <v>23</v>
      </c>
      <c r="E19" s="10">
        <v>13650000</v>
      </c>
      <c r="F19" s="12" t="s">
        <v>81</v>
      </c>
      <c r="G19" s="12" t="s">
        <v>83</v>
      </c>
      <c r="H19" s="12" t="s">
        <v>86</v>
      </c>
      <c r="I19" s="10">
        <v>50000000</v>
      </c>
    </row>
    <row r="20" spans="1:9" ht="19.5" customHeight="1">
      <c r="A20" s="4">
        <v>19</v>
      </c>
      <c r="B20" s="5" t="s">
        <v>115</v>
      </c>
      <c r="C20" s="5" t="s">
        <v>116</v>
      </c>
      <c r="D20" s="7" t="s">
        <v>23</v>
      </c>
      <c r="E20" s="4">
        <v>10857000</v>
      </c>
      <c r="F20" s="5" t="s">
        <v>117</v>
      </c>
      <c r="G20" s="5" t="s">
        <v>118</v>
      </c>
      <c r="H20" s="5" t="s">
        <v>119</v>
      </c>
      <c r="I20" s="4">
        <v>15000000</v>
      </c>
    </row>
    <row r="21" spans="1:9" ht="19.5" customHeight="1">
      <c r="A21" s="10">
        <v>20</v>
      </c>
      <c r="B21" s="12" t="s">
        <v>115</v>
      </c>
      <c r="C21" s="12" t="s">
        <v>120</v>
      </c>
      <c r="D21" s="14" t="s">
        <v>23</v>
      </c>
      <c r="E21" s="10">
        <v>11463000</v>
      </c>
      <c r="F21" s="12" t="s">
        <v>121</v>
      </c>
      <c r="G21" s="12" t="s">
        <v>122</v>
      </c>
      <c r="H21" s="12" t="s">
        <v>123</v>
      </c>
      <c r="I21" s="10">
        <v>15000000</v>
      </c>
    </row>
    <row r="22" spans="1:9" ht="19.5" customHeight="1">
      <c r="A22" s="4">
        <v>21</v>
      </c>
      <c r="B22" s="5" t="s">
        <v>115</v>
      </c>
      <c r="C22" s="5" t="s">
        <v>124</v>
      </c>
      <c r="D22" s="7" t="s">
        <v>23</v>
      </c>
      <c r="E22" s="4">
        <v>10857000</v>
      </c>
      <c r="F22" s="5" t="s">
        <v>117</v>
      </c>
      <c r="G22" s="5" t="s">
        <v>118</v>
      </c>
      <c r="H22" s="5" t="s">
        <v>119</v>
      </c>
      <c r="I22" s="4">
        <v>15000000</v>
      </c>
    </row>
    <row r="23" spans="1:9" ht="19.5" customHeight="1">
      <c r="A23" s="10">
        <v>22</v>
      </c>
      <c r="B23" s="12" t="s">
        <v>115</v>
      </c>
      <c r="C23" s="12" t="s">
        <v>127</v>
      </c>
      <c r="D23" s="14" t="s">
        <v>23</v>
      </c>
      <c r="E23" s="10">
        <v>11055000</v>
      </c>
      <c r="F23" s="12" t="s">
        <v>128</v>
      </c>
      <c r="G23" s="12" t="s">
        <v>129</v>
      </c>
      <c r="H23" s="12" t="s">
        <v>130</v>
      </c>
      <c r="I23" s="10">
        <v>15000000</v>
      </c>
    </row>
    <row r="24" spans="1:9" ht="19.5" customHeight="1">
      <c r="A24" s="4">
        <v>23</v>
      </c>
      <c r="B24" s="5" t="s">
        <v>115</v>
      </c>
      <c r="C24" s="5" t="s">
        <v>131</v>
      </c>
      <c r="D24" s="7" t="s">
        <v>23</v>
      </c>
      <c r="E24" s="4">
        <v>11463000</v>
      </c>
      <c r="F24" s="5" t="s">
        <v>133</v>
      </c>
      <c r="G24" s="5" t="s">
        <v>122</v>
      </c>
      <c r="H24" s="5" t="s">
        <v>135</v>
      </c>
      <c r="I24" s="4">
        <v>15000000</v>
      </c>
    </row>
    <row r="25" spans="1:9" ht="19.5" customHeight="1">
      <c r="A25" s="10">
        <v>24</v>
      </c>
      <c r="B25" s="12" t="s">
        <v>115</v>
      </c>
      <c r="C25" s="12" t="s">
        <v>136</v>
      </c>
      <c r="D25" s="14" t="s">
        <v>23</v>
      </c>
      <c r="E25" s="10">
        <v>10857000</v>
      </c>
      <c r="F25" s="12" t="s">
        <v>117</v>
      </c>
      <c r="G25" s="12" t="s">
        <v>118</v>
      </c>
      <c r="H25" s="12" t="s">
        <v>119</v>
      </c>
      <c r="I25" s="10">
        <v>15000000</v>
      </c>
    </row>
    <row r="26" spans="1:9" ht="19.5" customHeight="1">
      <c r="A26" s="4">
        <v>25</v>
      </c>
      <c r="B26" s="5" t="s">
        <v>115</v>
      </c>
      <c r="C26" s="5" t="s">
        <v>137</v>
      </c>
      <c r="D26" s="7" t="s">
        <v>23</v>
      </c>
      <c r="E26" s="4">
        <v>14814000</v>
      </c>
      <c r="F26" s="5" t="s">
        <v>138</v>
      </c>
      <c r="G26" s="5" t="s">
        <v>139</v>
      </c>
      <c r="H26" s="5" t="s">
        <v>140</v>
      </c>
      <c r="I26" s="4">
        <v>15000000</v>
      </c>
    </row>
    <row r="27" spans="1:9" ht="19.5" customHeight="1">
      <c r="A27" s="10">
        <v>26</v>
      </c>
      <c r="B27" s="12" t="s">
        <v>115</v>
      </c>
      <c r="C27" s="12" t="s">
        <v>144</v>
      </c>
      <c r="D27" s="14" t="s">
        <v>23</v>
      </c>
      <c r="E27" s="10">
        <v>14814000</v>
      </c>
      <c r="F27" s="12" t="s">
        <v>138</v>
      </c>
      <c r="G27" s="12" t="s">
        <v>139</v>
      </c>
      <c r="H27" s="12" t="s">
        <v>140</v>
      </c>
      <c r="I27" s="10">
        <v>15000000</v>
      </c>
    </row>
    <row r="28" spans="1:9" ht="19.5" customHeight="1">
      <c r="A28" s="4">
        <v>27</v>
      </c>
      <c r="B28" s="5" t="s">
        <v>115</v>
      </c>
      <c r="C28" s="5" t="s">
        <v>146</v>
      </c>
      <c r="D28" s="7" t="s">
        <v>23</v>
      </c>
      <c r="E28" s="4">
        <v>7348000</v>
      </c>
      <c r="F28" s="5" t="s">
        <v>33</v>
      </c>
      <c r="G28" s="5" t="s">
        <v>34</v>
      </c>
      <c r="H28" s="5" t="s">
        <v>35</v>
      </c>
      <c r="I28" s="4">
        <v>15000000</v>
      </c>
    </row>
    <row r="29" spans="1:9" ht="19.5" customHeight="1">
      <c r="A29" s="10">
        <v>28</v>
      </c>
      <c r="B29" s="12" t="s">
        <v>115</v>
      </c>
      <c r="C29" s="12" t="s">
        <v>147</v>
      </c>
      <c r="D29" s="14" t="s">
        <v>23</v>
      </c>
      <c r="E29" s="10">
        <v>7348000</v>
      </c>
      <c r="F29" s="12" t="s">
        <v>33</v>
      </c>
      <c r="G29" s="12" t="s">
        <v>34</v>
      </c>
      <c r="H29" s="12" t="s">
        <v>35</v>
      </c>
      <c r="I29" s="10">
        <v>15000000</v>
      </c>
    </row>
    <row r="30" spans="1:9" ht="19.5" customHeight="1">
      <c r="A30" s="4">
        <v>29</v>
      </c>
      <c r="B30" s="5" t="s">
        <v>149</v>
      </c>
      <c r="C30" s="5" t="s">
        <v>151</v>
      </c>
      <c r="D30" s="7" t="s">
        <v>23</v>
      </c>
      <c r="E30" s="4">
        <v>7348000</v>
      </c>
      <c r="F30" s="5" t="s">
        <v>33</v>
      </c>
      <c r="G30" s="5" t="s">
        <v>34</v>
      </c>
      <c r="H30" s="5" t="s">
        <v>35</v>
      </c>
      <c r="I30" s="4">
        <v>5000000</v>
      </c>
    </row>
    <row r="31" spans="1:9" ht="19.5" customHeight="1">
      <c r="A31" s="10">
        <v>30</v>
      </c>
      <c r="B31" s="12" t="s">
        <v>149</v>
      </c>
      <c r="C31" s="12" t="s">
        <v>152</v>
      </c>
      <c r="D31" s="14" t="s">
        <v>23</v>
      </c>
      <c r="E31" s="10">
        <v>10857000</v>
      </c>
      <c r="F31" s="12" t="s">
        <v>117</v>
      </c>
      <c r="G31" s="12" t="s">
        <v>118</v>
      </c>
      <c r="H31" s="12" t="s">
        <v>119</v>
      </c>
      <c r="I31" s="10">
        <v>5000000</v>
      </c>
    </row>
    <row r="32" spans="1:9" ht="19.5" customHeight="1">
      <c r="A32" s="4">
        <v>31</v>
      </c>
      <c r="B32" s="5" t="s">
        <v>149</v>
      </c>
      <c r="C32" s="5" t="s">
        <v>153</v>
      </c>
      <c r="D32" s="7" t="s">
        <v>23</v>
      </c>
      <c r="E32" s="4">
        <v>7348000</v>
      </c>
      <c r="F32" s="5" t="s">
        <v>33</v>
      </c>
      <c r="G32" s="5" t="s">
        <v>34</v>
      </c>
      <c r="H32" s="5" t="s">
        <v>35</v>
      </c>
      <c r="I32" s="4">
        <v>5000000</v>
      </c>
    </row>
    <row r="33" spans="1:9" ht="19.5" customHeight="1">
      <c r="A33" s="10">
        <v>32</v>
      </c>
      <c r="B33" s="12" t="s">
        <v>149</v>
      </c>
      <c r="C33" s="12" t="s">
        <v>155</v>
      </c>
      <c r="D33" s="14" t="s">
        <v>23</v>
      </c>
      <c r="E33" s="10">
        <v>11463000</v>
      </c>
      <c r="F33" s="12" t="s">
        <v>121</v>
      </c>
      <c r="G33" s="12" t="s">
        <v>122</v>
      </c>
      <c r="H33" s="12" t="s">
        <v>135</v>
      </c>
      <c r="I33" s="10">
        <v>5000000</v>
      </c>
    </row>
    <row r="34" spans="1:9" ht="19.5" customHeight="1">
      <c r="A34" s="4">
        <v>33</v>
      </c>
      <c r="B34" s="5" t="s">
        <v>149</v>
      </c>
      <c r="C34" s="5" t="s">
        <v>156</v>
      </c>
      <c r="D34" s="7" t="s">
        <v>23</v>
      </c>
      <c r="E34" s="4">
        <v>8450000</v>
      </c>
      <c r="F34" s="5" t="s">
        <v>157</v>
      </c>
      <c r="G34" s="5" t="s">
        <v>158</v>
      </c>
      <c r="H34" s="5" t="s">
        <v>159</v>
      </c>
      <c r="I34" s="4">
        <v>5000000</v>
      </c>
    </row>
    <row r="35" spans="1:9" ht="19.5" customHeight="1">
      <c r="A35" s="10">
        <v>34</v>
      </c>
      <c r="B35" s="12" t="s">
        <v>149</v>
      </c>
      <c r="C35" s="12" t="s">
        <v>160</v>
      </c>
      <c r="D35" s="14" t="s">
        <v>23</v>
      </c>
      <c r="E35" s="10">
        <v>9553000</v>
      </c>
      <c r="F35" s="12" t="s">
        <v>161</v>
      </c>
      <c r="G35" s="12" t="s">
        <v>162</v>
      </c>
      <c r="H35" s="12" t="s">
        <v>163</v>
      </c>
      <c r="I35" s="10">
        <v>5000000</v>
      </c>
    </row>
    <row r="36" spans="1:9" ht="19.5" customHeight="1">
      <c r="A36" s="4">
        <v>35</v>
      </c>
      <c r="B36" s="5" t="s">
        <v>149</v>
      </c>
      <c r="C36" s="5" t="s">
        <v>164</v>
      </c>
      <c r="D36" s="7" t="s">
        <v>23</v>
      </c>
      <c r="E36" s="4">
        <v>9553000</v>
      </c>
      <c r="F36" s="5" t="s">
        <v>161</v>
      </c>
      <c r="G36" s="5" t="s">
        <v>165</v>
      </c>
      <c r="H36" s="5" t="s">
        <v>163</v>
      </c>
      <c r="I36" s="4">
        <v>5000000</v>
      </c>
    </row>
    <row r="37" spans="1:9" ht="19.5" customHeight="1">
      <c r="A37" s="10">
        <v>36</v>
      </c>
      <c r="B37" s="12" t="s">
        <v>149</v>
      </c>
      <c r="C37" s="12" t="s">
        <v>166</v>
      </c>
      <c r="D37" s="14" t="s">
        <v>23</v>
      </c>
      <c r="E37" s="10">
        <v>12227000</v>
      </c>
      <c r="F37" s="12" t="s">
        <v>167</v>
      </c>
      <c r="G37" s="12" t="s">
        <v>168</v>
      </c>
      <c r="H37" s="12" t="s">
        <v>169</v>
      </c>
      <c r="I37" s="10">
        <v>5000000</v>
      </c>
    </row>
    <row r="38" spans="1:9" ht="19.5" customHeight="1">
      <c r="A38" s="4">
        <v>37</v>
      </c>
      <c r="B38" s="5" t="s">
        <v>149</v>
      </c>
      <c r="C38" s="5" t="s">
        <v>170</v>
      </c>
      <c r="D38" s="7" t="s">
        <v>23</v>
      </c>
      <c r="E38" s="4">
        <v>12463000</v>
      </c>
      <c r="F38" s="5" t="s">
        <v>121</v>
      </c>
      <c r="G38" s="5" t="s">
        <v>122</v>
      </c>
      <c r="H38" s="5" t="s">
        <v>135</v>
      </c>
      <c r="I38" s="4">
        <v>5000000</v>
      </c>
    </row>
    <row r="39" spans="1:9" ht="19.5" customHeight="1">
      <c r="A39" s="10">
        <v>38</v>
      </c>
      <c r="B39" s="12" t="s">
        <v>149</v>
      </c>
      <c r="C39" s="12" t="s">
        <v>171</v>
      </c>
      <c r="D39" s="14" t="s">
        <v>23</v>
      </c>
      <c r="E39" s="12" t="s">
        <v>172</v>
      </c>
      <c r="F39" s="12" t="s">
        <v>121</v>
      </c>
      <c r="G39" s="12" t="s">
        <v>173</v>
      </c>
      <c r="H39" s="12"/>
      <c r="I39" s="10">
        <v>5000000</v>
      </c>
    </row>
    <row r="40" spans="1:9" ht="19.5" customHeight="1">
      <c r="A40" s="4">
        <v>39</v>
      </c>
      <c r="B40" s="5" t="s">
        <v>149</v>
      </c>
      <c r="C40" s="5" t="s">
        <v>174</v>
      </c>
      <c r="D40" s="7" t="s">
        <v>23</v>
      </c>
      <c r="E40" s="4">
        <v>11463000</v>
      </c>
      <c r="F40" s="5" t="s">
        <v>175</v>
      </c>
      <c r="G40" s="5"/>
      <c r="H40" s="5"/>
      <c r="I40" s="4">
        <v>5000000</v>
      </c>
    </row>
    <row r="41" spans="1:9" ht="19.5" customHeight="1">
      <c r="A41" s="10">
        <v>40</v>
      </c>
      <c r="B41" s="12" t="s">
        <v>149</v>
      </c>
      <c r="C41" s="12" t="s">
        <v>178</v>
      </c>
      <c r="D41" s="14" t="s">
        <v>23</v>
      </c>
      <c r="E41" s="10">
        <v>10439000</v>
      </c>
      <c r="F41" s="12" t="s">
        <v>179</v>
      </c>
      <c r="G41" s="12" t="s">
        <v>180</v>
      </c>
      <c r="H41" s="12" t="s">
        <v>181</v>
      </c>
      <c r="I41" s="10">
        <v>5000000</v>
      </c>
    </row>
    <row r="42" spans="1:9" ht="19.5" customHeight="1">
      <c r="A42" s="4">
        <v>41</v>
      </c>
      <c r="B42" s="5" t="s">
        <v>149</v>
      </c>
      <c r="C42" s="5" t="s">
        <v>182</v>
      </c>
      <c r="D42" s="7" t="s">
        <v>23</v>
      </c>
      <c r="E42" s="4">
        <v>7642000</v>
      </c>
      <c r="F42" s="5" t="s">
        <v>39</v>
      </c>
      <c r="G42" s="5" t="s">
        <v>46</v>
      </c>
      <c r="H42" s="5" t="s">
        <v>42</v>
      </c>
      <c r="I42" s="4">
        <v>5000000</v>
      </c>
    </row>
    <row r="43" spans="1:9" ht="19.5" customHeight="1">
      <c r="A43" s="10">
        <v>42</v>
      </c>
      <c r="B43" s="12" t="s">
        <v>149</v>
      </c>
      <c r="C43" s="12" t="s">
        <v>185</v>
      </c>
      <c r="D43" s="14" t="s">
        <v>23</v>
      </c>
      <c r="E43" s="10">
        <v>7348000</v>
      </c>
      <c r="F43" s="12" t="s">
        <v>187</v>
      </c>
      <c r="G43" s="12" t="s">
        <v>34</v>
      </c>
      <c r="H43" s="12" t="s">
        <v>35</v>
      </c>
      <c r="I43" s="10">
        <v>5000000</v>
      </c>
    </row>
    <row r="44" spans="1:9" ht="19.5" customHeight="1">
      <c r="A44" s="4">
        <v>43</v>
      </c>
      <c r="B44" s="5" t="s">
        <v>149</v>
      </c>
      <c r="C44" s="5" t="s">
        <v>188</v>
      </c>
      <c r="D44" s="7" t="s">
        <v>23</v>
      </c>
      <c r="E44" s="4">
        <v>8450000</v>
      </c>
      <c r="F44" s="5" t="s">
        <v>159</v>
      </c>
      <c r="G44" s="5"/>
      <c r="H44" s="5"/>
      <c r="I44" s="4">
        <v>5000000</v>
      </c>
    </row>
    <row r="45" spans="1:9" ht="19.5" customHeight="1">
      <c r="A45" s="10">
        <v>44</v>
      </c>
      <c r="B45" s="12" t="s">
        <v>149</v>
      </c>
      <c r="C45" s="12" t="s">
        <v>190</v>
      </c>
      <c r="D45" s="14" t="s">
        <v>23</v>
      </c>
      <c r="E45" s="12" t="s">
        <v>191</v>
      </c>
      <c r="F45" s="12" t="s">
        <v>157</v>
      </c>
      <c r="G45" s="12" t="s">
        <v>158</v>
      </c>
      <c r="H45" s="12"/>
      <c r="I45" s="10">
        <v>5000000</v>
      </c>
    </row>
    <row r="46" spans="1:9" ht="19.5" customHeight="1">
      <c r="A46" s="4">
        <v>45</v>
      </c>
      <c r="B46" s="5" t="s">
        <v>149</v>
      </c>
      <c r="C46" s="5" t="s">
        <v>192</v>
      </c>
      <c r="D46" s="7" t="s">
        <v>23</v>
      </c>
      <c r="E46" s="4">
        <v>26355000</v>
      </c>
      <c r="F46" s="5" t="s">
        <v>58</v>
      </c>
      <c r="G46" s="5" t="s">
        <v>59</v>
      </c>
      <c r="H46" s="5" t="s">
        <v>60</v>
      </c>
      <c r="I46" s="4">
        <v>5000000</v>
      </c>
    </row>
    <row r="47" spans="1:9" ht="19.5" customHeight="1">
      <c r="A47" s="10">
        <v>46</v>
      </c>
      <c r="B47" s="12" t="s">
        <v>193</v>
      </c>
      <c r="C47" s="12" t="s">
        <v>194</v>
      </c>
      <c r="D47" s="14" t="s">
        <v>23</v>
      </c>
      <c r="E47" s="10">
        <v>8450000</v>
      </c>
      <c r="F47" s="12" t="s">
        <v>157</v>
      </c>
      <c r="G47" s="12" t="s">
        <v>158</v>
      </c>
      <c r="H47" s="12" t="s">
        <v>159</v>
      </c>
      <c r="I47" s="10">
        <v>250000000</v>
      </c>
    </row>
    <row r="48" spans="1:9" ht="19.5" customHeight="1">
      <c r="A48" s="4">
        <v>47</v>
      </c>
      <c r="B48" s="5" t="s">
        <v>193</v>
      </c>
      <c r="C48" s="5" t="s">
        <v>195</v>
      </c>
      <c r="D48" s="7" t="s">
        <v>23</v>
      </c>
      <c r="E48" s="4">
        <v>12227000</v>
      </c>
      <c r="F48" s="5" t="s">
        <v>167</v>
      </c>
      <c r="G48" s="5" t="s">
        <v>168</v>
      </c>
      <c r="H48" s="5" t="s">
        <v>169</v>
      </c>
      <c r="I48" s="4">
        <v>30000000</v>
      </c>
    </row>
    <row r="49" spans="1:9" ht="19.5" customHeight="1">
      <c r="A49" s="10">
        <v>48</v>
      </c>
      <c r="B49" s="12" t="s">
        <v>197</v>
      </c>
      <c r="C49" s="12" t="s">
        <v>28</v>
      </c>
      <c r="D49" s="14" t="s">
        <v>23</v>
      </c>
      <c r="E49" s="10">
        <v>25341000</v>
      </c>
      <c r="F49" s="12" t="s">
        <v>199</v>
      </c>
      <c r="G49" s="12" t="s">
        <v>200</v>
      </c>
      <c r="H49" s="12" t="s">
        <v>201</v>
      </c>
      <c r="I49" s="10">
        <v>5000000</v>
      </c>
    </row>
    <row r="50" spans="1:9" ht="19.5" customHeight="1">
      <c r="A50" s="4">
        <v>49</v>
      </c>
      <c r="B50" s="5" t="s">
        <v>197</v>
      </c>
      <c r="C50" s="5" t="s">
        <v>202</v>
      </c>
      <c r="D50" s="7" t="s">
        <v>23</v>
      </c>
      <c r="E50" s="4">
        <v>12227000</v>
      </c>
      <c r="F50" s="5" t="s">
        <v>167</v>
      </c>
      <c r="G50" s="5" t="s">
        <v>168</v>
      </c>
      <c r="H50" s="5" t="s">
        <v>169</v>
      </c>
      <c r="I50" s="4">
        <v>30000000</v>
      </c>
    </row>
    <row r="51" spans="1:9" ht="19.5" customHeight="1">
      <c r="A51" s="10">
        <v>50</v>
      </c>
      <c r="B51" s="12" t="s">
        <v>197</v>
      </c>
      <c r="C51" s="12" t="s">
        <v>203</v>
      </c>
      <c r="D51" s="14" t="s">
        <v>23</v>
      </c>
      <c r="E51" s="10">
        <v>12227000</v>
      </c>
      <c r="F51" s="12" t="s">
        <v>167</v>
      </c>
      <c r="G51" s="12" t="s">
        <v>168</v>
      </c>
      <c r="H51" s="12" t="s">
        <v>169</v>
      </c>
      <c r="I51" s="10">
        <v>5000000</v>
      </c>
    </row>
    <row r="52" spans="1:9" ht="19.5" customHeight="1">
      <c r="A52" s="4">
        <v>51</v>
      </c>
      <c r="B52" s="5" t="s">
        <v>197</v>
      </c>
      <c r="C52" s="5" t="s">
        <v>204</v>
      </c>
      <c r="D52" s="7" t="s">
        <v>23</v>
      </c>
      <c r="E52" s="4">
        <v>10857000</v>
      </c>
      <c r="F52" s="5" t="s">
        <v>117</v>
      </c>
      <c r="G52" s="5" t="s">
        <v>118</v>
      </c>
      <c r="H52" s="5" t="s">
        <v>119</v>
      </c>
      <c r="I52" s="4">
        <v>5000000</v>
      </c>
    </row>
    <row r="53" spans="1:9" ht="19.5" customHeight="1">
      <c r="A53" s="10">
        <v>52</v>
      </c>
      <c r="B53" s="12" t="s">
        <v>197</v>
      </c>
      <c r="C53" s="12" t="s">
        <v>206</v>
      </c>
      <c r="D53" s="14" t="s">
        <v>23</v>
      </c>
      <c r="E53" s="10">
        <v>10439000</v>
      </c>
      <c r="F53" s="12" t="s">
        <v>179</v>
      </c>
      <c r="G53" s="12" t="s">
        <v>180</v>
      </c>
      <c r="H53" s="12" t="s">
        <v>181</v>
      </c>
      <c r="I53" s="10">
        <v>5000000</v>
      </c>
    </row>
    <row r="54" spans="1:9" ht="19.5" customHeight="1">
      <c r="A54" s="4">
        <v>53</v>
      </c>
      <c r="B54" s="5" t="s">
        <v>197</v>
      </c>
      <c r="C54" s="5" t="s">
        <v>208</v>
      </c>
      <c r="D54" s="7" t="s">
        <v>23</v>
      </c>
      <c r="E54" s="4">
        <v>10857000</v>
      </c>
      <c r="F54" s="5" t="s">
        <v>117</v>
      </c>
      <c r="G54" s="5" t="s">
        <v>118</v>
      </c>
      <c r="H54" s="5" t="s">
        <v>119</v>
      </c>
      <c r="I54" s="4">
        <v>10000000</v>
      </c>
    </row>
    <row r="55" spans="1:9" ht="19.5" customHeight="1">
      <c r="A55" s="10">
        <v>54</v>
      </c>
      <c r="B55" s="12" t="s">
        <v>197</v>
      </c>
      <c r="C55" s="12" t="s">
        <v>209</v>
      </c>
      <c r="D55" s="14" t="s">
        <v>23</v>
      </c>
      <c r="E55" s="10">
        <v>7348000</v>
      </c>
      <c r="F55" s="12" t="s">
        <v>33</v>
      </c>
      <c r="G55" s="12" t="s">
        <v>34</v>
      </c>
      <c r="H55" s="12" t="s">
        <v>35</v>
      </c>
      <c r="I55" s="10">
        <v>25000000</v>
      </c>
    </row>
    <row r="56" spans="1:9" ht="19.5" customHeight="1">
      <c r="A56" s="4">
        <v>55</v>
      </c>
      <c r="B56" s="5" t="s">
        <v>210</v>
      </c>
      <c r="C56" s="5" t="s">
        <v>211</v>
      </c>
      <c r="D56" s="7" t="s">
        <v>23</v>
      </c>
      <c r="E56" s="4">
        <v>7348000</v>
      </c>
      <c r="F56" s="5" t="s">
        <v>33</v>
      </c>
      <c r="G56" s="5" t="s">
        <v>34</v>
      </c>
      <c r="H56" s="5" t="s">
        <v>35</v>
      </c>
      <c r="I56" s="4">
        <v>5000000</v>
      </c>
    </row>
    <row r="57" spans="1:9" ht="19.5" customHeight="1">
      <c r="A57" s="10">
        <v>56</v>
      </c>
      <c r="B57" s="12" t="s">
        <v>210</v>
      </c>
      <c r="C57" s="12" t="s">
        <v>212</v>
      </c>
      <c r="D57" s="14" t="s">
        <v>23</v>
      </c>
      <c r="E57" s="10">
        <v>7348000</v>
      </c>
      <c r="F57" s="12" t="s">
        <v>33</v>
      </c>
      <c r="G57" s="12" t="s">
        <v>34</v>
      </c>
      <c r="H57" s="12" t="s">
        <v>35</v>
      </c>
      <c r="I57" s="10">
        <v>5000000</v>
      </c>
    </row>
    <row r="58" spans="1:9" ht="19.5" customHeight="1">
      <c r="A58" s="4">
        <v>57</v>
      </c>
      <c r="B58" s="5" t="s">
        <v>210</v>
      </c>
      <c r="C58" s="5" t="s">
        <v>214</v>
      </c>
      <c r="D58" s="7" t="s">
        <v>23</v>
      </c>
      <c r="E58" s="4">
        <v>11022000</v>
      </c>
      <c r="F58" s="5" t="s">
        <v>215</v>
      </c>
      <c r="G58" s="5" t="s">
        <v>216</v>
      </c>
      <c r="H58" s="5" t="s">
        <v>217</v>
      </c>
      <c r="I58" s="4">
        <v>5000000</v>
      </c>
    </row>
    <row r="59" spans="1:9" ht="19.5" customHeight="1">
      <c r="A59" s="10">
        <v>58</v>
      </c>
      <c r="B59" s="12" t="s">
        <v>210</v>
      </c>
      <c r="C59" s="12" t="s">
        <v>218</v>
      </c>
      <c r="D59" s="14" t="s">
        <v>23</v>
      </c>
      <c r="E59" s="10">
        <v>12046000</v>
      </c>
      <c r="F59" s="12" t="s">
        <v>221</v>
      </c>
      <c r="G59" s="12" t="s">
        <v>222</v>
      </c>
      <c r="H59" s="12" t="s">
        <v>223</v>
      </c>
      <c r="I59" s="10">
        <v>5000000</v>
      </c>
    </row>
    <row r="60" spans="1:9" ht="19.5" customHeight="1">
      <c r="A60" s="4">
        <v>59</v>
      </c>
      <c r="B60" s="5" t="s">
        <v>224</v>
      </c>
      <c r="C60" s="5" t="s">
        <v>225</v>
      </c>
      <c r="D60" s="7" t="s">
        <v>23</v>
      </c>
      <c r="E60" s="4">
        <v>11463000</v>
      </c>
      <c r="F60" s="5" t="s">
        <v>121</v>
      </c>
      <c r="G60" s="5" t="s">
        <v>122</v>
      </c>
      <c r="H60" s="5" t="s">
        <v>135</v>
      </c>
      <c r="I60" s="4">
        <v>6000000</v>
      </c>
    </row>
    <row r="61" spans="1:9" ht="19.5" customHeight="1">
      <c r="A61" s="10">
        <v>60</v>
      </c>
      <c r="B61" s="12" t="s">
        <v>224</v>
      </c>
      <c r="C61" s="12" t="s">
        <v>226</v>
      </c>
      <c r="D61" s="14" t="s">
        <v>23</v>
      </c>
      <c r="E61" s="10">
        <v>13227000</v>
      </c>
      <c r="F61" s="12" t="s">
        <v>227</v>
      </c>
      <c r="G61" s="12" t="s">
        <v>228</v>
      </c>
      <c r="H61" s="12" t="s">
        <v>229</v>
      </c>
      <c r="I61" s="10">
        <v>6000000</v>
      </c>
    </row>
    <row r="62" spans="1:9" ht="19.5" customHeight="1">
      <c r="A62" s="4">
        <v>61</v>
      </c>
      <c r="B62" s="5" t="s">
        <v>224</v>
      </c>
      <c r="C62" s="5" t="s">
        <v>230</v>
      </c>
      <c r="D62" s="7" t="s">
        <v>23</v>
      </c>
      <c r="E62" s="4">
        <v>26355000</v>
      </c>
      <c r="F62" s="5" t="s">
        <v>58</v>
      </c>
      <c r="G62" s="5" t="s">
        <v>59</v>
      </c>
      <c r="H62" s="5" t="s">
        <v>60</v>
      </c>
      <c r="I62" s="4">
        <v>6000000</v>
      </c>
    </row>
    <row r="63" spans="1:9" ht="19.5" customHeight="1">
      <c r="A63" s="10">
        <v>62</v>
      </c>
      <c r="B63" s="12" t="s">
        <v>231</v>
      </c>
      <c r="C63" s="12" t="s">
        <v>27</v>
      </c>
      <c r="D63" s="14" t="s">
        <v>23</v>
      </c>
      <c r="E63" s="10">
        <v>26355000</v>
      </c>
      <c r="F63" s="12" t="s">
        <v>58</v>
      </c>
      <c r="G63" s="12" t="s">
        <v>59</v>
      </c>
      <c r="H63" s="12" t="s">
        <v>60</v>
      </c>
      <c r="I63" s="10">
        <v>40000000</v>
      </c>
    </row>
    <row r="64" spans="1:9" ht="19.5" customHeight="1">
      <c r="A64" s="4">
        <v>63</v>
      </c>
      <c r="B64" s="5" t="s">
        <v>232</v>
      </c>
      <c r="C64" s="5" t="s">
        <v>233</v>
      </c>
      <c r="D64" s="7" t="s">
        <v>23</v>
      </c>
      <c r="E64" s="5"/>
      <c r="F64" s="5"/>
      <c r="G64" s="5"/>
      <c r="H64" s="5"/>
      <c r="I64" s="4">
        <v>250000000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00"/>
  <sheetViews>
    <sheetView workbookViewId="0"/>
  </sheetViews>
  <sheetFormatPr baseColWidth="10" defaultColWidth="12.6640625" defaultRowHeight="15" customHeight="1"/>
  <cols>
    <col min="1" max="1" width="10.5" customWidth="1"/>
    <col min="2" max="2" width="26.1640625" customWidth="1"/>
    <col min="3" max="3" width="21.83203125" customWidth="1"/>
    <col min="4" max="6" width="10.5" customWidth="1"/>
    <col min="7" max="7" width="32.33203125" customWidth="1"/>
    <col min="8" max="8" width="29.6640625" customWidth="1"/>
    <col min="9" max="26" width="7.6640625" customWidth="1"/>
  </cols>
  <sheetData>
    <row r="1" spans="1:8" ht="27.75" customHeight="1">
      <c r="A1" s="16" t="s">
        <v>0</v>
      </c>
      <c r="B1" s="16" t="s">
        <v>2</v>
      </c>
      <c r="C1" s="16" t="s">
        <v>3</v>
      </c>
      <c r="D1" s="16" t="s">
        <v>4</v>
      </c>
      <c r="E1" s="16" t="s">
        <v>8</v>
      </c>
      <c r="F1" s="16" t="s">
        <v>236</v>
      </c>
      <c r="G1" s="16" t="s">
        <v>237</v>
      </c>
      <c r="H1" s="16" t="s">
        <v>238</v>
      </c>
    </row>
    <row r="2" spans="1:8" ht="19.5" customHeight="1">
      <c r="A2" s="11">
        <v>1</v>
      </c>
      <c r="B2" s="13" t="s">
        <v>19</v>
      </c>
      <c r="C2" s="13" t="s">
        <v>22</v>
      </c>
      <c r="D2" s="17" t="s">
        <v>240</v>
      </c>
      <c r="E2" s="17" t="s">
        <v>242</v>
      </c>
      <c r="F2" s="17" t="s">
        <v>243</v>
      </c>
      <c r="G2" s="11">
        <v>2500000</v>
      </c>
      <c r="H2" s="11">
        <v>5000000</v>
      </c>
    </row>
    <row r="3" spans="1:8" ht="19.5" customHeight="1">
      <c r="A3" s="10">
        <v>2</v>
      </c>
      <c r="B3" s="12" t="s">
        <v>19</v>
      </c>
      <c r="C3" s="12" t="s">
        <v>246</v>
      </c>
      <c r="D3" s="14" t="s">
        <v>240</v>
      </c>
      <c r="E3" s="14" t="s">
        <v>242</v>
      </c>
      <c r="F3" s="14" t="s">
        <v>243</v>
      </c>
      <c r="G3" s="10">
        <v>2500000</v>
      </c>
      <c r="H3" s="10">
        <v>5000000</v>
      </c>
    </row>
    <row r="4" spans="1:8" ht="19.5" customHeight="1">
      <c r="A4" s="11">
        <v>3</v>
      </c>
      <c r="B4" s="13" t="s">
        <v>19</v>
      </c>
      <c r="C4" s="13" t="s">
        <v>248</v>
      </c>
      <c r="D4" s="17" t="s">
        <v>240</v>
      </c>
      <c r="E4" s="17" t="s">
        <v>242</v>
      </c>
      <c r="F4" s="17" t="s">
        <v>243</v>
      </c>
      <c r="G4" s="11">
        <v>2500000</v>
      </c>
      <c r="H4" s="11">
        <v>5000000</v>
      </c>
    </row>
    <row r="5" spans="1:8" ht="19.5" customHeight="1">
      <c r="A5" s="10">
        <v>4</v>
      </c>
      <c r="B5" s="12" t="s">
        <v>19</v>
      </c>
      <c r="C5" s="12" t="s">
        <v>250</v>
      </c>
      <c r="D5" s="14" t="s">
        <v>240</v>
      </c>
      <c r="E5" s="14" t="s">
        <v>242</v>
      </c>
      <c r="F5" s="14" t="s">
        <v>243</v>
      </c>
      <c r="G5" s="10">
        <v>2500000</v>
      </c>
      <c r="H5" s="10">
        <v>5000000</v>
      </c>
    </row>
    <row r="6" spans="1:8" ht="19.5" customHeight="1">
      <c r="A6" s="11">
        <v>5</v>
      </c>
      <c r="B6" s="13" t="s">
        <v>19</v>
      </c>
      <c r="C6" s="13" t="s">
        <v>254</v>
      </c>
      <c r="D6" s="17" t="s">
        <v>240</v>
      </c>
      <c r="E6" s="17" t="s">
        <v>242</v>
      </c>
      <c r="F6" s="17" t="s">
        <v>243</v>
      </c>
      <c r="G6" s="11">
        <v>2500000</v>
      </c>
      <c r="H6" s="11">
        <v>5000000</v>
      </c>
    </row>
    <row r="7" spans="1:8" ht="19.5" customHeight="1">
      <c r="A7" s="10">
        <v>6</v>
      </c>
      <c r="B7" s="12" t="s">
        <v>19</v>
      </c>
      <c r="C7" s="12" t="s">
        <v>255</v>
      </c>
      <c r="D7" s="14" t="s">
        <v>240</v>
      </c>
      <c r="E7" s="14" t="s">
        <v>242</v>
      </c>
      <c r="F7" s="14" t="s">
        <v>243</v>
      </c>
      <c r="G7" s="10">
        <v>2500000</v>
      </c>
      <c r="H7" s="10">
        <v>5000000</v>
      </c>
    </row>
    <row r="8" spans="1:8" ht="19.5" customHeight="1">
      <c r="A8" s="11">
        <v>7</v>
      </c>
      <c r="B8" s="13" t="s">
        <v>197</v>
      </c>
      <c r="C8" s="13" t="s">
        <v>257</v>
      </c>
      <c r="D8" s="17" t="s">
        <v>240</v>
      </c>
      <c r="E8" s="17" t="s">
        <v>242</v>
      </c>
      <c r="F8" s="17" t="s">
        <v>243</v>
      </c>
      <c r="G8" s="11">
        <v>3500000</v>
      </c>
      <c r="H8" s="11">
        <v>7000000</v>
      </c>
    </row>
    <row r="9" spans="1:8" ht="19.5" customHeight="1">
      <c r="A9" s="10">
        <v>8</v>
      </c>
      <c r="B9" s="12" t="s">
        <v>67</v>
      </c>
      <c r="C9" s="12" t="s">
        <v>258</v>
      </c>
      <c r="D9" s="14" t="s">
        <v>240</v>
      </c>
      <c r="E9" s="14" t="s">
        <v>242</v>
      </c>
      <c r="F9" s="14" t="s">
        <v>243</v>
      </c>
      <c r="G9" s="10">
        <v>2250000</v>
      </c>
      <c r="H9" s="10">
        <v>4500000</v>
      </c>
    </row>
    <row r="10" spans="1:8" ht="19.5" customHeight="1">
      <c r="A10" s="11">
        <v>9</v>
      </c>
      <c r="B10" s="13" t="s">
        <v>67</v>
      </c>
      <c r="C10" s="13" t="s">
        <v>105</v>
      </c>
      <c r="D10" s="17" t="s">
        <v>240</v>
      </c>
      <c r="E10" s="17" t="s">
        <v>242</v>
      </c>
      <c r="F10" s="17" t="s">
        <v>243</v>
      </c>
      <c r="G10" s="11">
        <v>2500000</v>
      </c>
      <c r="H10" s="11">
        <v>5000000</v>
      </c>
    </row>
    <row r="11" spans="1:8" ht="19.5" customHeight="1">
      <c r="A11" s="10">
        <v>10</v>
      </c>
      <c r="B11" s="12" t="s">
        <v>67</v>
      </c>
      <c r="C11" s="12" t="s">
        <v>112</v>
      </c>
      <c r="D11" s="14" t="s">
        <v>240</v>
      </c>
      <c r="E11" s="14" t="s">
        <v>242</v>
      </c>
      <c r="F11" s="14" t="s">
        <v>243</v>
      </c>
      <c r="G11" s="10">
        <v>2500000</v>
      </c>
      <c r="H11" s="10">
        <v>5000000</v>
      </c>
    </row>
    <row r="12" spans="1:8" ht="19.5" customHeight="1">
      <c r="A12" s="11">
        <v>11</v>
      </c>
      <c r="B12" s="13" t="s">
        <v>67</v>
      </c>
      <c r="C12" s="13" t="s">
        <v>95</v>
      </c>
      <c r="D12" s="17" t="s">
        <v>240</v>
      </c>
      <c r="E12" s="17" t="s">
        <v>242</v>
      </c>
      <c r="F12" s="17" t="s">
        <v>243</v>
      </c>
      <c r="G12" s="11">
        <v>2500000</v>
      </c>
      <c r="H12" s="11">
        <v>5000000</v>
      </c>
    </row>
    <row r="13" spans="1:8" ht="19.5" customHeight="1">
      <c r="A13" s="10">
        <v>12</v>
      </c>
      <c r="B13" s="12" t="s">
        <v>67</v>
      </c>
      <c r="C13" s="12" t="s">
        <v>260</v>
      </c>
      <c r="D13" s="14" t="s">
        <v>240</v>
      </c>
      <c r="E13" s="14" t="s">
        <v>242</v>
      </c>
      <c r="F13" s="14" t="s">
        <v>243</v>
      </c>
      <c r="G13" s="10">
        <v>2500000</v>
      </c>
      <c r="H13" s="10">
        <v>5000000</v>
      </c>
    </row>
    <row r="14" spans="1:8" ht="19.5" customHeight="1">
      <c r="A14" s="11">
        <v>13</v>
      </c>
      <c r="B14" s="13" t="s">
        <v>115</v>
      </c>
      <c r="C14" s="13" t="s">
        <v>261</v>
      </c>
      <c r="D14" s="17" t="s">
        <v>240</v>
      </c>
      <c r="E14" s="17" t="s">
        <v>242</v>
      </c>
      <c r="F14" s="17" t="s">
        <v>243</v>
      </c>
      <c r="G14" s="11">
        <v>2500000</v>
      </c>
      <c r="H14" s="11">
        <v>5000000</v>
      </c>
    </row>
    <row r="15" spans="1:8" ht="19.5" customHeight="1">
      <c r="A15" s="10">
        <v>14</v>
      </c>
      <c r="B15" s="12" t="s">
        <v>115</v>
      </c>
      <c r="C15" s="12" t="s">
        <v>262</v>
      </c>
      <c r="D15" s="14" t="s">
        <v>240</v>
      </c>
      <c r="E15" s="14" t="s">
        <v>242</v>
      </c>
      <c r="F15" s="14" t="s">
        <v>243</v>
      </c>
      <c r="G15" s="10">
        <v>2500000</v>
      </c>
      <c r="H15" s="10">
        <v>5000000</v>
      </c>
    </row>
    <row r="16" spans="1:8" ht="19.5" customHeight="1">
      <c r="A16" s="11">
        <v>15</v>
      </c>
      <c r="B16" s="13" t="s">
        <v>53</v>
      </c>
      <c r="C16" s="13" t="s">
        <v>264</v>
      </c>
      <c r="D16" s="17" t="s">
        <v>240</v>
      </c>
      <c r="E16" s="17" t="s">
        <v>242</v>
      </c>
      <c r="F16" s="17" t="s">
        <v>243</v>
      </c>
      <c r="G16" s="11">
        <v>3000000</v>
      </c>
      <c r="H16" s="11">
        <v>6000000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000"/>
  <sheetViews>
    <sheetView workbookViewId="0"/>
  </sheetViews>
  <sheetFormatPr baseColWidth="10" defaultColWidth="12.6640625" defaultRowHeight="15" customHeight="1"/>
  <cols>
    <col min="1" max="1" width="10.5" customWidth="1"/>
    <col min="2" max="2" width="26.1640625" customWidth="1"/>
    <col min="3" max="3" width="21.83203125" customWidth="1"/>
    <col min="4" max="6" width="10.5" customWidth="1"/>
    <col min="7" max="7" width="32.33203125" customWidth="1"/>
    <col min="8" max="8" width="29.6640625" customWidth="1"/>
    <col min="9" max="9" width="40.1640625" customWidth="1"/>
    <col min="10" max="26" width="7.6640625" customWidth="1"/>
  </cols>
  <sheetData>
    <row r="1" spans="1:9" ht="27.75" customHeight="1">
      <c r="A1" s="22" t="s">
        <v>0</v>
      </c>
      <c r="B1" s="22" t="s">
        <v>2</v>
      </c>
      <c r="C1" s="22" t="s">
        <v>3</v>
      </c>
      <c r="D1" s="22" t="s">
        <v>4</v>
      </c>
      <c r="E1" s="22" t="s">
        <v>8</v>
      </c>
      <c r="F1" s="22" t="s">
        <v>236</v>
      </c>
      <c r="G1" s="22" t="s">
        <v>237</v>
      </c>
      <c r="H1" s="22" t="s">
        <v>238</v>
      </c>
      <c r="I1" s="22" t="s">
        <v>11</v>
      </c>
    </row>
    <row r="2" spans="1:9" ht="19.5" customHeight="1">
      <c r="A2" s="11">
        <v>1</v>
      </c>
      <c r="B2" s="13" t="s">
        <v>19</v>
      </c>
      <c r="C2" s="13" t="s">
        <v>22</v>
      </c>
      <c r="D2" s="17" t="s">
        <v>240</v>
      </c>
      <c r="E2" s="17" t="s">
        <v>269</v>
      </c>
      <c r="F2" s="17" t="s">
        <v>243</v>
      </c>
      <c r="G2" s="11">
        <v>2500000</v>
      </c>
      <c r="H2" s="11">
        <v>5000000</v>
      </c>
      <c r="I2" s="11">
        <v>5000000</v>
      </c>
    </row>
    <row r="3" spans="1:9" ht="19.5" customHeight="1">
      <c r="A3" s="10">
        <v>2</v>
      </c>
      <c r="B3" s="12" t="s">
        <v>19</v>
      </c>
      <c r="C3" s="12" t="s">
        <v>246</v>
      </c>
      <c r="D3" s="14" t="s">
        <v>240</v>
      </c>
      <c r="E3" s="14" t="s">
        <v>269</v>
      </c>
      <c r="F3" s="14" t="s">
        <v>243</v>
      </c>
      <c r="G3" s="10">
        <v>2500000</v>
      </c>
      <c r="H3" s="10">
        <v>5000000</v>
      </c>
      <c r="I3" s="10">
        <v>5000000</v>
      </c>
    </row>
    <row r="4" spans="1:9" ht="19.5" customHeight="1">
      <c r="A4" s="11">
        <v>3</v>
      </c>
      <c r="B4" s="13" t="s">
        <v>19</v>
      </c>
      <c r="C4" s="13" t="s">
        <v>248</v>
      </c>
      <c r="D4" s="17" t="s">
        <v>240</v>
      </c>
      <c r="E4" s="17" t="s">
        <v>269</v>
      </c>
      <c r="F4" s="17" t="s">
        <v>243</v>
      </c>
      <c r="G4" s="11">
        <v>2500000</v>
      </c>
      <c r="H4" s="11">
        <v>5000000</v>
      </c>
      <c r="I4" s="11">
        <v>5000000</v>
      </c>
    </row>
    <row r="5" spans="1:9" ht="19.5" customHeight="1">
      <c r="A5" s="10">
        <v>4</v>
      </c>
      <c r="B5" s="12" t="s">
        <v>19</v>
      </c>
      <c r="C5" s="12" t="s">
        <v>250</v>
      </c>
      <c r="D5" s="14" t="s">
        <v>240</v>
      </c>
      <c r="E5" s="14" t="s">
        <v>269</v>
      </c>
      <c r="F5" s="14" t="s">
        <v>243</v>
      </c>
      <c r="G5" s="10">
        <v>2500000</v>
      </c>
      <c r="H5" s="10">
        <v>5000000</v>
      </c>
      <c r="I5" s="10">
        <v>5000000</v>
      </c>
    </row>
    <row r="6" spans="1:9" ht="19.5" customHeight="1">
      <c r="A6" s="11">
        <v>5</v>
      </c>
      <c r="B6" s="13" t="s">
        <v>19</v>
      </c>
      <c r="C6" s="13" t="s">
        <v>254</v>
      </c>
      <c r="D6" s="17" t="s">
        <v>240</v>
      </c>
      <c r="E6" s="17" t="s">
        <v>269</v>
      </c>
      <c r="F6" s="17" t="s">
        <v>243</v>
      </c>
      <c r="G6" s="11">
        <v>2500000</v>
      </c>
      <c r="H6" s="11">
        <v>5000000</v>
      </c>
      <c r="I6" s="11">
        <v>5000000</v>
      </c>
    </row>
    <row r="7" spans="1:9" ht="19.5" customHeight="1">
      <c r="A7" s="10">
        <v>6</v>
      </c>
      <c r="B7" s="12" t="s">
        <v>19</v>
      </c>
      <c r="C7" s="12" t="s">
        <v>255</v>
      </c>
      <c r="D7" s="14" t="s">
        <v>240</v>
      </c>
      <c r="E7" s="14" t="s">
        <v>269</v>
      </c>
      <c r="F7" s="14" t="s">
        <v>243</v>
      </c>
      <c r="G7" s="10">
        <v>2500000</v>
      </c>
      <c r="H7" s="10">
        <v>5000000</v>
      </c>
      <c r="I7" s="10">
        <v>5000000</v>
      </c>
    </row>
    <row r="8" spans="1:9" ht="19.5" customHeight="1">
      <c r="A8" s="11">
        <v>7</v>
      </c>
      <c r="B8" s="13" t="s">
        <v>197</v>
      </c>
      <c r="C8" s="13" t="s">
        <v>257</v>
      </c>
      <c r="D8" s="17" t="s">
        <v>240</v>
      </c>
      <c r="E8" s="17" t="s">
        <v>269</v>
      </c>
      <c r="F8" s="17" t="s">
        <v>243</v>
      </c>
      <c r="G8" s="11">
        <v>3500000</v>
      </c>
      <c r="H8" s="11">
        <v>7000000</v>
      </c>
      <c r="I8" s="11">
        <v>0</v>
      </c>
    </row>
    <row r="9" spans="1:9" ht="19.5" customHeight="1">
      <c r="A9" s="10">
        <v>8</v>
      </c>
      <c r="B9" s="12" t="s">
        <v>67</v>
      </c>
      <c r="C9" s="12" t="s">
        <v>258</v>
      </c>
      <c r="D9" s="14" t="s">
        <v>240</v>
      </c>
      <c r="E9" s="14" t="s">
        <v>269</v>
      </c>
      <c r="F9" s="14" t="s">
        <v>243</v>
      </c>
      <c r="G9" s="10">
        <v>2250000</v>
      </c>
      <c r="H9" s="10">
        <v>4500000</v>
      </c>
      <c r="I9" s="10">
        <v>0</v>
      </c>
    </row>
    <row r="10" spans="1:9" ht="19.5" customHeight="1">
      <c r="A10" s="11">
        <v>9</v>
      </c>
      <c r="B10" s="13" t="s">
        <v>67</v>
      </c>
      <c r="C10" s="13" t="s">
        <v>105</v>
      </c>
      <c r="D10" s="17" t="s">
        <v>240</v>
      </c>
      <c r="E10" s="17" t="s">
        <v>269</v>
      </c>
      <c r="F10" s="17" t="s">
        <v>243</v>
      </c>
      <c r="G10" s="11">
        <v>2500000</v>
      </c>
      <c r="H10" s="11">
        <v>5000000</v>
      </c>
      <c r="I10" s="11">
        <v>5000000</v>
      </c>
    </row>
    <row r="11" spans="1:9" ht="19.5" customHeight="1">
      <c r="A11" s="10">
        <v>10</v>
      </c>
      <c r="B11" s="12" t="s">
        <v>67</v>
      </c>
      <c r="C11" s="12" t="s">
        <v>112</v>
      </c>
      <c r="D11" s="14" t="s">
        <v>240</v>
      </c>
      <c r="E11" s="14" t="s">
        <v>269</v>
      </c>
      <c r="F11" s="14" t="s">
        <v>243</v>
      </c>
      <c r="G11" s="10">
        <v>2500000</v>
      </c>
      <c r="H11" s="10">
        <v>5000000</v>
      </c>
      <c r="I11" s="10">
        <v>5000000</v>
      </c>
    </row>
    <row r="12" spans="1:9" ht="19.5" customHeight="1">
      <c r="A12" s="11">
        <v>11</v>
      </c>
      <c r="B12" s="13" t="s">
        <v>67</v>
      </c>
      <c r="C12" s="13" t="s">
        <v>95</v>
      </c>
      <c r="D12" s="17" t="s">
        <v>240</v>
      </c>
      <c r="E12" s="17" t="s">
        <v>269</v>
      </c>
      <c r="F12" s="17" t="s">
        <v>243</v>
      </c>
      <c r="G12" s="11">
        <v>2500000</v>
      </c>
      <c r="H12" s="11">
        <v>5000000</v>
      </c>
      <c r="I12" s="11">
        <v>5000000</v>
      </c>
    </row>
    <row r="13" spans="1:9" ht="19.5" customHeight="1">
      <c r="A13" s="10">
        <v>12</v>
      </c>
      <c r="B13" s="12" t="s">
        <v>67</v>
      </c>
      <c r="C13" s="12" t="s">
        <v>260</v>
      </c>
      <c r="D13" s="14" t="s">
        <v>240</v>
      </c>
      <c r="E13" s="14" t="s">
        <v>269</v>
      </c>
      <c r="F13" s="14" t="s">
        <v>243</v>
      </c>
      <c r="G13" s="10">
        <v>2500000</v>
      </c>
      <c r="H13" s="10">
        <v>5000000</v>
      </c>
      <c r="I13" s="10">
        <v>5000000</v>
      </c>
    </row>
    <row r="14" spans="1:9" ht="19.5" customHeight="1">
      <c r="A14" s="11">
        <v>13</v>
      </c>
      <c r="B14" s="13" t="s">
        <v>115</v>
      </c>
      <c r="C14" s="13" t="s">
        <v>261</v>
      </c>
      <c r="D14" s="17" t="s">
        <v>240</v>
      </c>
      <c r="E14" s="17" t="s">
        <v>269</v>
      </c>
      <c r="F14" s="17" t="s">
        <v>243</v>
      </c>
      <c r="G14" s="11">
        <v>2500000</v>
      </c>
      <c r="H14" s="11">
        <v>5000000</v>
      </c>
      <c r="I14" s="11">
        <v>0</v>
      </c>
    </row>
    <row r="15" spans="1:9" ht="19.5" customHeight="1">
      <c r="A15" s="10">
        <v>14</v>
      </c>
      <c r="B15" s="12" t="s">
        <v>115</v>
      </c>
      <c r="C15" s="12" t="s">
        <v>262</v>
      </c>
      <c r="D15" s="14" t="s">
        <v>240</v>
      </c>
      <c r="E15" s="14" t="s">
        <v>269</v>
      </c>
      <c r="F15" s="14" t="s">
        <v>243</v>
      </c>
      <c r="G15" s="10">
        <v>2500000</v>
      </c>
      <c r="H15" s="10">
        <v>5000000</v>
      </c>
      <c r="I15" s="10">
        <v>0</v>
      </c>
    </row>
    <row r="16" spans="1:9" ht="19.5" customHeight="1">
      <c r="A16" s="11">
        <v>15</v>
      </c>
      <c r="B16" s="13" t="s">
        <v>53</v>
      </c>
      <c r="C16" s="13" t="s">
        <v>264</v>
      </c>
      <c r="D16" s="17" t="s">
        <v>240</v>
      </c>
      <c r="E16" s="17" t="s">
        <v>269</v>
      </c>
      <c r="F16" s="17" t="s">
        <v>243</v>
      </c>
      <c r="G16" s="11">
        <v>3000000</v>
      </c>
      <c r="H16" s="11">
        <v>6000000</v>
      </c>
      <c r="I16" s="11">
        <v>2000000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1000"/>
  <sheetViews>
    <sheetView workbookViewId="0"/>
  </sheetViews>
  <sheetFormatPr baseColWidth="10" defaultColWidth="12.6640625" defaultRowHeight="15" customHeight="1"/>
  <cols>
    <col min="1" max="1" width="10.5" customWidth="1"/>
    <col min="2" max="2" width="34.1640625" customWidth="1"/>
    <col min="3" max="3" width="39.33203125" customWidth="1"/>
    <col min="4" max="4" width="10.5" customWidth="1"/>
    <col min="5" max="5" width="21" customWidth="1"/>
    <col min="6" max="6" width="19.1640625" customWidth="1"/>
    <col min="7" max="7" width="20.1640625" customWidth="1"/>
    <col min="8" max="8" width="21" customWidth="1"/>
    <col min="9" max="9" width="20.1640625" customWidth="1"/>
    <col min="10" max="10" width="19.1640625" customWidth="1"/>
    <col min="11" max="11" width="20.1640625" customWidth="1"/>
    <col min="12" max="12" width="21" customWidth="1"/>
    <col min="13" max="13" width="21.83203125" customWidth="1"/>
    <col min="14" max="24" width="7.6640625" customWidth="1"/>
  </cols>
  <sheetData>
    <row r="1" spans="1:13" ht="27.75" customHeight="1">
      <c r="A1" s="47" t="s">
        <v>0</v>
      </c>
      <c r="B1" s="47" t="s">
        <v>2</v>
      </c>
      <c r="C1" s="47" t="s">
        <v>3</v>
      </c>
      <c r="D1" s="47" t="s">
        <v>4</v>
      </c>
      <c r="E1" s="47" t="s">
        <v>5</v>
      </c>
      <c r="F1" s="47" t="s">
        <v>16</v>
      </c>
      <c r="G1" s="47" t="s">
        <v>18</v>
      </c>
      <c r="H1" s="47" t="s">
        <v>20</v>
      </c>
      <c r="I1" s="47" t="s">
        <v>7</v>
      </c>
      <c r="J1" s="47" t="s">
        <v>9</v>
      </c>
      <c r="K1" s="47" t="s">
        <v>10</v>
      </c>
      <c r="L1" s="47" t="s">
        <v>278</v>
      </c>
      <c r="M1" s="47" t="s">
        <v>279</v>
      </c>
    </row>
    <row r="2" spans="1:13" ht="19.5" customHeight="1">
      <c r="A2" s="11">
        <v>1</v>
      </c>
      <c r="B2" s="13" t="s">
        <v>280</v>
      </c>
      <c r="C2" s="13" t="s">
        <v>38</v>
      </c>
      <c r="D2" s="17" t="s">
        <v>23</v>
      </c>
      <c r="E2" s="11">
        <v>7642000</v>
      </c>
      <c r="F2" s="11">
        <v>500000</v>
      </c>
      <c r="G2" s="11">
        <v>1000000</v>
      </c>
      <c r="H2" s="11">
        <v>2770000</v>
      </c>
      <c r="I2" s="11">
        <v>3324000</v>
      </c>
      <c r="J2" s="11">
        <v>3989000</v>
      </c>
      <c r="K2" s="11">
        <v>4787000</v>
      </c>
      <c r="L2" s="11">
        <v>5744000</v>
      </c>
      <c r="M2" s="11">
        <v>6893000</v>
      </c>
    </row>
    <row r="3" spans="1:13" ht="19.5" customHeight="1">
      <c r="A3" s="10">
        <v>2</v>
      </c>
      <c r="B3" s="12" t="s">
        <v>280</v>
      </c>
      <c r="C3" s="12" t="s">
        <v>43</v>
      </c>
      <c r="D3" s="14" t="s">
        <v>23</v>
      </c>
      <c r="E3" s="10">
        <v>7642000</v>
      </c>
      <c r="F3" s="10">
        <v>500000</v>
      </c>
      <c r="G3" s="10">
        <v>1000000</v>
      </c>
      <c r="H3" s="10">
        <v>2770000</v>
      </c>
      <c r="I3" s="10">
        <v>3324000</v>
      </c>
      <c r="J3" s="10">
        <v>3989000</v>
      </c>
      <c r="K3" s="10">
        <v>4787000</v>
      </c>
      <c r="L3" s="10">
        <v>5744000</v>
      </c>
      <c r="M3" s="10">
        <v>6893000</v>
      </c>
    </row>
    <row r="4" spans="1:13" ht="19.5" customHeight="1">
      <c r="A4" s="11">
        <v>3</v>
      </c>
      <c r="B4" s="13" t="s">
        <v>280</v>
      </c>
      <c r="C4" s="13" t="s">
        <v>22</v>
      </c>
      <c r="D4" s="17" t="s">
        <v>23</v>
      </c>
      <c r="E4" s="11">
        <v>7642000</v>
      </c>
      <c r="F4" s="11">
        <v>500000</v>
      </c>
      <c r="G4" s="11">
        <v>1000000</v>
      </c>
      <c r="H4" s="11">
        <v>2980000</v>
      </c>
      <c r="I4" s="11">
        <v>3576000</v>
      </c>
      <c r="J4" s="11">
        <v>4291000</v>
      </c>
      <c r="K4" s="11">
        <v>5149000</v>
      </c>
      <c r="L4" s="11">
        <v>6179000</v>
      </c>
      <c r="M4" s="11">
        <v>7415000</v>
      </c>
    </row>
    <row r="5" spans="1:13" ht="19.5" customHeight="1">
      <c r="A5" s="10">
        <v>4</v>
      </c>
      <c r="B5" s="12" t="s">
        <v>280</v>
      </c>
      <c r="C5" s="12" t="s">
        <v>281</v>
      </c>
      <c r="D5" s="14" t="s">
        <v>282</v>
      </c>
      <c r="E5" s="10">
        <v>9695000</v>
      </c>
      <c r="F5" s="10">
        <v>500000</v>
      </c>
      <c r="G5" s="10">
        <v>1000000</v>
      </c>
      <c r="H5" s="10">
        <v>2980000</v>
      </c>
      <c r="I5" s="10">
        <v>3576000</v>
      </c>
      <c r="J5" s="10">
        <v>4291000</v>
      </c>
      <c r="K5" s="10">
        <v>5149000</v>
      </c>
      <c r="L5" s="10">
        <v>6179000</v>
      </c>
      <c r="M5" s="10">
        <v>7415000</v>
      </c>
    </row>
    <row r="6" spans="1:13" ht="19.5" customHeight="1">
      <c r="A6" s="11">
        <v>5</v>
      </c>
      <c r="B6" s="13" t="s">
        <v>280</v>
      </c>
      <c r="C6" s="13" t="s">
        <v>29</v>
      </c>
      <c r="D6" s="17" t="s">
        <v>23</v>
      </c>
      <c r="E6" s="11">
        <v>7642000</v>
      </c>
      <c r="F6" s="11">
        <v>500000</v>
      </c>
      <c r="G6" s="11">
        <v>1000000</v>
      </c>
      <c r="H6" s="11">
        <v>2660000</v>
      </c>
      <c r="I6" s="11">
        <v>3192000</v>
      </c>
      <c r="J6" s="11">
        <v>3830000</v>
      </c>
      <c r="K6" s="11">
        <v>4596000</v>
      </c>
      <c r="L6" s="11">
        <v>5516000</v>
      </c>
      <c r="M6" s="11">
        <v>6619000</v>
      </c>
    </row>
    <row r="7" spans="1:13" ht="19.5" customHeight="1">
      <c r="A7" s="10">
        <v>6</v>
      </c>
      <c r="B7" s="12" t="s">
        <v>283</v>
      </c>
      <c r="C7" s="12" t="s">
        <v>284</v>
      </c>
      <c r="D7" s="14" t="s">
        <v>23</v>
      </c>
      <c r="E7" s="10">
        <v>26355000</v>
      </c>
      <c r="F7" s="10">
        <v>500000</v>
      </c>
      <c r="G7" s="10">
        <v>1000000</v>
      </c>
      <c r="H7" s="10">
        <v>4000000</v>
      </c>
      <c r="I7" s="10">
        <v>7000000</v>
      </c>
      <c r="J7" s="10">
        <v>10000000</v>
      </c>
      <c r="K7" s="10">
        <v>13000000</v>
      </c>
      <c r="L7" s="10">
        <v>15000000</v>
      </c>
      <c r="M7" s="10">
        <v>18000000</v>
      </c>
    </row>
    <row r="8" spans="1:13" ht="19.5" customHeight="1">
      <c r="A8" s="11">
        <v>7</v>
      </c>
      <c r="B8" s="13" t="s">
        <v>285</v>
      </c>
      <c r="C8" s="13" t="s">
        <v>64</v>
      </c>
      <c r="D8" s="17" t="s">
        <v>23</v>
      </c>
      <c r="E8" s="11">
        <v>7642000</v>
      </c>
      <c r="F8" s="11">
        <v>500000</v>
      </c>
      <c r="G8" s="11">
        <v>1000000</v>
      </c>
      <c r="H8" s="11">
        <v>2770000</v>
      </c>
      <c r="I8" s="11">
        <v>3324000</v>
      </c>
      <c r="J8" s="11">
        <v>3989000</v>
      </c>
      <c r="K8" s="11">
        <v>4787000</v>
      </c>
      <c r="L8" s="11">
        <v>5744000</v>
      </c>
      <c r="M8" s="11">
        <v>6893000</v>
      </c>
    </row>
    <row r="9" spans="1:13" ht="19.5" customHeight="1">
      <c r="A9" s="10">
        <v>8</v>
      </c>
      <c r="B9" s="12" t="s">
        <v>286</v>
      </c>
      <c r="C9" s="12" t="s">
        <v>112</v>
      </c>
      <c r="D9" s="14" t="s">
        <v>23</v>
      </c>
      <c r="E9" s="10">
        <v>13650000</v>
      </c>
      <c r="F9" s="10">
        <v>500000</v>
      </c>
      <c r="G9" s="10">
        <v>1000000</v>
      </c>
      <c r="H9" s="10">
        <v>4950000</v>
      </c>
      <c r="I9" s="10">
        <v>5940000</v>
      </c>
      <c r="J9" s="10">
        <v>7128000</v>
      </c>
      <c r="K9" s="10">
        <v>8554000</v>
      </c>
      <c r="L9" s="10">
        <v>10264000</v>
      </c>
      <c r="M9" s="10">
        <v>12317000</v>
      </c>
    </row>
    <row r="10" spans="1:13" ht="19.5" customHeight="1">
      <c r="A10" s="11">
        <v>9</v>
      </c>
      <c r="B10" s="13" t="s">
        <v>286</v>
      </c>
      <c r="C10" s="13" t="s">
        <v>105</v>
      </c>
      <c r="D10" s="17" t="s">
        <v>23</v>
      </c>
      <c r="E10" s="11">
        <v>13650000</v>
      </c>
      <c r="F10" s="11">
        <v>500000</v>
      </c>
      <c r="G10" s="11">
        <v>1000000</v>
      </c>
      <c r="H10" s="11">
        <v>4950000</v>
      </c>
      <c r="I10" s="11">
        <v>5940000</v>
      </c>
      <c r="J10" s="11">
        <v>7128000</v>
      </c>
      <c r="K10" s="11">
        <v>8554000</v>
      </c>
      <c r="L10" s="11">
        <v>10264000</v>
      </c>
      <c r="M10" s="11">
        <v>12317000</v>
      </c>
    </row>
    <row r="11" spans="1:13" ht="19.5" customHeight="1">
      <c r="A11" s="10">
        <v>10</v>
      </c>
      <c r="B11" s="12" t="s">
        <v>286</v>
      </c>
      <c r="C11" s="12" t="s">
        <v>95</v>
      </c>
      <c r="D11" s="14" t="s">
        <v>23</v>
      </c>
      <c r="E11" s="10">
        <v>15343000</v>
      </c>
      <c r="F11" s="10">
        <v>500000</v>
      </c>
      <c r="G11" s="10">
        <v>1000000</v>
      </c>
      <c r="H11" s="10">
        <v>5560000</v>
      </c>
      <c r="I11" s="10">
        <v>6672000</v>
      </c>
      <c r="J11" s="10">
        <v>8006000</v>
      </c>
      <c r="K11" s="10">
        <v>9608000</v>
      </c>
      <c r="L11" s="10">
        <v>11529000</v>
      </c>
      <c r="M11" s="10">
        <v>13835000</v>
      </c>
    </row>
    <row r="12" spans="1:13" ht="19.5" customHeight="1">
      <c r="A12" s="11">
        <v>11</v>
      </c>
      <c r="B12" s="13" t="s">
        <v>286</v>
      </c>
      <c r="C12" s="13" t="s">
        <v>68</v>
      </c>
      <c r="D12" s="17" t="s">
        <v>23</v>
      </c>
      <c r="E12" s="11">
        <v>12238000</v>
      </c>
      <c r="F12" s="11">
        <v>500000</v>
      </c>
      <c r="G12" s="11">
        <v>1000000</v>
      </c>
      <c r="H12" s="11">
        <v>4440000</v>
      </c>
      <c r="I12" s="11">
        <v>5328000</v>
      </c>
      <c r="J12" s="11">
        <v>6394000</v>
      </c>
      <c r="K12" s="11">
        <v>7672000</v>
      </c>
      <c r="L12" s="11">
        <v>9207000</v>
      </c>
      <c r="M12" s="11">
        <v>11048000</v>
      </c>
    </row>
    <row r="13" spans="1:13" ht="19.5" customHeight="1">
      <c r="A13" s="10">
        <v>12</v>
      </c>
      <c r="B13" s="12" t="s">
        <v>286</v>
      </c>
      <c r="C13" s="12" t="s">
        <v>79</v>
      </c>
      <c r="D13" s="14" t="s">
        <v>23</v>
      </c>
      <c r="E13" s="10">
        <v>13650000</v>
      </c>
      <c r="F13" s="10">
        <v>500000</v>
      </c>
      <c r="G13" s="10">
        <v>1000000</v>
      </c>
      <c r="H13" s="10">
        <v>4950000</v>
      </c>
      <c r="I13" s="10">
        <v>5940000</v>
      </c>
      <c r="J13" s="10">
        <v>7128000</v>
      </c>
      <c r="K13" s="10">
        <v>8554000</v>
      </c>
      <c r="L13" s="10">
        <v>10264000</v>
      </c>
      <c r="M13" s="10">
        <v>12317000</v>
      </c>
    </row>
    <row r="14" spans="1:13" ht="19.5" customHeight="1">
      <c r="A14" s="11">
        <v>13</v>
      </c>
      <c r="B14" s="13" t="s">
        <v>286</v>
      </c>
      <c r="C14" s="13" t="s">
        <v>13</v>
      </c>
      <c r="D14" s="17" t="s">
        <v>23</v>
      </c>
      <c r="E14" s="11">
        <v>12709000</v>
      </c>
      <c r="F14" s="11">
        <v>500000</v>
      </c>
      <c r="G14" s="11">
        <v>1000000</v>
      </c>
      <c r="H14" s="11">
        <v>4270000</v>
      </c>
      <c r="I14" s="11">
        <v>5124000</v>
      </c>
      <c r="J14" s="11">
        <v>6149000</v>
      </c>
      <c r="K14" s="11">
        <v>7379000</v>
      </c>
      <c r="L14" s="11">
        <v>8854000</v>
      </c>
      <c r="M14" s="11">
        <v>10625000</v>
      </c>
    </row>
    <row r="15" spans="1:13" ht="19.5" customHeight="1">
      <c r="A15" s="10">
        <v>14</v>
      </c>
      <c r="B15" s="12" t="s">
        <v>286</v>
      </c>
      <c r="C15" s="12" t="s">
        <v>87</v>
      </c>
      <c r="D15" s="14" t="s">
        <v>23</v>
      </c>
      <c r="E15" s="10">
        <v>13650000</v>
      </c>
      <c r="F15" s="10">
        <v>500000</v>
      </c>
      <c r="G15" s="10">
        <v>1000000</v>
      </c>
      <c r="H15" s="10">
        <v>4950000</v>
      </c>
      <c r="I15" s="10">
        <v>5940000</v>
      </c>
      <c r="J15" s="10">
        <v>7128000</v>
      </c>
      <c r="K15" s="10">
        <v>8554000</v>
      </c>
      <c r="L15" s="10">
        <v>10264000</v>
      </c>
      <c r="M15" s="10">
        <v>12317000</v>
      </c>
    </row>
    <row r="16" spans="1:13" ht="19.5" customHeight="1">
      <c r="A16" s="11">
        <v>15</v>
      </c>
      <c r="B16" s="13" t="s">
        <v>286</v>
      </c>
      <c r="C16" s="13" t="s">
        <v>110</v>
      </c>
      <c r="D16" s="17" t="s">
        <v>23</v>
      </c>
      <c r="E16" s="11">
        <v>11767000</v>
      </c>
      <c r="F16" s="11">
        <v>500000</v>
      </c>
      <c r="G16" s="11">
        <v>1000000</v>
      </c>
      <c r="H16" s="11">
        <v>4270000</v>
      </c>
      <c r="I16" s="11">
        <v>5124000</v>
      </c>
      <c r="J16" s="11">
        <v>6149000</v>
      </c>
      <c r="K16" s="11">
        <v>7379000</v>
      </c>
      <c r="L16" s="11">
        <v>8854000</v>
      </c>
      <c r="M16" s="11">
        <v>10625000</v>
      </c>
    </row>
    <row r="17" spans="1:13" ht="19.5" customHeight="1">
      <c r="A17" s="10">
        <v>16</v>
      </c>
      <c r="B17" s="12" t="s">
        <v>286</v>
      </c>
      <c r="C17" s="12" t="s">
        <v>90</v>
      </c>
      <c r="D17" s="14" t="s">
        <v>23</v>
      </c>
      <c r="E17" s="10">
        <v>11767000</v>
      </c>
      <c r="F17" s="10">
        <v>500000</v>
      </c>
      <c r="G17" s="10">
        <v>1000000</v>
      </c>
      <c r="H17" s="10">
        <v>4610000</v>
      </c>
      <c r="I17" s="10">
        <v>5532000</v>
      </c>
      <c r="J17" s="10">
        <v>6638000</v>
      </c>
      <c r="K17" s="10">
        <v>7966000</v>
      </c>
      <c r="L17" s="10">
        <v>9559000</v>
      </c>
      <c r="M17" s="10">
        <v>11471000</v>
      </c>
    </row>
    <row r="18" spans="1:13" ht="19.5" customHeight="1">
      <c r="A18" s="11">
        <v>17</v>
      </c>
      <c r="B18" s="13" t="s">
        <v>286</v>
      </c>
      <c r="C18" s="13" t="s">
        <v>74</v>
      </c>
      <c r="D18" s="17" t="s">
        <v>23</v>
      </c>
      <c r="E18" s="11">
        <v>11767000</v>
      </c>
      <c r="F18" s="11">
        <v>500000</v>
      </c>
      <c r="G18" s="11">
        <v>1000000</v>
      </c>
      <c r="H18" s="11">
        <v>4270000</v>
      </c>
      <c r="I18" s="11">
        <v>5124000</v>
      </c>
      <c r="J18" s="11">
        <v>6149000</v>
      </c>
      <c r="K18" s="11">
        <v>7379000</v>
      </c>
      <c r="L18" s="11">
        <v>8854000</v>
      </c>
      <c r="M18" s="11">
        <v>10625000</v>
      </c>
    </row>
    <row r="19" spans="1:13" ht="19.5" customHeight="1">
      <c r="A19" s="10">
        <v>18</v>
      </c>
      <c r="B19" s="12" t="s">
        <v>286</v>
      </c>
      <c r="C19" s="12" t="s">
        <v>103</v>
      </c>
      <c r="D19" s="14" t="s">
        <v>23</v>
      </c>
      <c r="E19" s="10">
        <v>11767000</v>
      </c>
      <c r="F19" s="10">
        <v>500000</v>
      </c>
      <c r="G19" s="10">
        <v>1000000</v>
      </c>
      <c r="H19" s="10">
        <v>4270000</v>
      </c>
      <c r="I19" s="10">
        <v>5124000</v>
      </c>
      <c r="J19" s="10">
        <v>6149000</v>
      </c>
      <c r="K19" s="10">
        <v>7379000</v>
      </c>
      <c r="L19" s="10">
        <v>8854000</v>
      </c>
      <c r="M19" s="10">
        <v>10625000</v>
      </c>
    </row>
    <row r="20" spans="1:13" ht="19.5" customHeight="1">
      <c r="A20" s="11">
        <v>19</v>
      </c>
      <c r="B20" s="13" t="s">
        <v>289</v>
      </c>
      <c r="C20" s="13" t="s">
        <v>120</v>
      </c>
      <c r="D20" s="17" t="s">
        <v>23</v>
      </c>
      <c r="E20" s="11">
        <v>11463000</v>
      </c>
      <c r="F20" s="11">
        <v>500000</v>
      </c>
      <c r="G20" s="11">
        <v>1000000</v>
      </c>
      <c r="H20" s="11">
        <v>4160000</v>
      </c>
      <c r="I20" s="11">
        <v>4992000</v>
      </c>
      <c r="J20" s="11">
        <v>5990000</v>
      </c>
      <c r="K20" s="11">
        <v>7188000</v>
      </c>
      <c r="L20" s="11">
        <v>8626000</v>
      </c>
      <c r="M20" s="11">
        <v>10351000</v>
      </c>
    </row>
    <row r="21" spans="1:13" ht="19.5" customHeight="1">
      <c r="A21" s="10">
        <v>20</v>
      </c>
      <c r="B21" s="12" t="s">
        <v>289</v>
      </c>
      <c r="C21" s="12" t="s">
        <v>116</v>
      </c>
      <c r="D21" s="14" t="s">
        <v>23</v>
      </c>
      <c r="E21" s="10">
        <v>10857000</v>
      </c>
      <c r="F21" s="10">
        <v>500000</v>
      </c>
      <c r="G21" s="10">
        <v>1000000</v>
      </c>
      <c r="H21" s="10">
        <v>3940000</v>
      </c>
      <c r="I21" s="10">
        <v>4728000</v>
      </c>
      <c r="J21" s="10">
        <v>5674000</v>
      </c>
      <c r="K21" s="10">
        <v>6808000</v>
      </c>
      <c r="L21" s="10">
        <v>8170000</v>
      </c>
      <c r="M21" s="10">
        <v>9804000</v>
      </c>
    </row>
    <row r="22" spans="1:13" ht="19.5" customHeight="1">
      <c r="A22" s="11">
        <v>21</v>
      </c>
      <c r="B22" s="13" t="s">
        <v>289</v>
      </c>
      <c r="C22" s="13" t="s">
        <v>144</v>
      </c>
      <c r="D22" s="17" t="s">
        <v>23</v>
      </c>
      <c r="E22" s="11">
        <v>11463000</v>
      </c>
      <c r="F22" s="11">
        <v>500000</v>
      </c>
      <c r="G22" s="11">
        <v>1000000</v>
      </c>
      <c r="H22" s="11">
        <v>4160000</v>
      </c>
      <c r="I22" s="11">
        <v>4992000</v>
      </c>
      <c r="J22" s="11">
        <v>5990000</v>
      </c>
      <c r="K22" s="11">
        <v>7188000</v>
      </c>
      <c r="L22" s="11">
        <v>8626000</v>
      </c>
      <c r="M22" s="11">
        <v>10351000</v>
      </c>
    </row>
    <row r="23" spans="1:13" ht="19.5" customHeight="1">
      <c r="A23" s="10">
        <v>22</v>
      </c>
      <c r="B23" s="12" t="s">
        <v>289</v>
      </c>
      <c r="C23" s="12" t="s">
        <v>146</v>
      </c>
      <c r="D23" s="14" t="s">
        <v>23</v>
      </c>
      <c r="E23" s="10">
        <v>13756000</v>
      </c>
      <c r="F23" s="10">
        <v>500000</v>
      </c>
      <c r="G23" s="10">
        <v>1000000</v>
      </c>
      <c r="H23" s="10">
        <v>5370000</v>
      </c>
      <c r="I23" s="10">
        <v>6444000</v>
      </c>
      <c r="J23" s="10">
        <v>7733000</v>
      </c>
      <c r="K23" s="10">
        <v>9279000</v>
      </c>
      <c r="L23" s="10">
        <v>11135000</v>
      </c>
      <c r="M23" s="10">
        <v>13362000</v>
      </c>
    </row>
    <row r="24" spans="1:13" ht="19.5" customHeight="1">
      <c r="A24" s="11">
        <v>23</v>
      </c>
      <c r="B24" s="13" t="s">
        <v>289</v>
      </c>
      <c r="C24" s="13" t="s">
        <v>147</v>
      </c>
      <c r="D24" s="17" t="s">
        <v>23</v>
      </c>
      <c r="E24" s="11">
        <v>13756000</v>
      </c>
      <c r="F24" s="11">
        <v>500000</v>
      </c>
      <c r="G24" s="11">
        <v>1000000</v>
      </c>
      <c r="H24" s="11">
        <v>5370000</v>
      </c>
      <c r="I24" s="11">
        <v>6444000</v>
      </c>
      <c r="J24" s="11">
        <v>7733000</v>
      </c>
      <c r="K24" s="11">
        <v>9279000</v>
      </c>
      <c r="L24" s="11">
        <v>11135000</v>
      </c>
      <c r="M24" s="11">
        <v>13362000</v>
      </c>
    </row>
    <row r="25" spans="1:13" ht="19.5" customHeight="1">
      <c r="A25" s="10">
        <v>24</v>
      </c>
      <c r="B25" s="12" t="s">
        <v>289</v>
      </c>
      <c r="C25" s="12" t="s">
        <v>127</v>
      </c>
      <c r="D25" s="14" t="s">
        <v>23</v>
      </c>
      <c r="E25" s="10">
        <v>10857000</v>
      </c>
      <c r="F25" s="10">
        <v>500000</v>
      </c>
      <c r="G25" s="10">
        <v>1000000</v>
      </c>
      <c r="H25" s="10">
        <v>3940000</v>
      </c>
      <c r="I25" s="10">
        <v>4728000</v>
      </c>
      <c r="J25" s="10">
        <v>5674000</v>
      </c>
      <c r="K25" s="10">
        <v>6808000</v>
      </c>
      <c r="L25" s="10">
        <v>8170000</v>
      </c>
      <c r="M25" s="10">
        <v>9804000</v>
      </c>
    </row>
    <row r="26" spans="1:13" ht="19.5" customHeight="1">
      <c r="A26" s="11">
        <v>25</v>
      </c>
      <c r="B26" s="13" t="s">
        <v>289</v>
      </c>
      <c r="C26" s="13" t="s">
        <v>137</v>
      </c>
      <c r="D26" s="17" t="s">
        <v>23</v>
      </c>
      <c r="E26" s="11">
        <v>10857000</v>
      </c>
      <c r="F26" s="11">
        <v>500000</v>
      </c>
      <c r="G26" s="11">
        <v>1000000</v>
      </c>
      <c r="H26" s="11">
        <v>3940000</v>
      </c>
      <c r="I26" s="11">
        <v>4728000</v>
      </c>
      <c r="J26" s="11">
        <v>5674000</v>
      </c>
      <c r="K26" s="11">
        <v>6808000</v>
      </c>
      <c r="L26" s="11">
        <v>8170000</v>
      </c>
      <c r="M26" s="11">
        <v>9804000</v>
      </c>
    </row>
    <row r="27" spans="1:13" ht="19.5" customHeight="1">
      <c r="A27" s="10">
        <v>26</v>
      </c>
      <c r="B27" s="12" t="s">
        <v>289</v>
      </c>
      <c r="C27" s="12" t="s">
        <v>131</v>
      </c>
      <c r="D27" s="14" t="s">
        <v>23</v>
      </c>
      <c r="E27" s="10">
        <v>11055000</v>
      </c>
      <c r="F27" s="10">
        <v>500000</v>
      </c>
      <c r="G27" s="10">
        <v>1000000</v>
      </c>
      <c r="H27" s="10">
        <v>4010000</v>
      </c>
      <c r="I27" s="10">
        <v>4812000</v>
      </c>
      <c r="J27" s="10">
        <v>5774000</v>
      </c>
      <c r="K27" s="10">
        <v>6929000</v>
      </c>
      <c r="L27" s="10">
        <v>8315000</v>
      </c>
      <c r="M27" s="10">
        <v>9978000</v>
      </c>
    </row>
    <row r="28" spans="1:13" ht="19.5" customHeight="1">
      <c r="A28" s="11">
        <v>27</v>
      </c>
      <c r="B28" s="13" t="s">
        <v>292</v>
      </c>
      <c r="C28" s="13" t="s">
        <v>188</v>
      </c>
      <c r="D28" s="17" t="s">
        <v>23</v>
      </c>
      <c r="E28" s="11">
        <v>7642000</v>
      </c>
      <c r="F28" s="11">
        <v>500000</v>
      </c>
      <c r="G28" s="11">
        <v>1000000</v>
      </c>
      <c r="H28" s="11">
        <v>2770000</v>
      </c>
      <c r="I28" s="11">
        <v>3324000</v>
      </c>
      <c r="J28" s="11">
        <v>3989000</v>
      </c>
      <c r="K28" s="11">
        <v>4787000</v>
      </c>
      <c r="L28" s="11">
        <v>5744000</v>
      </c>
      <c r="M28" s="11">
        <v>6893000</v>
      </c>
    </row>
    <row r="29" spans="1:13" ht="19.5" customHeight="1">
      <c r="A29" s="10">
        <v>28</v>
      </c>
      <c r="B29" s="12" t="s">
        <v>292</v>
      </c>
      <c r="C29" s="12" t="s">
        <v>190</v>
      </c>
      <c r="D29" s="14" t="s">
        <v>23</v>
      </c>
      <c r="E29" s="10">
        <v>7642000</v>
      </c>
      <c r="F29" s="10">
        <v>500000</v>
      </c>
      <c r="G29" s="10">
        <v>1000000</v>
      </c>
      <c r="H29" s="10">
        <v>2660000</v>
      </c>
      <c r="I29" s="10">
        <v>3192000</v>
      </c>
      <c r="J29" s="10">
        <v>3830000</v>
      </c>
      <c r="K29" s="10">
        <v>4596000</v>
      </c>
      <c r="L29" s="10">
        <v>5516000</v>
      </c>
      <c r="M29" s="10">
        <v>6619000</v>
      </c>
    </row>
    <row r="30" spans="1:13" ht="19.5" customHeight="1">
      <c r="A30" s="11">
        <v>29</v>
      </c>
      <c r="B30" s="13" t="s">
        <v>292</v>
      </c>
      <c r="C30" s="13" t="s">
        <v>160</v>
      </c>
      <c r="D30" s="17" t="s">
        <v>23</v>
      </c>
      <c r="E30" s="11">
        <v>7642000</v>
      </c>
      <c r="F30" s="11">
        <v>500000</v>
      </c>
      <c r="G30" s="11">
        <v>1000000</v>
      </c>
      <c r="H30" s="11">
        <v>2660000</v>
      </c>
      <c r="I30" s="11">
        <v>3192000</v>
      </c>
      <c r="J30" s="11">
        <v>3830000</v>
      </c>
      <c r="K30" s="11">
        <v>4596000</v>
      </c>
      <c r="L30" s="11">
        <v>5516000</v>
      </c>
      <c r="M30" s="11">
        <v>6619000</v>
      </c>
    </row>
    <row r="31" spans="1:13" ht="19.5" customHeight="1">
      <c r="A31" s="10">
        <v>30</v>
      </c>
      <c r="B31" s="12" t="s">
        <v>292</v>
      </c>
      <c r="C31" s="12" t="s">
        <v>166</v>
      </c>
      <c r="D31" s="14" t="s">
        <v>23</v>
      </c>
      <c r="E31" s="10">
        <v>8788000</v>
      </c>
      <c r="F31" s="10">
        <v>500000</v>
      </c>
      <c r="G31" s="10">
        <v>1000000</v>
      </c>
      <c r="H31" s="10">
        <v>3060000</v>
      </c>
      <c r="I31" s="10">
        <v>3672000</v>
      </c>
      <c r="J31" s="10">
        <v>4406000</v>
      </c>
      <c r="K31" s="10">
        <v>5288000</v>
      </c>
      <c r="L31" s="10">
        <v>6345000</v>
      </c>
      <c r="M31" s="10">
        <v>7614000</v>
      </c>
    </row>
    <row r="32" spans="1:13" ht="19.5" customHeight="1">
      <c r="A32" s="11">
        <v>31</v>
      </c>
      <c r="B32" s="13" t="s">
        <v>292</v>
      </c>
      <c r="C32" s="13" t="s">
        <v>293</v>
      </c>
      <c r="D32" s="17" t="s">
        <v>23</v>
      </c>
      <c r="E32" s="11">
        <v>7054000</v>
      </c>
      <c r="F32" s="11">
        <v>500000</v>
      </c>
      <c r="G32" s="11">
        <v>1000000</v>
      </c>
      <c r="H32" s="11">
        <v>2660000</v>
      </c>
      <c r="I32" s="11">
        <v>3192000</v>
      </c>
      <c r="J32" s="11">
        <v>3830000</v>
      </c>
      <c r="K32" s="11">
        <v>4596000</v>
      </c>
      <c r="L32" s="11">
        <v>5516000</v>
      </c>
      <c r="M32" s="11">
        <v>6619000</v>
      </c>
    </row>
    <row r="33" spans="1:13" ht="19.5" customHeight="1">
      <c r="A33" s="10">
        <v>32</v>
      </c>
      <c r="B33" s="12" t="s">
        <v>292</v>
      </c>
      <c r="C33" s="12" t="s">
        <v>153</v>
      </c>
      <c r="D33" s="14" t="s">
        <v>23</v>
      </c>
      <c r="E33" s="10">
        <v>7348000</v>
      </c>
      <c r="F33" s="10">
        <v>500000</v>
      </c>
      <c r="G33" s="10">
        <v>1000000</v>
      </c>
      <c r="H33" s="10">
        <v>2660000</v>
      </c>
      <c r="I33" s="10">
        <v>3192000</v>
      </c>
      <c r="J33" s="10">
        <v>3830000</v>
      </c>
      <c r="K33" s="10">
        <v>4596000</v>
      </c>
      <c r="L33" s="10">
        <v>5516000</v>
      </c>
      <c r="M33" s="10">
        <v>6619000</v>
      </c>
    </row>
    <row r="34" spans="1:13" ht="19.5" customHeight="1">
      <c r="A34" s="11">
        <v>33</v>
      </c>
      <c r="B34" s="13" t="s">
        <v>292</v>
      </c>
      <c r="C34" s="13" t="s">
        <v>192</v>
      </c>
      <c r="D34" s="17" t="s">
        <v>23</v>
      </c>
      <c r="E34" s="11">
        <v>8788000</v>
      </c>
      <c r="F34" s="11">
        <v>500000</v>
      </c>
      <c r="G34" s="11">
        <v>1000000</v>
      </c>
      <c r="H34" s="11">
        <v>3060000</v>
      </c>
      <c r="I34" s="11">
        <v>3672000</v>
      </c>
      <c r="J34" s="11">
        <v>4406000</v>
      </c>
      <c r="K34" s="11">
        <v>5288000</v>
      </c>
      <c r="L34" s="11">
        <v>6345000</v>
      </c>
      <c r="M34" s="11">
        <v>7614000</v>
      </c>
    </row>
    <row r="35" spans="1:13" ht="19.5" customHeight="1">
      <c r="A35" s="10">
        <v>34</v>
      </c>
      <c r="B35" s="12" t="s">
        <v>292</v>
      </c>
      <c r="C35" s="12" t="s">
        <v>155</v>
      </c>
      <c r="D35" s="14" t="s">
        <v>23</v>
      </c>
      <c r="E35" s="10">
        <v>10857000</v>
      </c>
      <c r="F35" s="10">
        <v>500000</v>
      </c>
      <c r="G35" s="10">
        <v>1000000</v>
      </c>
      <c r="H35" s="10">
        <v>3940000</v>
      </c>
      <c r="I35" s="10">
        <v>4728000</v>
      </c>
      <c r="J35" s="10">
        <v>5674000</v>
      </c>
      <c r="K35" s="10">
        <v>6808000</v>
      </c>
      <c r="L35" s="10">
        <v>8170000</v>
      </c>
      <c r="M35" s="10">
        <v>9804000</v>
      </c>
    </row>
    <row r="36" spans="1:13" ht="19.5" customHeight="1">
      <c r="A36" s="11">
        <v>35</v>
      </c>
      <c r="B36" s="13" t="s">
        <v>292</v>
      </c>
      <c r="C36" s="13" t="s">
        <v>185</v>
      </c>
      <c r="D36" s="17" t="s">
        <v>23</v>
      </c>
      <c r="E36" s="11">
        <v>10857000</v>
      </c>
      <c r="F36" s="11">
        <v>500000</v>
      </c>
      <c r="G36" s="11">
        <v>1000000</v>
      </c>
      <c r="H36" s="11">
        <v>3780000</v>
      </c>
      <c r="I36" s="11">
        <v>4536000</v>
      </c>
      <c r="J36" s="11">
        <v>5443000</v>
      </c>
      <c r="K36" s="11">
        <v>6532000</v>
      </c>
      <c r="L36" s="11">
        <v>7838000</v>
      </c>
      <c r="M36" s="11">
        <v>9406000</v>
      </c>
    </row>
    <row r="37" spans="1:13" ht="19.5" customHeight="1">
      <c r="A37" s="10">
        <v>36</v>
      </c>
      <c r="B37" s="12" t="s">
        <v>292</v>
      </c>
      <c r="C37" s="12" t="s">
        <v>164</v>
      </c>
      <c r="D37" s="14" t="s">
        <v>23</v>
      </c>
      <c r="E37" s="10">
        <v>11463000</v>
      </c>
      <c r="F37" s="10">
        <v>500000</v>
      </c>
      <c r="G37" s="10">
        <v>1000000</v>
      </c>
      <c r="H37" s="10">
        <v>4160000</v>
      </c>
      <c r="I37" s="10">
        <v>4992000</v>
      </c>
      <c r="J37" s="10">
        <v>5990000</v>
      </c>
      <c r="K37" s="10">
        <v>7188000</v>
      </c>
      <c r="L37" s="10">
        <v>8626000</v>
      </c>
      <c r="M37" s="10">
        <v>10351000</v>
      </c>
    </row>
    <row r="38" spans="1:13" ht="19.5" customHeight="1">
      <c r="A38" s="11">
        <v>37</v>
      </c>
      <c r="B38" s="13" t="s">
        <v>292</v>
      </c>
      <c r="C38" s="13" t="s">
        <v>182</v>
      </c>
      <c r="D38" s="17" t="s">
        <v>23</v>
      </c>
      <c r="E38" s="11">
        <v>11463000</v>
      </c>
      <c r="F38" s="11">
        <v>500000</v>
      </c>
      <c r="G38" s="11">
        <v>1000000</v>
      </c>
      <c r="H38" s="11">
        <v>4160000</v>
      </c>
      <c r="I38" s="11">
        <v>4992000</v>
      </c>
      <c r="J38" s="11">
        <v>5990000</v>
      </c>
      <c r="K38" s="11">
        <v>7188000</v>
      </c>
      <c r="L38" s="11">
        <v>8626000</v>
      </c>
      <c r="M38" s="11">
        <v>10351000</v>
      </c>
    </row>
    <row r="39" spans="1:13" ht="19.5" customHeight="1">
      <c r="A39" s="10">
        <v>38</v>
      </c>
      <c r="B39" s="12" t="s">
        <v>292</v>
      </c>
      <c r="C39" s="12" t="s">
        <v>178</v>
      </c>
      <c r="D39" s="14" t="s">
        <v>23</v>
      </c>
      <c r="E39" s="10">
        <v>11497000</v>
      </c>
      <c r="F39" s="10">
        <v>500000</v>
      </c>
      <c r="G39" s="10">
        <v>1000000</v>
      </c>
      <c r="H39" s="10">
        <v>4160000</v>
      </c>
      <c r="I39" s="10">
        <v>4992000</v>
      </c>
      <c r="J39" s="10">
        <v>5990000</v>
      </c>
      <c r="K39" s="10">
        <v>7188000</v>
      </c>
      <c r="L39" s="10">
        <v>8626000</v>
      </c>
      <c r="M39" s="10">
        <v>10351000</v>
      </c>
    </row>
    <row r="40" spans="1:13" ht="19.5" customHeight="1">
      <c r="A40" s="11">
        <v>39</v>
      </c>
      <c r="B40" s="13" t="s">
        <v>292</v>
      </c>
      <c r="C40" s="13" t="s">
        <v>296</v>
      </c>
      <c r="D40" s="17" t="s">
        <v>23</v>
      </c>
      <c r="E40" s="11">
        <v>12227000</v>
      </c>
      <c r="F40" s="11">
        <v>500000</v>
      </c>
      <c r="G40" s="11">
        <v>1000000</v>
      </c>
      <c r="H40" s="11">
        <v>4430000</v>
      </c>
      <c r="I40" s="11">
        <v>5316000</v>
      </c>
      <c r="J40" s="11">
        <v>6379000</v>
      </c>
      <c r="K40" s="11">
        <v>7655000</v>
      </c>
      <c r="L40" s="11">
        <v>9186000</v>
      </c>
      <c r="M40" s="11">
        <v>11023000</v>
      </c>
    </row>
    <row r="41" spans="1:13" ht="19.5" customHeight="1">
      <c r="A41" s="10">
        <v>40</v>
      </c>
      <c r="B41" s="12" t="s">
        <v>292</v>
      </c>
      <c r="C41" s="12" t="s">
        <v>151</v>
      </c>
      <c r="D41" s="14" t="s">
        <v>23</v>
      </c>
      <c r="E41" s="10">
        <v>7348000</v>
      </c>
      <c r="F41" s="10">
        <v>500000</v>
      </c>
      <c r="G41" s="10">
        <v>1000000</v>
      </c>
      <c r="H41" s="10">
        <v>2660000</v>
      </c>
      <c r="I41" s="10">
        <v>3192000</v>
      </c>
      <c r="J41" s="10">
        <v>3830000</v>
      </c>
      <c r="K41" s="10">
        <v>4596000</v>
      </c>
      <c r="L41" s="10">
        <v>5516000</v>
      </c>
      <c r="M41" s="10">
        <v>6619000</v>
      </c>
    </row>
    <row r="42" spans="1:13" ht="19.5" customHeight="1">
      <c r="A42" s="11">
        <v>41</v>
      </c>
      <c r="B42" s="13" t="s">
        <v>292</v>
      </c>
      <c r="C42" s="13" t="s">
        <v>297</v>
      </c>
      <c r="D42" s="17" t="s">
        <v>23</v>
      </c>
      <c r="E42" s="11">
        <v>9553000</v>
      </c>
      <c r="F42" s="11">
        <v>500000</v>
      </c>
      <c r="G42" s="11">
        <v>1000000</v>
      </c>
      <c r="H42" s="11">
        <v>3460000</v>
      </c>
      <c r="I42" s="11">
        <v>4152000</v>
      </c>
      <c r="J42" s="11">
        <v>4982000</v>
      </c>
      <c r="K42" s="11">
        <v>5979000</v>
      </c>
      <c r="L42" s="11">
        <v>7175000</v>
      </c>
      <c r="M42" s="11">
        <v>8610000</v>
      </c>
    </row>
    <row r="43" spans="1:13" ht="19.5" customHeight="1">
      <c r="A43" s="10">
        <v>42</v>
      </c>
      <c r="B43" s="12" t="s">
        <v>292</v>
      </c>
      <c r="C43" s="12" t="s">
        <v>298</v>
      </c>
      <c r="D43" s="14" t="s">
        <v>23</v>
      </c>
      <c r="E43" s="10">
        <v>9553000</v>
      </c>
      <c r="F43" s="10">
        <v>500000</v>
      </c>
      <c r="G43" s="10">
        <v>1000000</v>
      </c>
      <c r="H43" s="10">
        <v>3460000</v>
      </c>
      <c r="I43" s="10">
        <v>4152000</v>
      </c>
      <c r="J43" s="10">
        <v>4982000</v>
      </c>
      <c r="K43" s="10">
        <v>5979000</v>
      </c>
      <c r="L43" s="10">
        <v>7175000</v>
      </c>
      <c r="M43" s="10">
        <v>8610000</v>
      </c>
    </row>
    <row r="44" spans="1:13" ht="19.5" customHeight="1">
      <c r="A44" s="11">
        <v>43</v>
      </c>
      <c r="B44" s="13" t="s">
        <v>299</v>
      </c>
      <c r="C44" s="13" t="s">
        <v>194</v>
      </c>
      <c r="D44" s="17" t="s">
        <v>23</v>
      </c>
      <c r="E44" s="11">
        <v>26355000</v>
      </c>
      <c r="F44" s="11">
        <v>500000</v>
      </c>
      <c r="G44" s="11">
        <v>1000000</v>
      </c>
      <c r="H44" s="11">
        <v>5500000</v>
      </c>
      <c r="I44" s="11">
        <v>8500000</v>
      </c>
      <c r="J44" s="11">
        <v>11500000</v>
      </c>
      <c r="K44" s="11">
        <v>14500000</v>
      </c>
      <c r="L44" s="11">
        <v>17500000</v>
      </c>
      <c r="M44" s="11">
        <v>21000000</v>
      </c>
    </row>
    <row r="45" spans="1:13" ht="19.5" customHeight="1">
      <c r="A45" s="10">
        <v>44</v>
      </c>
      <c r="B45" s="12" t="s">
        <v>299</v>
      </c>
      <c r="C45" s="12" t="s">
        <v>195</v>
      </c>
      <c r="D45" s="14" t="s">
        <v>23</v>
      </c>
      <c r="E45" s="10">
        <v>8450000</v>
      </c>
      <c r="F45" s="10">
        <v>500000</v>
      </c>
      <c r="G45" s="10">
        <v>1000000</v>
      </c>
      <c r="H45" s="10">
        <v>3549643</v>
      </c>
      <c r="I45" s="10">
        <v>4176050</v>
      </c>
      <c r="J45" s="10">
        <v>4913000</v>
      </c>
      <c r="K45" s="10">
        <v>5780000</v>
      </c>
      <c r="L45" s="10">
        <v>6800000</v>
      </c>
      <c r="M45" s="10">
        <v>8000000</v>
      </c>
    </row>
    <row r="46" spans="1:13" ht="19.5" customHeight="1">
      <c r="A46" s="11">
        <v>45</v>
      </c>
      <c r="B46" s="13" t="s">
        <v>300</v>
      </c>
      <c r="C46" s="13" t="s">
        <v>206</v>
      </c>
      <c r="D46" s="17" t="s">
        <v>23</v>
      </c>
      <c r="E46" s="11">
        <v>10857000</v>
      </c>
      <c r="F46" s="11">
        <v>500000</v>
      </c>
      <c r="G46" s="11">
        <v>1000000</v>
      </c>
      <c r="H46" s="11">
        <v>3940000</v>
      </c>
      <c r="I46" s="11">
        <v>4728000</v>
      </c>
      <c r="J46" s="11">
        <v>5674000</v>
      </c>
      <c r="K46" s="11">
        <v>6808000</v>
      </c>
      <c r="L46" s="11">
        <v>8170000</v>
      </c>
      <c r="M46" s="11">
        <v>9804000</v>
      </c>
    </row>
    <row r="47" spans="1:13" ht="19.5" customHeight="1">
      <c r="A47" s="10">
        <v>46</v>
      </c>
      <c r="B47" s="12" t="s">
        <v>300</v>
      </c>
      <c r="C47" s="12" t="s">
        <v>203</v>
      </c>
      <c r="D47" s="14" t="s">
        <v>23</v>
      </c>
      <c r="E47" s="10">
        <v>12227000</v>
      </c>
      <c r="F47" s="10">
        <v>500000</v>
      </c>
      <c r="G47" s="10">
        <v>1000000</v>
      </c>
      <c r="H47" s="10">
        <v>4430000</v>
      </c>
      <c r="I47" s="10">
        <v>5316000</v>
      </c>
      <c r="J47" s="10">
        <v>6379000</v>
      </c>
      <c r="K47" s="10">
        <v>7655000</v>
      </c>
      <c r="L47" s="10">
        <v>9186000</v>
      </c>
      <c r="M47" s="10">
        <v>11023000</v>
      </c>
    </row>
    <row r="48" spans="1:13" ht="19.5" customHeight="1">
      <c r="A48" s="11">
        <v>47</v>
      </c>
      <c r="B48" s="13" t="s">
        <v>300</v>
      </c>
      <c r="C48" s="13" t="s">
        <v>204</v>
      </c>
      <c r="D48" s="17" t="s">
        <v>23</v>
      </c>
      <c r="E48" s="11">
        <v>12227000</v>
      </c>
      <c r="F48" s="11">
        <v>500000</v>
      </c>
      <c r="G48" s="11">
        <v>1000000</v>
      </c>
      <c r="H48" s="11">
        <v>4430000</v>
      </c>
      <c r="I48" s="11">
        <v>5316000</v>
      </c>
      <c r="J48" s="11">
        <v>6379000</v>
      </c>
      <c r="K48" s="11">
        <v>7655000</v>
      </c>
      <c r="L48" s="11">
        <v>9186000</v>
      </c>
      <c r="M48" s="11">
        <v>11023000</v>
      </c>
    </row>
    <row r="49" spans="1:13" ht="19.5" customHeight="1">
      <c r="A49" s="10">
        <v>48</v>
      </c>
      <c r="B49" s="12" t="s">
        <v>300</v>
      </c>
      <c r="C49" s="12" t="s">
        <v>28</v>
      </c>
      <c r="D49" s="14" t="s">
        <v>23</v>
      </c>
      <c r="E49" s="10">
        <v>12227000</v>
      </c>
      <c r="F49" s="10">
        <v>500000</v>
      </c>
      <c r="G49" s="10">
        <v>1000000</v>
      </c>
      <c r="H49" s="10">
        <v>4430000</v>
      </c>
      <c r="I49" s="10">
        <v>5316000</v>
      </c>
      <c r="J49" s="10">
        <v>6379000</v>
      </c>
      <c r="K49" s="10">
        <v>7655000</v>
      </c>
      <c r="L49" s="10">
        <v>9186000</v>
      </c>
      <c r="M49" s="10">
        <v>11023000</v>
      </c>
    </row>
    <row r="50" spans="1:13" ht="19.5" customHeight="1">
      <c r="A50" s="11">
        <v>49</v>
      </c>
      <c r="B50" s="13" t="s">
        <v>300</v>
      </c>
      <c r="C50" s="13" t="s">
        <v>209</v>
      </c>
      <c r="D50" s="17" t="s">
        <v>23</v>
      </c>
      <c r="E50" s="11">
        <v>10857000</v>
      </c>
      <c r="F50" s="11">
        <v>500000</v>
      </c>
      <c r="G50" s="11">
        <v>1000000</v>
      </c>
      <c r="H50" s="11">
        <v>3940000</v>
      </c>
      <c r="I50" s="11">
        <v>4728000</v>
      </c>
      <c r="J50" s="11">
        <v>5674000</v>
      </c>
      <c r="K50" s="11">
        <v>6808000</v>
      </c>
      <c r="L50" s="11">
        <v>8170000</v>
      </c>
      <c r="M50" s="11">
        <v>9804000</v>
      </c>
    </row>
    <row r="51" spans="1:13" ht="19.5" customHeight="1">
      <c r="A51" s="10">
        <v>50</v>
      </c>
      <c r="B51" s="12" t="s">
        <v>300</v>
      </c>
      <c r="C51" s="12" t="s">
        <v>208</v>
      </c>
      <c r="D51" s="14" t="s">
        <v>23</v>
      </c>
      <c r="E51" s="10">
        <v>10439000</v>
      </c>
      <c r="F51" s="10">
        <v>500000</v>
      </c>
      <c r="G51" s="10">
        <v>1000000</v>
      </c>
      <c r="H51" s="10">
        <v>3780000</v>
      </c>
      <c r="I51" s="10">
        <v>4536000</v>
      </c>
      <c r="J51" s="10">
        <v>5443000</v>
      </c>
      <c r="K51" s="10">
        <v>6532000</v>
      </c>
      <c r="L51" s="10">
        <v>7838000</v>
      </c>
      <c r="M51" s="10">
        <v>9406000</v>
      </c>
    </row>
    <row r="52" spans="1:13" ht="19.5" customHeight="1">
      <c r="A52" s="11">
        <v>51</v>
      </c>
      <c r="B52" s="13" t="s">
        <v>300</v>
      </c>
      <c r="C52" s="13" t="s">
        <v>202</v>
      </c>
      <c r="D52" s="17" t="s">
        <v>23</v>
      </c>
      <c r="E52" s="11">
        <v>25341000</v>
      </c>
      <c r="F52" s="11">
        <v>500000</v>
      </c>
      <c r="G52" s="11">
        <v>1000000</v>
      </c>
      <c r="H52" s="11">
        <v>4500000</v>
      </c>
      <c r="I52" s="11">
        <v>7500000</v>
      </c>
      <c r="J52" s="11">
        <v>10500000</v>
      </c>
      <c r="K52" s="11">
        <v>13500000</v>
      </c>
      <c r="L52" s="11">
        <v>16500000</v>
      </c>
      <c r="M52" s="11">
        <v>19500000</v>
      </c>
    </row>
    <row r="53" spans="1:13" ht="19.5" customHeight="1">
      <c r="A53" s="10">
        <v>52</v>
      </c>
      <c r="B53" s="12" t="s">
        <v>303</v>
      </c>
      <c r="C53" s="12" t="s">
        <v>218</v>
      </c>
      <c r="D53" s="14" t="s">
        <v>23</v>
      </c>
      <c r="E53" s="10">
        <v>7348000</v>
      </c>
      <c r="F53" s="10">
        <v>500000</v>
      </c>
      <c r="G53" s="10">
        <v>1000000</v>
      </c>
      <c r="H53" s="10">
        <v>2660000</v>
      </c>
      <c r="I53" s="10">
        <v>3192000</v>
      </c>
      <c r="J53" s="10">
        <v>3830000</v>
      </c>
      <c r="K53" s="10">
        <v>4596000</v>
      </c>
      <c r="L53" s="10">
        <v>5516000</v>
      </c>
      <c r="M53" s="10">
        <v>6619000</v>
      </c>
    </row>
    <row r="54" spans="1:13" ht="19.5" customHeight="1">
      <c r="A54" s="11">
        <v>53</v>
      </c>
      <c r="B54" s="13" t="s">
        <v>303</v>
      </c>
      <c r="C54" s="13" t="s">
        <v>211</v>
      </c>
      <c r="D54" s="17" t="s">
        <v>23</v>
      </c>
      <c r="E54" s="11">
        <v>7348000</v>
      </c>
      <c r="F54" s="11">
        <v>500000</v>
      </c>
      <c r="G54" s="11">
        <v>1000000</v>
      </c>
      <c r="H54" s="11">
        <v>2660000</v>
      </c>
      <c r="I54" s="11">
        <v>3192000</v>
      </c>
      <c r="J54" s="11">
        <v>3830000</v>
      </c>
      <c r="K54" s="11">
        <v>4596000</v>
      </c>
      <c r="L54" s="11">
        <v>5516000</v>
      </c>
      <c r="M54" s="11">
        <v>6619000</v>
      </c>
    </row>
    <row r="55" spans="1:13" ht="19.5" customHeight="1">
      <c r="A55" s="10">
        <v>54</v>
      </c>
      <c r="B55" s="12" t="s">
        <v>303</v>
      </c>
      <c r="C55" s="12" t="s">
        <v>214</v>
      </c>
      <c r="D55" s="14" t="s">
        <v>23</v>
      </c>
      <c r="E55" s="10">
        <v>7348000</v>
      </c>
      <c r="F55" s="10">
        <v>500000</v>
      </c>
      <c r="G55" s="10">
        <v>1000000</v>
      </c>
      <c r="H55" s="10">
        <v>2660000</v>
      </c>
      <c r="I55" s="10">
        <v>3192000</v>
      </c>
      <c r="J55" s="10">
        <v>3830000</v>
      </c>
      <c r="K55" s="10">
        <v>4596000</v>
      </c>
      <c r="L55" s="10">
        <v>5516000</v>
      </c>
      <c r="M55" s="10">
        <v>6619000</v>
      </c>
    </row>
    <row r="56" spans="1:13" ht="19.5" customHeight="1">
      <c r="A56" s="11">
        <v>55</v>
      </c>
      <c r="B56" s="13" t="s">
        <v>303</v>
      </c>
      <c r="C56" s="13" t="s">
        <v>212</v>
      </c>
      <c r="D56" s="17" t="s">
        <v>23</v>
      </c>
      <c r="E56" s="11">
        <v>7348000</v>
      </c>
      <c r="F56" s="11">
        <v>500000</v>
      </c>
      <c r="G56" s="11">
        <v>1000000</v>
      </c>
      <c r="H56" s="11">
        <v>2660000</v>
      </c>
      <c r="I56" s="11">
        <v>3192000</v>
      </c>
      <c r="J56" s="11">
        <v>3830000</v>
      </c>
      <c r="K56" s="11">
        <v>4596000</v>
      </c>
      <c r="L56" s="11">
        <v>5516000</v>
      </c>
      <c r="M56" s="11">
        <v>6619000</v>
      </c>
    </row>
    <row r="57" spans="1:13" ht="19.5" customHeight="1">
      <c r="A57" s="10">
        <v>56</v>
      </c>
      <c r="B57" s="12" t="s">
        <v>306</v>
      </c>
      <c r="C57" s="12" t="s">
        <v>226</v>
      </c>
      <c r="D57" s="14" t="s">
        <v>23</v>
      </c>
      <c r="E57" s="10">
        <v>11463000</v>
      </c>
      <c r="F57" s="10">
        <v>500000</v>
      </c>
      <c r="G57" s="10">
        <v>1000000</v>
      </c>
      <c r="H57" s="10">
        <v>4160000</v>
      </c>
      <c r="I57" s="10">
        <v>4992000</v>
      </c>
      <c r="J57" s="10">
        <v>5990000</v>
      </c>
      <c r="K57" s="10">
        <v>7188000</v>
      </c>
      <c r="L57" s="10">
        <v>8626000</v>
      </c>
      <c r="M57" s="10">
        <v>10351000</v>
      </c>
    </row>
    <row r="58" spans="1:13" ht="19.5" customHeight="1">
      <c r="A58" s="11">
        <v>57</v>
      </c>
      <c r="B58" s="13" t="s">
        <v>306</v>
      </c>
      <c r="C58" s="13" t="s">
        <v>308</v>
      </c>
      <c r="D58" s="17" t="s">
        <v>23</v>
      </c>
      <c r="E58" s="11">
        <v>10439000</v>
      </c>
      <c r="F58" s="11">
        <v>500000</v>
      </c>
      <c r="G58" s="11">
        <v>1000000</v>
      </c>
      <c r="H58" s="11">
        <v>4370000</v>
      </c>
      <c r="I58" s="11">
        <v>5244000</v>
      </c>
      <c r="J58" s="11">
        <v>6293000</v>
      </c>
      <c r="K58" s="11">
        <v>7551000</v>
      </c>
      <c r="L58" s="11">
        <v>9062000</v>
      </c>
      <c r="M58" s="11">
        <v>10439000</v>
      </c>
    </row>
    <row r="59" spans="1:13" ht="19.5" customHeight="1">
      <c r="A59" s="10">
        <v>58</v>
      </c>
      <c r="B59" s="12" t="s">
        <v>306</v>
      </c>
      <c r="C59" s="12" t="s">
        <v>230</v>
      </c>
      <c r="D59" s="14" t="s">
        <v>23</v>
      </c>
      <c r="E59" s="10">
        <v>11022000</v>
      </c>
      <c r="F59" s="10">
        <v>500000</v>
      </c>
      <c r="G59" s="10">
        <v>1000000</v>
      </c>
      <c r="H59" s="10">
        <v>4790000</v>
      </c>
      <c r="I59" s="10">
        <v>6095000</v>
      </c>
      <c r="J59" s="10">
        <v>7400000</v>
      </c>
      <c r="K59" s="10">
        <v>8705000</v>
      </c>
      <c r="L59" s="10">
        <v>10010000</v>
      </c>
      <c r="M59" s="10">
        <v>11022000</v>
      </c>
    </row>
    <row r="60" spans="1:13" ht="19.5" customHeight="1">
      <c r="A60" s="11">
        <v>59</v>
      </c>
      <c r="B60" s="13" t="s">
        <v>311</v>
      </c>
      <c r="C60" s="13" t="s">
        <v>27</v>
      </c>
      <c r="D60" s="17" t="s">
        <v>23</v>
      </c>
      <c r="E60" s="11">
        <v>26355000</v>
      </c>
      <c r="F60" s="11">
        <v>500000</v>
      </c>
      <c r="G60" s="11">
        <v>1000000</v>
      </c>
      <c r="H60" s="11">
        <v>4500000</v>
      </c>
      <c r="I60" s="11">
        <v>7500000</v>
      </c>
      <c r="J60" s="11">
        <v>10500000</v>
      </c>
      <c r="K60" s="11">
        <v>13500000</v>
      </c>
      <c r="L60" s="11">
        <v>16500000</v>
      </c>
      <c r="M60" s="11">
        <v>19500000</v>
      </c>
    </row>
    <row r="61" spans="1:13" ht="19.5" customHeight="1">
      <c r="A61" s="10">
        <v>60</v>
      </c>
      <c r="B61" s="12" t="s">
        <v>312</v>
      </c>
      <c r="C61" s="12" t="s">
        <v>233</v>
      </c>
      <c r="D61" s="14" t="s">
        <v>23</v>
      </c>
      <c r="E61" s="10">
        <v>26355000</v>
      </c>
      <c r="F61" s="10">
        <v>500000</v>
      </c>
      <c r="G61" s="10">
        <v>1000000</v>
      </c>
      <c r="H61" s="10">
        <v>5000000</v>
      </c>
      <c r="I61" s="10">
        <v>8000000</v>
      </c>
      <c r="J61" s="10">
        <v>11000000</v>
      </c>
      <c r="K61" s="10">
        <v>14000000</v>
      </c>
      <c r="L61" s="10">
        <v>17000000</v>
      </c>
      <c r="M61" s="10">
        <v>20000000</v>
      </c>
    </row>
    <row r="62" spans="1:13" ht="15.75" customHeight="1"/>
    <row r="63" spans="1:13" ht="15.75" customHeight="1"/>
    <row r="64" spans="1:13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1000"/>
  <sheetViews>
    <sheetView workbookViewId="0"/>
  </sheetViews>
  <sheetFormatPr baseColWidth="10" defaultColWidth="12.6640625" defaultRowHeight="15" customHeight="1"/>
  <cols>
    <col min="1" max="1" width="10.5" customWidth="1"/>
    <col min="2" max="2" width="34.1640625" customWidth="1"/>
    <col min="3" max="3" width="39.33203125" customWidth="1"/>
    <col min="4" max="4" width="10.5" customWidth="1"/>
    <col min="5" max="5" width="21" customWidth="1"/>
    <col min="6" max="6" width="20.1640625" customWidth="1"/>
    <col min="7" max="7" width="19.1640625" customWidth="1"/>
    <col min="8" max="8" width="20.1640625" customWidth="1"/>
    <col min="9" max="9" width="21" customWidth="1"/>
    <col min="10" max="10" width="21.83203125" customWidth="1"/>
    <col min="11" max="11" width="40.1640625" customWidth="1"/>
    <col min="12" max="24" width="7.6640625" customWidth="1"/>
  </cols>
  <sheetData>
    <row r="1" spans="1:11" ht="27.75" customHeight="1">
      <c r="A1" s="48" t="s">
        <v>0</v>
      </c>
      <c r="B1" s="48" t="s">
        <v>2</v>
      </c>
      <c r="C1" s="48" t="s">
        <v>3</v>
      </c>
      <c r="D1" s="48" t="s">
        <v>4</v>
      </c>
      <c r="E1" s="48" t="s">
        <v>5</v>
      </c>
      <c r="F1" s="48" t="s">
        <v>7</v>
      </c>
      <c r="G1" s="48" t="s">
        <v>9</v>
      </c>
      <c r="H1" s="48" t="s">
        <v>10</v>
      </c>
      <c r="I1" s="48" t="s">
        <v>278</v>
      </c>
      <c r="J1" s="48" t="s">
        <v>279</v>
      </c>
      <c r="K1" s="48" t="s">
        <v>11</v>
      </c>
    </row>
    <row r="2" spans="1:11" ht="19.5" customHeight="1">
      <c r="A2" s="11">
        <v>1</v>
      </c>
      <c r="B2" s="13" t="s">
        <v>280</v>
      </c>
      <c r="C2" s="13" t="s">
        <v>38</v>
      </c>
      <c r="D2" s="17" t="s">
        <v>23</v>
      </c>
      <c r="E2" s="11">
        <v>7642000</v>
      </c>
      <c r="F2" s="11">
        <v>3324000</v>
      </c>
      <c r="G2" s="11">
        <v>3989000</v>
      </c>
      <c r="H2" s="11">
        <v>4787000</v>
      </c>
      <c r="I2" s="11">
        <v>5744000</v>
      </c>
      <c r="J2" s="11">
        <v>6893000</v>
      </c>
      <c r="K2" s="11">
        <v>15000000</v>
      </c>
    </row>
    <row r="3" spans="1:11" ht="19.5" customHeight="1">
      <c r="A3" s="10">
        <v>2</v>
      </c>
      <c r="B3" s="12" t="s">
        <v>280</v>
      </c>
      <c r="C3" s="12" t="s">
        <v>43</v>
      </c>
      <c r="D3" s="14" t="s">
        <v>23</v>
      </c>
      <c r="E3" s="10">
        <v>7642000</v>
      </c>
      <c r="F3" s="10">
        <v>3324000</v>
      </c>
      <c r="G3" s="10">
        <v>3989000</v>
      </c>
      <c r="H3" s="10">
        <v>4787000</v>
      </c>
      <c r="I3" s="10">
        <v>5744000</v>
      </c>
      <c r="J3" s="10">
        <v>6893000</v>
      </c>
      <c r="K3" s="10">
        <v>15000000</v>
      </c>
    </row>
    <row r="4" spans="1:11" ht="19.5" customHeight="1">
      <c r="A4" s="11">
        <v>3</v>
      </c>
      <c r="B4" s="13" t="s">
        <v>280</v>
      </c>
      <c r="C4" s="13" t="s">
        <v>22</v>
      </c>
      <c r="D4" s="17" t="s">
        <v>23</v>
      </c>
      <c r="E4" s="11">
        <v>7642000</v>
      </c>
      <c r="F4" s="11">
        <v>3576000</v>
      </c>
      <c r="G4" s="11">
        <v>4291000</v>
      </c>
      <c r="H4" s="11">
        <v>5149000</v>
      </c>
      <c r="I4" s="11">
        <v>6179000</v>
      </c>
      <c r="J4" s="11">
        <v>7415000</v>
      </c>
      <c r="K4" s="11">
        <v>15000000</v>
      </c>
    </row>
    <row r="5" spans="1:11" ht="19.5" customHeight="1">
      <c r="A5" s="10">
        <v>4</v>
      </c>
      <c r="B5" s="12" t="s">
        <v>280</v>
      </c>
      <c r="C5" s="12" t="s">
        <v>281</v>
      </c>
      <c r="D5" s="14" t="s">
        <v>282</v>
      </c>
      <c r="E5" s="10">
        <v>9695000</v>
      </c>
      <c r="F5" s="10">
        <v>3576000</v>
      </c>
      <c r="G5" s="10">
        <v>4291000</v>
      </c>
      <c r="H5" s="10">
        <v>5149000</v>
      </c>
      <c r="I5" s="10">
        <v>6179000</v>
      </c>
      <c r="J5" s="10">
        <v>7415000</v>
      </c>
      <c r="K5" s="10">
        <v>15000000</v>
      </c>
    </row>
    <row r="6" spans="1:11" ht="19.5" customHeight="1">
      <c r="A6" s="11">
        <v>5</v>
      </c>
      <c r="B6" s="13" t="s">
        <v>280</v>
      </c>
      <c r="C6" s="13" t="s">
        <v>29</v>
      </c>
      <c r="D6" s="17" t="s">
        <v>23</v>
      </c>
      <c r="E6" s="11">
        <v>7642000</v>
      </c>
      <c r="F6" s="11">
        <v>3192000</v>
      </c>
      <c r="G6" s="11">
        <v>3830000</v>
      </c>
      <c r="H6" s="11">
        <v>4596000</v>
      </c>
      <c r="I6" s="11">
        <v>5516000</v>
      </c>
      <c r="J6" s="11">
        <v>6619000</v>
      </c>
      <c r="K6" s="11">
        <v>15000000</v>
      </c>
    </row>
    <row r="7" spans="1:11" ht="19.5" customHeight="1">
      <c r="A7" s="10">
        <v>6</v>
      </c>
      <c r="B7" s="12" t="s">
        <v>283</v>
      </c>
      <c r="C7" s="12" t="s">
        <v>284</v>
      </c>
      <c r="D7" s="14" t="s">
        <v>23</v>
      </c>
      <c r="E7" s="10">
        <v>26355000</v>
      </c>
      <c r="F7" s="10">
        <v>7000000</v>
      </c>
      <c r="G7" s="10">
        <v>10000000</v>
      </c>
      <c r="H7" s="10">
        <v>13000000</v>
      </c>
      <c r="I7" s="10">
        <v>15000000</v>
      </c>
      <c r="J7" s="10">
        <v>18000000</v>
      </c>
      <c r="K7" s="10">
        <v>15000000</v>
      </c>
    </row>
    <row r="8" spans="1:11" ht="19.5" customHeight="1">
      <c r="A8" s="11">
        <v>7</v>
      </c>
      <c r="B8" s="13" t="s">
        <v>285</v>
      </c>
      <c r="C8" s="13" t="s">
        <v>64</v>
      </c>
      <c r="D8" s="17" t="s">
        <v>23</v>
      </c>
      <c r="E8" s="11">
        <v>7642000</v>
      </c>
      <c r="F8" s="11">
        <v>3324000</v>
      </c>
      <c r="G8" s="11">
        <v>3989000</v>
      </c>
      <c r="H8" s="11">
        <v>4787000</v>
      </c>
      <c r="I8" s="11">
        <v>5744000</v>
      </c>
      <c r="J8" s="11">
        <v>6893000</v>
      </c>
      <c r="K8" s="11">
        <v>5000000</v>
      </c>
    </row>
    <row r="9" spans="1:11" ht="19.5" customHeight="1">
      <c r="A9" s="10">
        <v>8</v>
      </c>
      <c r="B9" s="12" t="s">
        <v>286</v>
      </c>
      <c r="C9" s="12" t="s">
        <v>112</v>
      </c>
      <c r="D9" s="14" t="s">
        <v>23</v>
      </c>
      <c r="E9" s="10">
        <v>13650000</v>
      </c>
      <c r="F9" s="10">
        <v>5940000</v>
      </c>
      <c r="G9" s="10">
        <v>7128000</v>
      </c>
      <c r="H9" s="10">
        <v>8554000</v>
      </c>
      <c r="I9" s="10">
        <v>10264000</v>
      </c>
      <c r="J9" s="10">
        <v>12317000</v>
      </c>
      <c r="K9" s="10">
        <v>50000000</v>
      </c>
    </row>
    <row r="10" spans="1:11" ht="19.5" customHeight="1">
      <c r="A10" s="11">
        <v>9</v>
      </c>
      <c r="B10" s="13" t="s">
        <v>286</v>
      </c>
      <c r="C10" s="13" t="s">
        <v>105</v>
      </c>
      <c r="D10" s="17" t="s">
        <v>23</v>
      </c>
      <c r="E10" s="11">
        <v>13650000</v>
      </c>
      <c r="F10" s="11">
        <v>5940000</v>
      </c>
      <c r="G10" s="11">
        <v>7128000</v>
      </c>
      <c r="H10" s="11">
        <v>8554000</v>
      </c>
      <c r="I10" s="11">
        <v>10264000</v>
      </c>
      <c r="J10" s="11">
        <v>12317000</v>
      </c>
      <c r="K10" s="11">
        <v>30000000</v>
      </c>
    </row>
    <row r="11" spans="1:11" ht="19.5" customHeight="1">
      <c r="A11" s="10">
        <v>10</v>
      </c>
      <c r="B11" s="12" t="s">
        <v>286</v>
      </c>
      <c r="C11" s="12" t="s">
        <v>95</v>
      </c>
      <c r="D11" s="14" t="s">
        <v>23</v>
      </c>
      <c r="E11" s="10">
        <v>15343000</v>
      </c>
      <c r="F11" s="10">
        <v>6672000</v>
      </c>
      <c r="G11" s="10">
        <v>8006000</v>
      </c>
      <c r="H11" s="10">
        <v>9608000</v>
      </c>
      <c r="I11" s="10">
        <v>11529000</v>
      </c>
      <c r="J11" s="10">
        <v>13835000</v>
      </c>
      <c r="K11" s="10">
        <v>30000000</v>
      </c>
    </row>
    <row r="12" spans="1:11" ht="19.5" customHeight="1">
      <c r="A12" s="11">
        <v>11</v>
      </c>
      <c r="B12" s="13" t="s">
        <v>286</v>
      </c>
      <c r="C12" s="13" t="s">
        <v>68</v>
      </c>
      <c r="D12" s="17" t="s">
        <v>23</v>
      </c>
      <c r="E12" s="11">
        <v>12238000</v>
      </c>
      <c r="F12" s="11">
        <v>5328000</v>
      </c>
      <c r="G12" s="11">
        <v>6394000</v>
      </c>
      <c r="H12" s="11">
        <v>7672000</v>
      </c>
      <c r="I12" s="11">
        <v>9207000</v>
      </c>
      <c r="J12" s="11">
        <v>11048000</v>
      </c>
      <c r="K12" s="11">
        <v>40000000</v>
      </c>
    </row>
    <row r="13" spans="1:11" ht="19.5" customHeight="1">
      <c r="A13" s="10">
        <v>12</v>
      </c>
      <c r="B13" s="12" t="s">
        <v>286</v>
      </c>
      <c r="C13" s="12" t="s">
        <v>79</v>
      </c>
      <c r="D13" s="14" t="s">
        <v>23</v>
      </c>
      <c r="E13" s="10">
        <v>13650000</v>
      </c>
      <c r="F13" s="10">
        <v>5940000</v>
      </c>
      <c r="G13" s="10">
        <v>7128000</v>
      </c>
      <c r="H13" s="10">
        <v>8554000</v>
      </c>
      <c r="I13" s="10">
        <v>10264000</v>
      </c>
      <c r="J13" s="10">
        <v>12317000</v>
      </c>
      <c r="K13" s="10">
        <v>40000000</v>
      </c>
    </row>
    <row r="14" spans="1:11" ht="19.5" customHeight="1">
      <c r="A14" s="11">
        <v>13</v>
      </c>
      <c r="B14" s="13" t="s">
        <v>286</v>
      </c>
      <c r="C14" s="13" t="s">
        <v>13</v>
      </c>
      <c r="D14" s="17" t="s">
        <v>23</v>
      </c>
      <c r="E14" s="11">
        <v>12709000</v>
      </c>
      <c r="F14" s="11">
        <v>5124000</v>
      </c>
      <c r="G14" s="11">
        <v>6149000</v>
      </c>
      <c r="H14" s="11">
        <v>7379000</v>
      </c>
      <c r="I14" s="11">
        <v>8854000</v>
      </c>
      <c r="J14" s="11">
        <v>10625000</v>
      </c>
      <c r="K14" s="11">
        <v>30000000</v>
      </c>
    </row>
    <row r="15" spans="1:11" ht="19.5" customHeight="1">
      <c r="A15" s="10">
        <v>14</v>
      </c>
      <c r="B15" s="12" t="s">
        <v>286</v>
      </c>
      <c r="C15" s="12" t="s">
        <v>87</v>
      </c>
      <c r="D15" s="14" t="s">
        <v>23</v>
      </c>
      <c r="E15" s="10">
        <v>13650000</v>
      </c>
      <c r="F15" s="10">
        <v>5940000</v>
      </c>
      <c r="G15" s="10">
        <v>7128000</v>
      </c>
      <c r="H15" s="10">
        <v>8554000</v>
      </c>
      <c r="I15" s="10">
        <v>10264000</v>
      </c>
      <c r="J15" s="10">
        <v>12317000</v>
      </c>
      <c r="K15" s="10">
        <v>40000000</v>
      </c>
    </row>
    <row r="16" spans="1:11" ht="19.5" customHeight="1">
      <c r="A16" s="11">
        <v>15</v>
      </c>
      <c r="B16" s="13" t="s">
        <v>286</v>
      </c>
      <c r="C16" s="13" t="s">
        <v>110</v>
      </c>
      <c r="D16" s="17" t="s">
        <v>23</v>
      </c>
      <c r="E16" s="11">
        <v>11767000</v>
      </c>
      <c r="F16" s="11">
        <v>5124000</v>
      </c>
      <c r="G16" s="11">
        <v>6149000</v>
      </c>
      <c r="H16" s="11">
        <v>7379000</v>
      </c>
      <c r="I16" s="11">
        <v>8854000</v>
      </c>
      <c r="J16" s="11">
        <v>10625000</v>
      </c>
      <c r="K16" s="11">
        <v>50000000</v>
      </c>
    </row>
    <row r="17" spans="1:11" ht="19.5" customHeight="1">
      <c r="A17" s="10">
        <v>16</v>
      </c>
      <c r="B17" s="12" t="s">
        <v>286</v>
      </c>
      <c r="C17" s="12" t="s">
        <v>90</v>
      </c>
      <c r="D17" s="14" t="s">
        <v>23</v>
      </c>
      <c r="E17" s="10">
        <v>11767000</v>
      </c>
      <c r="F17" s="10">
        <v>5532000</v>
      </c>
      <c r="G17" s="10">
        <v>6638000</v>
      </c>
      <c r="H17" s="10">
        <v>7966000</v>
      </c>
      <c r="I17" s="10">
        <v>9559000</v>
      </c>
      <c r="J17" s="10">
        <v>11471000</v>
      </c>
      <c r="K17" s="10">
        <v>30000000</v>
      </c>
    </row>
    <row r="18" spans="1:11" ht="19.5" customHeight="1">
      <c r="A18" s="11">
        <v>17</v>
      </c>
      <c r="B18" s="13" t="s">
        <v>286</v>
      </c>
      <c r="C18" s="13" t="s">
        <v>74</v>
      </c>
      <c r="D18" s="17" t="s">
        <v>23</v>
      </c>
      <c r="E18" s="11">
        <v>11767000</v>
      </c>
      <c r="F18" s="11">
        <v>5124000</v>
      </c>
      <c r="G18" s="11">
        <v>6149000</v>
      </c>
      <c r="H18" s="11">
        <v>7379000</v>
      </c>
      <c r="I18" s="11">
        <v>8854000</v>
      </c>
      <c r="J18" s="11">
        <v>10625000</v>
      </c>
      <c r="K18" s="11">
        <v>40000000</v>
      </c>
    </row>
    <row r="19" spans="1:11" ht="19.5" customHeight="1">
      <c r="A19" s="10">
        <v>18</v>
      </c>
      <c r="B19" s="12" t="s">
        <v>286</v>
      </c>
      <c r="C19" s="12" t="s">
        <v>103</v>
      </c>
      <c r="D19" s="14" t="s">
        <v>23</v>
      </c>
      <c r="E19" s="10">
        <v>11767000</v>
      </c>
      <c r="F19" s="10">
        <v>5124000</v>
      </c>
      <c r="G19" s="10">
        <v>6149000</v>
      </c>
      <c r="H19" s="10">
        <v>7379000</v>
      </c>
      <c r="I19" s="10">
        <v>8854000</v>
      </c>
      <c r="J19" s="10">
        <v>10625000</v>
      </c>
      <c r="K19" s="10">
        <v>30000000</v>
      </c>
    </row>
    <row r="20" spans="1:11" ht="19.5" customHeight="1">
      <c r="A20" s="11">
        <v>19</v>
      </c>
      <c r="B20" s="13" t="s">
        <v>289</v>
      </c>
      <c r="C20" s="13" t="s">
        <v>120</v>
      </c>
      <c r="D20" s="17" t="s">
        <v>23</v>
      </c>
      <c r="E20" s="11">
        <v>11463000</v>
      </c>
      <c r="F20" s="11">
        <v>4992000</v>
      </c>
      <c r="G20" s="11">
        <v>5990000</v>
      </c>
      <c r="H20" s="11">
        <v>7188000</v>
      </c>
      <c r="I20" s="11">
        <v>8626000</v>
      </c>
      <c r="J20" s="11">
        <v>10351000</v>
      </c>
      <c r="K20" s="11">
        <v>15000000</v>
      </c>
    </row>
    <row r="21" spans="1:11" ht="19.5" customHeight="1">
      <c r="A21" s="10">
        <v>20</v>
      </c>
      <c r="B21" s="12" t="s">
        <v>289</v>
      </c>
      <c r="C21" s="12" t="s">
        <v>116</v>
      </c>
      <c r="D21" s="14" t="s">
        <v>23</v>
      </c>
      <c r="E21" s="10">
        <v>10857000</v>
      </c>
      <c r="F21" s="10">
        <v>4728000</v>
      </c>
      <c r="G21" s="10">
        <v>5674000</v>
      </c>
      <c r="H21" s="10">
        <v>6808000</v>
      </c>
      <c r="I21" s="10">
        <v>8170000</v>
      </c>
      <c r="J21" s="10">
        <v>9804000</v>
      </c>
      <c r="K21" s="10">
        <v>15000000</v>
      </c>
    </row>
    <row r="22" spans="1:11" ht="19.5" customHeight="1">
      <c r="A22" s="11">
        <v>21</v>
      </c>
      <c r="B22" s="13" t="s">
        <v>289</v>
      </c>
      <c r="C22" s="13" t="s">
        <v>144</v>
      </c>
      <c r="D22" s="17" t="s">
        <v>23</v>
      </c>
      <c r="E22" s="11">
        <v>11463000</v>
      </c>
      <c r="F22" s="11">
        <v>4992000</v>
      </c>
      <c r="G22" s="11">
        <v>5990000</v>
      </c>
      <c r="H22" s="11">
        <v>7188000</v>
      </c>
      <c r="I22" s="11">
        <v>8626000</v>
      </c>
      <c r="J22" s="11">
        <v>10351000</v>
      </c>
      <c r="K22" s="11">
        <v>15000000</v>
      </c>
    </row>
    <row r="23" spans="1:11" ht="19.5" customHeight="1">
      <c r="A23" s="10">
        <v>22</v>
      </c>
      <c r="B23" s="12" t="s">
        <v>289</v>
      </c>
      <c r="C23" s="12" t="s">
        <v>146</v>
      </c>
      <c r="D23" s="14" t="s">
        <v>23</v>
      </c>
      <c r="E23" s="10">
        <v>13756000</v>
      </c>
      <c r="F23" s="10">
        <v>6444000</v>
      </c>
      <c r="G23" s="10">
        <v>7733000</v>
      </c>
      <c r="H23" s="10">
        <v>9279000</v>
      </c>
      <c r="I23" s="10">
        <v>11135000</v>
      </c>
      <c r="J23" s="10">
        <v>13362000</v>
      </c>
      <c r="K23" s="10">
        <v>15000000</v>
      </c>
    </row>
    <row r="24" spans="1:11" ht="19.5" customHeight="1">
      <c r="A24" s="11">
        <v>23</v>
      </c>
      <c r="B24" s="13" t="s">
        <v>289</v>
      </c>
      <c r="C24" s="13" t="s">
        <v>147</v>
      </c>
      <c r="D24" s="17" t="s">
        <v>23</v>
      </c>
      <c r="E24" s="11">
        <v>13756000</v>
      </c>
      <c r="F24" s="11">
        <v>6444000</v>
      </c>
      <c r="G24" s="11">
        <v>7733000</v>
      </c>
      <c r="H24" s="11">
        <v>9279000</v>
      </c>
      <c r="I24" s="11">
        <v>11135000</v>
      </c>
      <c r="J24" s="11">
        <v>13362000</v>
      </c>
      <c r="K24" s="11">
        <v>15000000</v>
      </c>
    </row>
    <row r="25" spans="1:11" ht="19.5" customHeight="1">
      <c r="A25" s="10">
        <v>24</v>
      </c>
      <c r="B25" s="12" t="s">
        <v>289</v>
      </c>
      <c r="C25" s="12" t="s">
        <v>127</v>
      </c>
      <c r="D25" s="14" t="s">
        <v>23</v>
      </c>
      <c r="E25" s="10">
        <v>10857000</v>
      </c>
      <c r="F25" s="10">
        <v>4728000</v>
      </c>
      <c r="G25" s="10">
        <v>5674000</v>
      </c>
      <c r="H25" s="10">
        <v>6808000</v>
      </c>
      <c r="I25" s="10">
        <v>8170000</v>
      </c>
      <c r="J25" s="10">
        <v>9804000</v>
      </c>
      <c r="K25" s="10">
        <v>15000000</v>
      </c>
    </row>
    <row r="26" spans="1:11" ht="19.5" customHeight="1">
      <c r="A26" s="11">
        <v>25</v>
      </c>
      <c r="B26" s="13" t="s">
        <v>289</v>
      </c>
      <c r="C26" s="13" t="s">
        <v>137</v>
      </c>
      <c r="D26" s="17" t="s">
        <v>23</v>
      </c>
      <c r="E26" s="11">
        <v>10857000</v>
      </c>
      <c r="F26" s="11">
        <v>4728000</v>
      </c>
      <c r="G26" s="11">
        <v>5674000</v>
      </c>
      <c r="H26" s="11">
        <v>6808000</v>
      </c>
      <c r="I26" s="11">
        <v>8170000</v>
      </c>
      <c r="J26" s="11">
        <v>9804000</v>
      </c>
      <c r="K26" s="11">
        <v>15000000</v>
      </c>
    </row>
    <row r="27" spans="1:11" ht="19.5" customHeight="1">
      <c r="A27" s="10">
        <v>26</v>
      </c>
      <c r="B27" s="12" t="s">
        <v>289</v>
      </c>
      <c r="C27" s="12" t="s">
        <v>131</v>
      </c>
      <c r="D27" s="14" t="s">
        <v>23</v>
      </c>
      <c r="E27" s="10">
        <v>11055000</v>
      </c>
      <c r="F27" s="10">
        <v>4812000</v>
      </c>
      <c r="G27" s="10">
        <v>5774000</v>
      </c>
      <c r="H27" s="10">
        <v>6929000</v>
      </c>
      <c r="I27" s="10">
        <v>8315000</v>
      </c>
      <c r="J27" s="10">
        <v>9978000</v>
      </c>
      <c r="K27" s="10">
        <v>15000000</v>
      </c>
    </row>
    <row r="28" spans="1:11" ht="19.5" customHeight="1">
      <c r="A28" s="11">
        <v>27</v>
      </c>
      <c r="B28" s="13" t="s">
        <v>292</v>
      </c>
      <c r="C28" s="13" t="s">
        <v>188</v>
      </c>
      <c r="D28" s="17" t="s">
        <v>23</v>
      </c>
      <c r="E28" s="11">
        <v>7642000</v>
      </c>
      <c r="F28" s="11">
        <v>3324000</v>
      </c>
      <c r="G28" s="11">
        <v>3989000</v>
      </c>
      <c r="H28" s="11">
        <v>4787000</v>
      </c>
      <c r="I28" s="11">
        <v>5744000</v>
      </c>
      <c r="J28" s="11">
        <v>6893000</v>
      </c>
      <c r="K28" s="11">
        <v>5000000</v>
      </c>
    </row>
    <row r="29" spans="1:11" ht="19.5" customHeight="1">
      <c r="A29" s="10">
        <v>28</v>
      </c>
      <c r="B29" s="12" t="s">
        <v>292</v>
      </c>
      <c r="C29" s="12" t="s">
        <v>190</v>
      </c>
      <c r="D29" s="14" t="s">
        <v>23</v>
      </c>
      <c r="E29" s="10">
        <v>7642000</v>
      </c>
      <c r="F29" s="10">
        <v>3192000</v>
      </c>
      <c r="G29" s="10">
        <v>3830000</v>
      </c>
      <c r="H29" s="10">
        <v>4596000</v>
      </c>
      <c r="I29" s="10">
        <v>5516000</v>
      </c>
      <c r="J29" s="10">
        <v>6619000</v>
      </c>
      <c r="K29" s="10">
        <v>5000000</v>
      </c>
    </row>
    <row r="30" spans="1:11" ht="19.5" customHeight="1">
      <c r="A30" s="11">
        <v>29</v>
      </c>
      <c r="B30" s="13" t="s">
        <v>292</v>
      </c>
      <c r="C30" s="13" t="s">
        <v>160</v>
      </c>
      <c r="D30" s="17" t="s">
        <v>23</v>
      </c>
      <c r="E30" s="11">
        <v>7642000</v>
      </c>
      <c r="F30" s="11">
        <v>3192000</v>
      </c>
      <c r="G30" s="11">
        <v>3830000</v>
      </c>
      <c r="H30" s="11">
        <v>4596000</v>
      </c>
      <c r="I30" s="11">
        <v>5516000</v>
      </c>
      <c r="J30" s="11">
        <v>6619000</v>
      </c>
      <c r="K30" s="11">
        <v>5000000</v>
      </c>
    </row>
    <row r="31" spans="1:11" ht="19.5" customHeight="1">
      <c r="A31" s="10">
        <v>30</v>
      </c>
      <c r="B31" s="12" t="s">
        <v>292</v>
      </c>
      <c r="C31" s="12" t="s">
        <v>166</v>
      </c>
      <c r="D31" s="14" t="s">
        <v>23</v>
      </c>
      <c r="E31" s="10">
        <v>8788000</v>
      </c>
      <c r="F31" s="10">
        <v>3672000</v>
      </c>
      <c r="G31" s="10">
        <v>4406000</v>
      </c>
      <c r="H31" s="10">
        <v>5288000</v>
      </c>
      <c r="I31" s="10">
        <v>6345000</v>
      </c>
      <c r="J31" s="10">
        <v>7614000</v>
      </c>
      <c r="K31" s="10">
        <v>5000000</v>
      </c>
    </row>
    <row r="32" spans="1:11" ht="19.5" customHeight="1">
      <c r="A32" s="11">
        <v>31</v>
      </c>
      <c r="B32" s="13" t="s">
        <v>292</v>
      </c>
      <c r="C32" s="13" t="s">
        <v>293</v>
      </c>
      <c r="D32" s="17" t="s">
        <v>23</v>
      </c>
      <c r="E32" s="11">
        <v>7054000</v>
      </c>
      <c r="F32" s="11">
        <v>3192000</v>
      </c>
      <c r="G32" s="11">
        <v>3830000</v>
      </c>
      <c r="H32" s="11">
        <v>4596000</v>
      </c>
      <c r="I32" s="11">
        <v>5516000</v>
      </c>
      <c r="J32" s="11">
        <v>6619000</v>
      </c>
      <c r="K32" s="11">
        <v>5000000</v>
      </c>
    </row>
    <row r="33" spans="1:11" ht="19.5" customHeight="1">
      <c r="A33" s="10">
        <v>32</v>
      </c>
      <c r="B33" s="12" t="s">
        <v>292</v>
      </c>
      <c r="C33" s="12" t="s">
        <v>153</v>
      </c>
      <c r="D33" s="14" t="s">
        <v>23</v>
      </c>
      <c r="E33" s="10">
        <v>7348000</v>
      </c>
      <c r="F33" s="10">
        <v>3192000</v>
      </c>
      <c r="G33" s="10">
        <v>3830000</v>
      </c>
      <c r="H33" s="10">
        <v>4596000</v>
      </c>
      <c r="I33" s="10">
        <v>5516000</v>
      </c>
      <c r="J33" s="10">
        <v>6619000</v>
      </c>
      <c r="K33" s="10">
        <v>5000000</v>
      </c>
    </row>
    <row r="34" spans="1:11" ht="19.5" customHeight="1">
      <c r="A34" s="11">
        <v>33</v>
      </c>
      <c r="B34" s="13" t="s">
        <v>292</v>
      </c>
      <c r="C34" s="13" t="s">
        <v>192</v>
      </c>
      <c r="D34" s="17" t="s">
        <v>23</v>
      </c>
      <c r="E34" s="11">
        <v>8788000</v>
      </c>
      <c r="F34" s="11">
        <v>3672000</v>
      </c>
      <c r="G34" s="11">
        <v>4406000</v>
      </c>
      <c r="H34" s="11">
        <v>5288000</v>
      </c>
      <c r="I34" s="11">
        <v>6345000</v>
      </c>
      <c r="J34" s="11">
        <v>7614000</v>
      </c>
      <c r="K34" s="11">
        <v>5000000</v>
      </c>
    </row>
    <row r="35" spans="1:11" ht="19.5" customHeight="1">
      <c r="A35" s="10">
        <v>34</v>
      </c>
      <c r="B35" s="12" t="s">
        <v>292</v>
      </c>
      <c r="C35" s="12" t="s">
        <v>155</v>
      </c>
      <c r="D35" s="14" t="s">
        <v>23</v>
      </c>
      <c r="E35" s="10">
        <v>10857000</v>
      </c>
      <c r="F35" s="10">
        <v>4728000</v>
      </c>
      <c r="G35" s="10">
        <v>5674000</v>
      </c>
      <c r="H35" s="10">
        <v>6808000</v>
      </c>
      <c r="I35" s="10">
        <v>8170000</v>
      </c>
      <c r="J35" s="10">
        <v>9804000</v>
      </c>
      <c r="K35" s="10">
        <v>5000000</v>
      </c>
    </row>
    <row r="36" spans="1:11" ht="19.5" customHeight="1">
      <c r="A36" s="11">
        <v>35</v>
      </c>
      <c r="B36" s="13" t="s">
        <v>292</v>
      </c>
      <c r="C36" s="13" t="s">
        <v>185</v>
      </c>
      <c r="D36" s="17" t="s">
        <v>23</v>
      </c>
      <c r="E36" s="11">
        <v>10857000</v>
      </c>
      <c r="F36" s="11">
        <v>4536000</v>
      </c>
      <c r="G36" s="11">
        <v>5443000</v>
      </c>
      <c r="H36" s="11">
        <v>6532000</v>
      </c>
      <c r="I36" s="11">
        <v>7838000</v>
      </c>
      <c r="J36" s="11">
        <v>9406000</v>
      </c>
      <c r="K36" s="11">
        <v>5000000</v>
      </c>
    </row>
    <row r="37" spans="1:11" ht="19.5" customHeight="1">
      <c r="A37" s="10">
        <v>36</v>
      </c>
      <c r="B37" s="12" t="s">
        <v>292</v>
      </c>
      <c r="C37" s="12" t="s">
        <v>164</v>
      </c>
      <c r="D37" s="14" t="s">
        <v>23</v>
      </c>
      <c r="E37" s="10">
        <v>11463000</v>
      </c>
      <c r="F37" s="10">
        <v>4992000</v>
      </c>
      <c r="G37" s="10">
        <v>5990000</v>
      </c>
      <c r="H37" s="10">
        <v>7188000</v>
      </c>
      <c r="I37" s="10">
        <v>8626000</v>
      </c>
      <c r="J37" s="10">
        <v>10351000</v>
      </c>
      <c r="K37" s="10">
        <v>5000000</v>
      </c>
    </row>
    <row r="38" spans="1:11" ht="19.5" customHeight="1">
      <c r="A38" s="11">
        <v>37</v>
      </c>
      <c r="B38" s="13" t="s">
        <v>292</v>
      </c>
      <c r="C38" s="13" t="s">
        <v>182</v>
      </c>
      <c r="D38" s="17" t="s">
        <v>23</v>
      </c>
      <c r="E38" s="11">
        <v>11463000</v>
      </c>
      <c r="F38" s="11">
        <v>4992000</v>
      </c>
      <c r="G38" s="11">
        <v>5990000</v>
      </c>
      <c r="H38" s="11">
        <v>7188000</v>
      </c>
      <c r="I38" s="11">
        <v>8626000</v>
      </c>
      <c r="J38" s="11">
        <v>10351000</v>
      </c>
      <c r="K38" s="11">
        <v>5000000</v>
      </c>
    </row>
    <row r="39" spans="1:11" ht="19.5" customHeight="1">
      <c r="A39" s="10">
        <v>38</v>
      </c>
      <c r="B39" s="12" t="s">
        <v>292</v>
      </c>
      <c r="C39" s="12" t="s">
        <v>178</v>
      </c>
      <c r="D39" s="14" t="s">
        <v>23</v>
      </c>
      <c r="E39" s="10">
        <v>11497000</v>
      </c>
      <c r="F39" s="10">
        <v>4992000</v>
      </c>
      <c r="G39" s="10">
        <v>5990000</v>
      </c>
      <c r="H39" s="10">
        <v>7188000</v>
      </c>
      <c r="I39" s="10">
        <v>8626000</v>
      </c>
      <c r="J39" s="10">
        <v>10351000</v>
      </c>
      <c r="K39" s="10">
        <v>5000000</v>
      </c>
    </row>
    <row r="40" spans="1:11" ht="19.5" customHeight="1">
      <c r="A40" s="11">
        <v>39</v>
      </c>
      <c r="B40" s="13" t="s">
        <v>292</v>
      </c>
      <c r="C40" s="13" t="s">
        <v>296</v>
      </c>
      <c r="D40" s="17" t="s">
        <v>23</v>
      </c>
      <c r="E40" s="11">
        <v>12227000</v>
      </c>
      <c r="F40" s="11">
        <v>5316000</v>
      </c>
      <c r="G40" s="11">
        <v>6379000</v>
      </c>
      <c r="H40" s="11">
        <v>7655000</v>
      </c>
      <c r="I40" s="11">
        <v>9186000</v>
      </c>
      <c r="J40" s="11">
        <v>11023000</v>
      </c>
      <c r="K40" s="11">
        <v>5000000</v>
      </c>
    </row>
    <row r="41" spans="1:11" ht="19.5" customHeight="1">
      <c r="A41" s="10">
        <v>40</v>
      </c>
      <c r="B41" s="12" t="s">
        <v>292</v>
      </c>
      <c r="C41" s="12" t="s">
        <v>151</v>
      </c>
      <c r="D41" s="14" t="s">
        <v>23</v>
      </c>
      <c r="E41" s="10">
        <v>7348000</v>
      </c>
      <c r="F41" s="10">
        <v>3192000</v>
      </c>
      <c r="G41" s="10">
        <v>3830000</v>
      </c>
      <c r="H41" s="10">
        <v>4596000</v>
      </c>
      <c r="I41" s="10">
        <v>5516000</v>
      </c>
      <c r="J41" s="10">
        <v>6619000</v>
      </c>
      <c r="K41" s="10">
        <v>5000000</v>
      </c>
    </row>
    <row r="42" spans="1:11" ht="19.5" customHeight="1">
      <c r="A42" s="11">
        <v>41</v>
      </c>
      <c r="B42" s="13" t="s">
        <v>292</v>
      </c>
      <c r="C42" s="13" t="s">
        <v>297</v>
      </c>
      <c r="D42" s="17" t="s">
        <v>23</v>
      </c>
      <c r="E42" s="11">
        <v>9553000</v>
      </c>
      <c r="F42" s="11">
        <v>4152000</v>
      </c>
      <c r="G42" s="11">
        <v>4982000</v>
      </c>
      <c r="H42" s="11">
        <v>5979000</v>
      </c>
      <c r="I42" s="11">
        <v>7175000</v>
      </c>
      <c r="J42" s="11">
        <v>8610000</v>
      </c>
      <c r="K42" s="11">
        <v>5000000</v>
      </c>
    </row>
    <row r="43" spans="1:11" ht="19.5" customHeight="1">
      <c r="A43" s="10">
        <v>42</v>
      </c>
      <c r="B43" s="12" t="s">
        <v>292</v>
      </c>
      <c r="C43" s="12" t="s">
        <v>298</v>
      </c>
      <c r="D43" s="14" t="s">
        <v>23</v>
      </c>
      <c r="E43" s="10">
        <v>9553000</v>
      </c>
      <c r="F43" s="10">
        <v>4152000</v>
      </c>
      <c r="G43" s="10">
        <v>4982000</v>
      </c>
      <c r="H43" s="10">
        <v>5979000</v>
      </c>
      <c r="I43" s="10">
        <v>7175000</v>
      </c>
      <c r="J43" s="10">
        <v>8610000</v>
      </c>
      <c r="K43" s="10">
        <v>5000000</v>
      </c>
    </row>
    <row r="44" spans="1:11" ht="19.5" customHeight="1">
      <c r="A44" s="11">
        <v>43</v>
      </c>
      <c r="B44" s="13" t="s">
        <v>299</v>
      </c>
      <c r="C44" s="13" t="s">
        <v>194</v>
      </c>
      <c r="D44" s="17" t="s">
        <v>23</v>
      </c>
      <c r="E44" s="11">
        <v>26355000</v>
      </c>
      <c r="F44" s="11">
        <v>8500000</v>
      </c>
      <c r="G44" s="11">
        <v>11500000</v>
      </c>
      <c r="H44" s="11">
        <v>14500000</v>
      </c>
      <c r="I44" s="11">
        <v>17500000</v>
      </c>
      <c r="J44" s="11">
        <v>21000000</v>
      </c>
      <c r="K44" s="11">
        <v>250000000</v>
      </c>
    </row>
    <row r="45" spans="1:11" ht="19.5" customHeight="1">
      <c r="A45" s="10">
        <v>44</v>
      </c>
      <c r="B45" s="12" t="s">
        <v>299</v>
      </c>
      <c r="C45" s="12" t="s">
        <v>195</v>
      </c>
      <c r="D45" s="14" t="s">
        <v>23</v>
      </c>
      <c r="E45" s="10">
        <v>8450000</v>
      </c>
      <c r="F45" s="10">
        <v>4176050</v>
      </c>
      <c r="G45" s="10">
        <v>4913000</v>
      </c>
      <c r="H45" s="10">
        <v>5780000</v>
      </c>
      <c r="I45" s="10">
        <v>6800000</v>
      </c>
      <c r="J45" s="10">
        <v>8000000</v>
      </c>
      <c r="K45" s="10">
        <v>30000000</v>
      </c>
    </row>
    <row r="46" spans="1:11" ht="19.5" customHeight="1">
      <c r="A46" s="11">
        <v>45</v>
      </c>
      <c r="B46" s="13" t="s">
        <v>300</v>
      </c>
      <c r="C46" s="13" t="s">
        <v>206</v>
      </c>
      <c r="D46" s="17" t="s">
        <v>23</v>
      </c>
      <c r="E46" s="11">
        <v>10857000</v>
      </c>
      <c r="F46" s="11">
        <v>4728000</v>
      </c>
      <c r="G46" s="11">
        <v>5674000</v>
      </c>
      <c r="H46" s="11">
        <v>6808000</v>
      </c>
      <c r="I46" s="11">
        <v>8170000</v>
      </c>
      <c r="J46" s="11">
        <v>9804000</v>
      </c>
      <c r="K46" s="11">
        <v>5000000</v>
      </c>
    </row>
    <row r="47" spans="1:11" ht="19.5" customHeight="1">
      <c r="A47" s="10">
        <v>46</v>
      </c>
      <c r="B47" s="12" t="s">
        <v>300</v>
      </c>
      <c r="C47" s="12" t="s">
        <v>203</v>
      </c>
      <c r="D47" s="14" t="s">
        <v>23</v>
      </c>
      <c r="E47" s="10">
        <v>12227000</v>
      </c>
      <c r="F47" s="10">
        <v>5316000</v>
      </c>
      <c r="G47" s="10">
        <v>6379000</v>
      </c>
      <c r="H47" s="10">
        <v>7655000</v>
      </c>
      <c r="I47" s="10">
        <v>9186000</v>
      </c>
      <c r="J47" s="10">
        <v>11023000</v>
      </c>
      <c r="K47" s="10">
        <v>5000000</v>
      </c>
    </row>
    <row r="48" spans="1:11" ht="19.5" customHeight="1">
      <c r="A48" s="11">
        <v>47</v>
      </c>
      <c r="B48" s="13" t="s">
        <v>300</v>
      </c>
      <c r="C48" s="13" t="s">
        <v>204</v>
      </c>
      <c r="D48" s="17" t="s">
        <v>23</v>
      </c>
      <c r="E48" s="11">
        <v>12227000</v>
      </c>
      <c r="F48" s="11">
        <v>5316000</v>
      </c>
      <c r="G48" s="11">
        <v>6379000</v>
      </c>
      <c r="H48" s="11">
        <v>7655000</v>
      </c>
      <c r="I48" s="11">
        <v>9186000</v>
      </c>
      <c r="J48" s="11">
        <v>11023000</v>
      </c>
      <c r="K48" s="11">
        <v>5000000</v>
      </c>
    </row>
    <row r="49" spans="1:11" ht="19.5" customHeight="1">
      <c r="A49" s="10">
        <v>48</v>
      </c>
      <c r="B49" s="12" t="s">
        <v>300</v>
      </c>
      <c r="C49" s="12" t="s">
        <v>28</v>
      </c>
      <c r="D49" s="14" t="s">
        <v>23</v>
      </c>
      <c r="E49" s="10">
        <v>12227000</v>
      </c>
      <c r="F49" s="10">
        <v>5316000</v>
      </c>
      <c r="G49" s="10">
        <v>6379000</v>
      </c>
      <c r="H49" s="10">
        <v>7655000</v>
      </c>
      <c r="I49" s="10">
        <v>9186000</v>
      </c>
      <c r="J49" s="10">
        <v>11023000</v>
      </c>
      <c r="K49" s="10">
        <v>5000000</v>
      </c>
    </row>
    <row r="50" spans="1:11" ht="19.5" customHeight="1">
      <c r="A50" s="11">
        <v>49</v>
      </c>
      <c r="B50" s="13" t="s">
        <v>300</v>
      </c>
      <c r="C50" s="13" t="s">
        <v>209</v>
      </c>
      <c r="D50" s="17" t="s">
        <v>23</v>
      </c>
      <c r="E50" s="11">
        <v>10857000</v>
      </c>
      <c r="F50" s="11">
        <v>4728000</v>
      </c>
      <c r="G50" s="11">
        <v>5674000</v>
      </c>
      <c r="H50" s="11">
        <v>6808000</v>
      </c>
      <c r="I50" s="11">
        <v>8170000</v>
      </c>
      <c r="J50" s="11">
        <v>9804000</v>
      </c>
      <c r="K50" s="11">
        <v>25000000</v>
      </c>
    </row>
    <row r="51" spans="1:11" ht="19.5" customHeight="1">
      <c r="A51" s="10">
        <v>50</v>
      </c>
      <c r="B51" s="12" t="s">
        <v>300</v>
      </c>
      <c r="C51" s="12" t="s">
        <v>208</v>
      </c>
      <c r="D51" s="14" t="s">
        <v>23</v>
      </c>
      <c r="E51" s="10">
        <v>10439000</v>
      </c>
      <c r="F51" s="10">
        <v>4536000</v>
      </c>
      <c r="G51" s="10">
        <v>5443000</v>
      </c>
      <c r="H51" s="10">
        <v>6532000</v>
      </c>
      <c r="I51" s="10">
        <v>7838000</v>
      </c>
      <c r="J51" s="10">
        <v>9406000</v>
      </c>
      <c r="K51" s="10">
        <v>10000000</v>
      </c>
    </row>
    <row r="52" spans="1:11" ht="19.5" customHeight="1">
      <c r="A52" s="11">
        <v>51</v>
      </c>
      <c r="B52" s="13" t="s">
        <v>300</v>
      </c>
      <c r="C52" s="13" t="s">
        <v>202</v>
      </c>
      <c r="D52" s="17" t="s">
        <v>23</v>
      </c>
      <c r="E52" s="11">
        <v>25341000</v>
      </c>
      <c r="F52" s="11">
        <v>7500000</v>
      </c>
      <c r="G52" s="11">
        <v>10500000</v>
      </c>
      <c r="H52" s="11">
        <v>13500000</v>
      </c>
      <c r="I52" s="11">
        <v>16500000</v>
      </c>
      <c r="J52" s="11">
        <v>19500000</v>
      </c>
      <c r="K52" s="11">
        <v>30000000</v>
      </c>
    </row>
    <row r="53" spans="1:11" ht="19.5" customHeight="1">
      <c r="A53" s="10">
        <v>52</v>
      </c>
      <c r="B53" s="12" t="s">
        <v>303</v>
      </c>
      <c r="C53" s="12" t="s">
        <v>218</v>
      </c>
      <c r="D53" s="14" t="s">
        <v>23</v>
      </c>
      <c r="E53" s="10">
        <v>7348000</v>
      </c>
      <c r="F53" s="10">
        <v>3192000</v>
      </c>
      <c r="G53" s="10">
        <v>3830000</v>
      </c>
      <c r="H53" s="10">
        <v>4596000</v>
      </c>
      <c r="I53" s="10">
        <v>5516000</v>
      </c>
      <c r="J53" s="10">
        <v>6619000</v>
      </c>
      <c r="K53" s="10">
        <v>5000000</v>
      </c>
    </row>
    <row r="54" spans="1:11" ht="19.5" customHeight="1">
      <c r="A54" s="11">
        <v>53</v>
      </c>
      <c r="B54" s="13" t="s">
        <v>303</v>
      </c>
      <c r="C54" s="13" t="s">
        <v>211</v>
      </c>
      <c r="D54" s="17" t="s">
        <v>23</v>
      </c>
      <c r="E54" s="11">
        <v>7348000</v>
      </c>
      <c r="F54" s="11">
        <v>3192000</v>
      </c>
      <c r="G54" s="11">
        <v>3830000</v>
      </c>
      <c r="H54" s="11">
        <v>4596000</v>
      </c>
      <c r="I54" s="11">
        <v>5516000</v>
      </c>
      <c r="J54" s="11">
        <v>6619000</v>
      </c>
      <c r="K54" s="11">
        <v>5000000</v>
      </c>
    </row>
    <row r="55" spans="1:11" ht="19.5" customHeight="1">
      <c r="A55" s="10">
        <v>54</v>
      </c>
      <c r="B55" s="12" t="s">
        <v>303</v>
      </c>
      <c r="C55" s="12" t="s">
        <v>214</v>
      </c>
      <c r="D55" s="14" t="s">
        <v>23</v>
      </c>
      <c r="E55" s="10">
        <v>7348000</v>
      </c>
      <c r="F55" s="10">
        <v>3192000</v>
      </c>
      <c r="G55" s="10">
        <v>3830000</v>
      </c>
      <c r="H55" s="10">
        <v>4596000</v>
      </c>
      <c r="I55" s="10">
        <v>5516000</v>
      </c>
      <c r="J55" s="10">
        <v>6619000</v>
      </c>
      <c r="K55" s="10">
        <v>5000000</v>
      </c>
    </row>
    <row r="56" spans="1:11" ht="19.5" customHeight="1">
      <c r="A56" s="11">
        <v>55</v>
      </c>
      <c r="B56" s="13" t="s">
        <v>303</v>
      </c>
      <c r="C56" s="13" t="s">
        <v>212</v>
      </c>
      <c r="D56" s="17" t="s">
        <v>23</v>
      </c>
      <c r="E56" s="11">
        <v>7348000</v>
      </c>
      <c r="F56" s="11">
        <v>3192000</v>
      </c>
      <c r="G56" s="11">
        <v>3830000</v>
      </c>
      <c r="H56" s="11">
        <v>4596000</v>
      </c>
      <c r="I56" s="11">
        <v>5516000</v>
      </c>
      <c r="J56" s="11">
        <v>6619000</v>
      </c>
      <c r="K56" s="11">
        <v>5000000</v>
      </c>
    </row>
    <row r="57" spans="1:11" ht="19.5" customHeight="1">
      <c r="A57" s="10">
        <v>56</v>
      </c>
      <c r="B57" s="12" t="s">
        <v>306</v>
      </c>
      <c r="C57" s="12" t="s">
        <v>226</v>
      </c>
      <c r="D57" s="14" t="s">
        <v>23</v>
      </c>
      <c r="E57" s="10">
        <v>11463000</v>
      </c>
      <c r="F57" s="10">
        <v>4992000</v>
      </c>
      <c r="G57" s="10">
        <v>5990000</v>
      </c>
      <c r="H57" s="10">
        <v>7188000</v>
      </c>
      <c r="I57" s="10">
        <v>8626000</v>
      </c>
      <c r="J57" s="10">
        <v>10351000</v>
      </c>
      <c r="K57" s="10">
        <v>6000000</v>
      </c>
    </row>
    <row r="58" spans="1:11" ht="19.5" customHeight="1">
      <c r="A58" s="11">
        <v>57</v>
      </c>
      <c r="B58" s="13" t="s">
        <v>306</v>
      </c>
      <c r="C58" s="13" t="s">
        <v>308</v>
      </c>
      <c r="D58" s="17" t="s">
        <v>23</v>
      </c>
      <c r="E58" s="11">
        <v>10439000</v>
      </c>
      <c r="F58" s="11">
        <v>5244000</v>
      </c>
      <c r="G58" s="11">
        <v>6293000</v>
      </c>
      <c r="H58" s="11">
        <v>7551000</v>
      </c>
      <c r="I58" s="11">
        <v>9062000</v>
      </c>
      <c r="J58" s="11">
        <v>10439000</v>
      </c>
      <c r="K58" s="11">
        <v>6000000</v>
      </c>
    </row>
    <row r="59" spans="1:11" ht="19.5" customHeight="1">
      <c r="A59" s="10">
        <v>58</v>
      </c>
      <c r="B59" s="12" t="s">
        <v>306</v>
      </c>
      <c r="C59" s="12" t="s">
        <v>230</v>
      </c>
      <c r="D59" s="14" t="s">
        <v>23</v>
      </c>
      <c r="E59" s="10">
        <v>11022000</v>
      </c>
      <c r="F59" s="10">
        <v>6095000</v>
      </c>
      <c r="G59" s="10">
        <v>7400000</v>
      </c>
      <c r="H59" s="10">
        <v>8705000</v>
      </c>
      <c r="I59" s="10">
        <v>10010000</v>
      </c>
      <c r="J59" s="10">
        <v>11022000</v>
      </c>
      <c r="K59" s="10">
        <v>6000000</v>
      </c>
    </row>
    <row r="60" spans="1:11" ht="19.5" customHeight="1">
      <c r="A60" s="11">
        <v>59</v>
      </c>
      <c r="B60" s="13" t="s">
        <v>311</v>
      </c>
      <c r="C60" s="13" t="s">
        <v>27</v>
      </c>
      <c r="D60" s="17" t="s">
        <v>23</v>
      </c>
      <c r="E60" s="11">
        <v>26355000</v>
      </c>
      <c r="F60" s="11">
        <v>7500000</v>
      </c>
      <c r="G60" s="11">
        <v>10500000</v>
      </c>
      <c r="H60" s="11">
        <v>13500000</v>
      </c>
      <c r="I60" s="11">
        <v>16500000</v>
      </c>
      <c r="J60" s="11">
        <v>19500000</v>
      </c>
      <c r="K60" s="11">
        <v>40000000</v>
      </c>
    </row>
    <row r="61" spans="1:11" ht="19.5" customHeight="1">
      <c r="A61" s="10">
        <v>60</v>
      </c>
      <c r="B61" s="12" t="s">
        <v>312</v>
      </c>
      <c r="C61" s="12" t="s">
        <v>233</v>
      </c>
      <c r="D61" s="14" t="s">
        <v>23</v>
      </c>
      <c r="E61" s="10">
        <v>26355000</v>
      </c>
      <c r="F61" s="10">
        <v>8000000</v>
      </c>
      <c r="G61" s="10">
        <v>11000000</v>
      </c>
      <c r="H61" s="10">
        <v>14000000</v>
      </c>
      <c r="I61" s="10">
        <v>17000000</v>
      </c>
      <c r="J61" s="10">
        <v>20000000</v>
      </c>
      <c r="K61" s="10">
        <v>250000000</v>
      </c>
    </row>
    <row r="62" spans="1:11" ht="15.75" customHeight="1"/>
    <row r="63" spans="1:11" ht="15.75" customHeight="1"/>
    <row r="64" spans="1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000"/>
  <sheetViews>
    <sheetView workbookViewId="0"/>
  </sheetViews>
  <sheetFormatPr baseColWidth="10" defaultColWidth="12.6640625" defaultRowHeight="15" customHeight="1"/>
  <cols>
    <col min="1" max="1" width="10.5" customWidth="1"/>
    <col min="2" max="2" width="34.1640625" customWidth="1"/>
    <col min="3" max="3" width="21" customWidth="1"/>
    <col min="4" max="6" width="10.5" customWidth="1"/>
    <col min="7" max="7" width="32.33203125" customWidth="1"/>
    <col min="8" max="8" width="29.6640625" customWidth="1"/>
    <col min="9" max="26" width="7.6640625" customWidth="1"/>
  </cols>
  <sheetData>
    <row r="1" spans="1:8" ht="27.7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8</v>
      </c>
      <c r="F1" s="1" t="s">
        <v>236</v>
      </c>
      <c r="G1" s="1" t="s">
        <v>237</v>
      </c>
      <c r="H1" s="1" t="s">
        <v>238</v>
      </c>
    </row>
    <row r="2" spans="1:8" ht="19.5" customHeight="1">
      <c r="A2" s="11">
        <v>1</v>
      </c>
      <c r="B2" s="13" t="s">
        <v>304</v>
      </c>
      <c r="C2" s="13" t="s">
        <v>22</v>
      </c>
      <c r="D2" s="17" t="s">
        <v>240</v>
      </c>
      <c r="E2" s="17" t="s">
        <v>242</v>
      </c>
      <c r="F2" s="17" t="s">
        <v>305</v>
      </c>
      <c r="G2" s="11">
        <v>2500000</v>
      </c>
      <c r="H2" s="11">
        <v>5000000</v>
      </c>
    </row>
    <row r="3" spans="1:8" ht="19.5" customHeight="1">
      <c r="A3" s="10">
        <v>2</v>
      </c>
      <c r="B3" s="12" t="s">
        <v>304</v>
      </c>
      <c r="C3" s="12" t="s">
        <v>248</v>
      </c>
      <c r="D3" s="14" t="s">
        <v>240</v>
      </c>
      <c r="E3" s="14" t="s">
        <v>242</v>
      </c>
      <c r="F3" s="14" t="s">
        <v>305</v>
      </c>
      <c r="G3" s="10">
        <v>2500000</v>
      </c>
      <c r="H3" s="10">
        <v>5000000</v>
      </c>
    </row>
    <row r="4" spans="1:8" ht="19.5" customHeight="1">
      <c r="A4" s="11">
        <v>3</v>
      </c>
      <c r="B4" s="13" t="s">
        <v>304</v>
      </c>
      <c r="C4" s="13" t="s">
        <v>250</v>
      </c>
      <c r="D4" s="17" t="s">
        <v>240</v>
      </c>
      <c r="E4" s="17" t="s">
        <v>242</v>
      </c>
      <c r="F4" s="17" t="s">
        <v>305</v>
      </c>
      <c r="G4" s="11">
        <v>2500000</v>
      </c>
      <c r="H4" s="11">
        <v>5000000</v>
      </c>
    </row>
    <row r="5" spans="1:8" ht="19.5" customHeight="1">
      <c r="A5" s="10">
        <v>4</v>
      </c>
      <c r="B5" s="12" t="s">
        <v>304</v>
      </c>
      <c r="C5" s="12" t="s">
        <v>307</v>
      </c>
      <c r="D5" s="14" t="s">
        <v>240</v>
      </c>
      <c r="E5" s="14" t="s">
        <v>242</v>
      </c>
      <c r="F5" s="14" t="s">
        <v>305</v>
      </c>
      <c r="G5" s="10">
        <v>2500000</v>
      </c>
      <c r="H5" s="10">
        <v>5000000</v>
      </c>
    </row>
    <row r="6" spans="1:8" ht="19.5" customHeight="1">
      <c r="A6" s="11">
        <v>5</v>
      </c>
      <c r="B6" s="13" t="s">
        <v>304</v>
      </c>
      <c r="C6" s="13" t="s">
        <v>309</v>
      </c>
      <c r="D6" s="17" t="s">
        <v>240</v>
      </c>
      <c r="E6" s="17" t="s">
        <v>242</v>
      </c>
      <c r="F6" s="17" t="s">
        <v>305</v>
      </c>
      <c r="G6" s="11">
        <v>2500000</v>
      </c>
      <c r="H6" s="11">
        <v>5000000</v>
      </c>
    </row>
    <row r="7" spans="1:8" ht="19.5" customHeight="1">
      <c r="A7" s="10">
        <v>6</v>
      </c>
      <c r="B7" s="12" t="s">
        <v>310</v>
      </c>
      <c r="C7" s="12" t="s">
        <v>257</v>
      </c>
      <c r="D7" s="14" t="s">
        <v>240</v>
      </c>
      <c r="E7" s="14" t="s">
        <v>242</v>
      </c>
      <c r="F7" s="14" t="s">
        <v>305</v>
      </c>
      <c r="G7" s="10">
        <v>3500000</v>
      </c>
      <c r="H7" s="10">
        <v>7000000</v>
      </c>
    </row>
    <row r="8" spans="1:8" ht="19.5" customHeight="1">
      <c r="A8" s="11">
        <v>7</v>
      </c>
      <c r="B8" s="13" t="s">
        <v>286</v>
      </c>
      <c r="C8" s="13" t="s">
        <v>105</v>
      </c>
      <c r="D8" s="17" t="s">
        <v>240</v>
      </c>
      <c r="E8" s="17" t="s">
        <v>242</v>
      </c>
      <c r="F8" s="17" t="s">
        <v>305</v>
      </c>
      <c r="G8" s="11">
        <v>2500000</v>
      </c>
      <c r="H8" s="11">
        <v>5000000</v>
      </c>
    </row>
    <row r="9" spans="1:8" ht="19.5" customHeight="1">
      <c r="A9" s="10">
        <v>8</v>
      </c>
      <c r="B9" s="12" t="s">
        <v>286</v>
      </c>
      <c r="C9" s="12" t="s">
        <v>112</v>
      </c>
      <c r="D9" s="14" t="s">
        <v>240</v>
      </c>
      <c r="E9" s="14" t="s">
        <v>242</v>
      </c>
      <c r="F9" s="14" t="s">
        <v>305</v>
      </c>
      <c r="G9" s="10">
        <v>2500000</v>
      </c>
      <c r="H9" s="10">
        <v>5000000</v>
      </c>
    </row>
    <row r="10" spans="1:8" ht="19.5" customHeight="1">
      <c r="A10" s="11">
        <v>9</v>
      </c>
      <c r="B10" s="13" t="s">
        <v>286</v>
      </c>
      <c r="C10" s="13" t="s">
        <v>260</v>
      </c>
      <c r="D10" s="17" t="s">
        <v>240</v>
      </c>
      <c r="E10" s="17" t="s">
        <v>242</v>
      </c>
      <c r="F10" s="17" t="s">
        <v>305</v>
      </c>
      <c r="G10" s="11">
        <v>2500000</v>
      </c>
      <c r="H10" s="11">
        <v>5000000</v>
      </c>
    </row>
    <row r="11" spans="1:8" ht="19.5" customHeight="1">
      <c r="A11" s="10">
        <v>10</v>
      </c>
      <c r="B11" s="12" t="s">
        <v>289</v>
      </c>
      <c r="C11" s="12" t="s">
        <v>116</v>
      </c>
      <c r="D11" s="14" t="s">
        <v>240</v>
      </c>
      <c r="E11" s="14" t="s">
        <v>242</v>
      </c>
      <c r="F11" s="14" t="s">
        <v>305</v>
      </c>
      <c r="G11" s="10">
        <v>2500000</v>
      </c>
      <c r="H11" s="10">
        <v>5000000</v>
      </c>
    </row>
    <row r="12" spans="1:8" ht="19.5" customHeight="1">
      <c r="A12" s="11">
        <v>11</v>
      </c>
      <c r="B12" s="13" t="s">
        <v>289</v>
      </c>
      <c r="C12" s="13" t="s">
        <v>144</v>
      </c>
      <c r="D12" s="17" t="s">
        <v>240</v>
      </c>
      <c r="E12" s="17" t="s">
        <v>242</v>
      </c>
      <c r="F12" s="17" t="s">
        <v>305</v>
      </c>
      <c r="G12" s="11">
        <v>2500000</v>
      </c>
      <c r="H12" s="11">
        <v>5000000</v>
      </c>
    </row>
    <row r="13" spans="1:8" ht="19.5" customHeight="1">
      <c r="A13" s="10">
        <v>12</v>
      </c>
      <c r="B13" s="12" t="s">
        <v>283</v>
      </c>
      <c r="C13" s="12" t="s">
        <v>264</v>
      </c>
      <c r="D13" s="14" t="s">
        <v>240</v>
      </c>
      <c r="E13" s="14" t="s">
        <v>242</v>
      </c>
      <c r="F13" s="14" t="s">
        <v>305</v>
      </c>
      <c r="G13" s="10">
        <v>3000000</v>
      </c>
      <c r="H13" s="10">
        <v>6000000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1000"/>
  <sheetViews>
    <sheetView workbookViewId="0"/>
  </sheetViews>
  <sheetFormatPr baseColWidth="10" defaultColWidth="12.6640625" defaultRowHeight="15" customHeight="1"/>
  <cols>
    <col min="1" max="1" width="10.5" customWidth="1"/>
    <col min="2" max="2" width="34.1640625" customWidth="1"/>
    <col min="3" max="3" width="21.83203125" customWidth="1"/>
    <col min="4" max="6" width="10.5" customWidth="1"/>
    <col min="7" max="7" width="32.33203125" customWidth="1"/>
    <col min="8" max="8" width="29.6640625" customWidth="1"/>
    <col min="9" max="9" width="40.1640625" customWidth="1"/>
    <col min="10" max="26" width="7.6640625" customWidth="1"/>
  </cols>
  <sheetData>
    <row r="1" spans="1:9" ht="27.75" customHeight="1">
      <c r="A1" s="16" t="s">
        <v>0</v>
      </c>
      <c r="B1" s="16" t="s">
        <v>2</v>
      </c>
      <c r="C1" s="16" t="s">
        <v>3</v>
      </c>
      <c r="D1" s="16" t="s">
        <v>4</v>
      </c>
      <c r="E1" s="16" t="s">
        <v>8</v>
      </c>
      <c r="F1" s="16" t="s">
        <v>236</v>
      </c>
      <c r="G1" s="16" t="s">
        <v>237</v>
      </c>
      <c r="H1" s="16" t="s">
        <v>238</v>
      </c>
      <c r="I1" s="16" t="s">
        <v>11</v>
      </c>
    </row>
    <row r="2" spans="1:9" ht="19.5" customHeight="1">
      <c r="A2" s="11">
        <v>1</v>
      </c>
      <c r="B2" s="13" t="s">
        <v>304</v>
      </c>
      <c r="C2" s="13" t="s">
        <v>22</v>
      </c>
      <c r="D2" s="17" t="s">
        <v>240</v>
      </c>
      <c r="E2" s="17" t="s">
        <v>269</v>
      </c>
      <c r="F2" s="17" t="s">
        <v>305</v>
      </c>
      <c r="G2" s="11">
        <v>2500000</v>
      </c>
      <c r="H2" s="11">
        <v>5000000</v>
      </c>
      <c r="I2" s="11">
        <v>5000000</v>
      </c>
    </row>
    <row r="3" spans="1:9" ht="19.5" customHeight="1">
      <c r="A3" s="10">
        <v>2</v>
      </c>
      <c r="B3" s="12" t="s">
        <v>304</v>
      </c>
      <c r="C3" s="12" t="s">
        <v>248</v>
      </c>
      <c r="D3" s="14" t="s">
        <v>240</v>
      </c>
      <c r="E3" s="14" t="s">
        <v>269</v>
      </c>
      <c r="F3" s="14" t="s">
        <v>305</v>
      </c>
      <c r="G3" s="10">
        <v>2500000</v>
      </c>
      <c r="H3" s="12" t="s">
        <v>319</v>
      </c>
      <c r="I3" s="10">
        <v>5000000</v>
      </c>
    </row>
    <row r="4" spans="1:9" ht="19.5" customHeight="1">
      <c r="A4" s="11">
        <v>3</v>
      </c>
      <c r="B4" s="13" t="s">
        <v>304</v>
      </c>
      <c r="C4" s="13" t="s">
        <v>250</v>
      </c>
      <c r="D4" s="17" t="s">
        <v>240</v>
      </c>
      <c r="E4" s="17" t="s">
        <v>269</v>
      </c>
      <c r="F4" s="17" t="s">
        <v>305</v>
      </c>
      <c r="G4" s="11">
        <v>2500000</v>
      </c>
      <c r="H4" s="13" t="s">
        <v>319</v>
      </c>
      <c r="I4" s="11">
        <v>5000000</v>
      </c>
    </row>
    <row r="5" spans="1:9" ht="19.5" customHeight="1">
      <c r="A5" s="10">
        <v>4</v>
      </c>
      <c r="B5" s="12" t="s">
        <v>304</v>
      </c>
      <c r="C5" s="12" t="s">
        <v>320</v>
      </c>
      <c r="D5" s="14" t="s">
        <v>240</v>
      </c>
      <c r="E5" s="14" t="s">
        <v>269</v>
      </c>
      <c r="F5" s="14" t="s">
        <v>305</v>
      </c>
      <c r="G5" s="10">
        <v>2500000</v>
      </c>
      <c r="H5" s="12" t="s">
        <v>319</v>
      </c>
      <c r="I5" s="10">
        <v>5000000</v>
      </c>
    </row>
    <row r="6" spans="1:9" ht="19.5" customHeight="1">
      <c r="A6" s="11">
        <v>5</v>
      </c>
      <c r="B6" s="13" t="s">
        <v>304</v>
      </c>
      <c r="C6" s="13" t="s">
        <v>309</v>
      </c>
      <c r="D6" s="17" t="s">
        <v>240</v>
      </c>
      <c r="E6" s="17" t="s">
        <v>269</v>
      </c>
      <c r="F6" s="17" t="s">
        <v>305</v>
      </c>
      <c r="G6" s="11">
        <v>2500000</v>
      </c>
      <c r="H6" s="13" t="s">
        <v>319</v>
      </c>
      <c r="I6" s="11">
        <v>5000000</v>
      </c>
    </row>
    <row r="7" spans="1:9" ht="19.5" customHeight="1">
      <c r="A7" s="10">
        <v>6</v>
      </c>
      <c r="B7" s="12" t="s">
        <v>310</v>
      </c>
      <c r="C7" s="12" t="s">
        <v>257</v>
      </c>
      <c r="D7" s="14" t="s">
        <v>240</v>
      </c>
      <c r="E7" s="14" t="s">
        <v>269</v>
      </c>
      <c r="F7" s="14" t="s">
        <v>305</v>
      </c>
      <c r="G7" s="10">
        <v>3500000</v>
      </c>
      <c r="H7" s="10">
        <v>7000000</v>
      </c>
      <c r="I7" s="12" t="s">
        <v>319</v>
      </c>
    </row>
    <row r="8" spans="1:9" ht="19.5" customHeight="1">
      <c r="A8" s="11">
        <v>7</v>
      </c>
      <c r="B8" s="13" t="s">
        <v>286</v>
      </c>
      <c r="C8" s="13" t="s">
        <v>105</v>
      </c>
      <c r="D8" s="17" t="s">
        <v>240</v>
      </c>
      <c r="E8" s="17" t="s">
        <v>269</v>
      </c>
      <c r="F8" s="17" t="s">
        <v>305</v>
      </c>
      <c r="G8" s="11">
        <v>3500000</v>
      </c>
      <c r="H8" s="11">
        <v>7000000</v>
      </c>
      <c r="I8" s="13"/>
    </row>
    <row r="9" spans="1:9" ht="19.5" customHeight="1">
      <c r="A9" s="10">
        <v>8</v>
      </c>
      <c r="B9" s="12" t="s">
        <v>286</v>
      </c>
      <c r="C9" s="12" t="s">
        <v>112</v>
      </c>
      <c r="D9" s="14" t="s">
        <v>240</v>
      </c>
      <c r="E9" s="14" t="s">
        <v>269</v>
      </c>
      <c r="F9" s="14" t="s">
        <v>305</v>
      </c>
      <c r="G9" s="10">
        <v>3500000</v>
      </c>
      <c r="H9" s="10">
        <v>7000000</v>
      </c>
      <c r="I9" s="12"/>
    </row>
    <row r="10" spans="1:9" ht="19.5" customHeight="1">
      <c r="A10" s="11">
        <v>9</v>
      </c>
      <c r="B10" s="13" t="s">
        <v>286</v>
      </c>
      <c r="C10" s="13" t="s">
        <v>260</v>
      </c>
      <c r="D10" s="17" t="s">
        <v>240</v>
      </c>
      <c r="E10" s="17" t="s">
        <v>269</v>
      </c>
      <c r="F10" s="17" t="s">
        <v>305</v>
      </c>
      <c r="G10" s="11">
        <v>3500000</v>
      </c>
      <c r="H10" s="11">
        <v>7000000</v>
      </c>
      <c r="I10" s="13"/>
    </row>
    <row r="11" spans="1:9" ht="19.5" customHeight="1">
      <c r="A11" s="10">
        <v>10</v>
      </c>
      <c r="B11" s="12" t="s">
        <v>289</v>
      </c>
      <c r="C11" s="12" t="s">
        <v>116</v>
      </c>
      <c r="D11" s="14" t="s">
        <v>240</v>
      </c>
      <c r="E11" s="14" t="s">
        <v>269</v>
      </c>
      <c r="F11" s="14" t="s">
        <v>305</v>
      </c>
      <c r="G11" s="10">
        <v>2500000</v>
      </c>
      <c r="H11" s="10">
        <v>5000000</v>
      </c>
      <c r="I11" s="12" t="s">
        <v>319</v>
      </c>
    </row>
    <row r="12" spans="1:9" ht="19.5" customHeight="1">
      <c r="A12" s="11">
        <v>11</v>
      </c>
      <c r="B12" s="13" t="s">
        <v>289</v>
      </c>
      <c r="C12" s="13" t="s">
        <v>144</v>
      </c>
      <c r="D12" s="17" t="s">
        <v>240</v>
      </c>
      <c r="E12" s="17" t="s">
        <v>269</v>
      </c>
      <c r="F12" s="17" t="s">
        <v>305</v>
      </c>
      <c r="G12" s="11">
        <v>2500000</v>
      </c>
      <c r="H12" s="11">
        <v>5000000</v>
      </c>
      <c r="I12" s="13" t="s">
        <v>319</v>
      </c>
    </row>
    <row r="13" spans="1:9" ht="19.5" customHeight="1">
      <c r="A13" s="10">
        <v>12</v>
      </c>
      <c r="B13" s="12" t="s">
        <v>283</v>
      </c>
      <c r="C13" s="12" t="s">
        <v>264</v>
      </c>
      <c r="D13" s="14" t="s">
        <v>240</v>
      </c>
      <c r="E13" s="14" t="s">
        <v>269</v>
      </c>
      <c r="F13" s="14" t="s">
        <v>305</v>
      </c>
      <c r="G13" s="10">
        <v>3000000</v>
      </c>
      <c r="H13" s="10">
        <v>6000000</v>
      </c>
      <c r="I13" s="10">
        <v>2000000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1000"/>
  <sheetViews>
    <sheetView workbookViewId="0"/>
  </sheetViews>
  <sheetFormatPr baseColWidth="10" defaultColWidth="12.6640625" defaultRowHeight="15" customHeight="1"/>
  <cols>
    <col min="1" max="1" width="10.5" customWidth="1"/>
    <col min="2" max="2" width="39.33203125" customWidth="1"/>
    <col min="3" max="3" width="10.5" customWidth="1"/>
    <col min="4" max="4" width="21" customWidth="1"/>
    <col min="5" max="5" width="19.1640625" customWidth="1"/>
    <col min="6" max="6" width="20.1640625" customWidth="1"/>
    <col min="7" max="7" width="21" customWidth="1"/>
    <col min="8" max="8" width="20.1640625" customWidth="1"/>
    <col min="9" max="9" width="19.1640625" customWidth="1"/>
    <col min="10" max="10" width="20.1640625" customWidth="1"/>
    <col min="11" max="11" width="21" customWidth="1"/>
    <col min="12" max="12" width="21.83203125" customWidth="1"/>
    <col min="13" max="23" width="7.6640625" customWidth="1"/>
  </cols>
  <sheetData>
    <row r="1" spans="1:12" ht="27.75" customHeight="1">
      <c r="A1" s="16" t="s">
        <v>0</v>
      </c>
      <c r="B1" s="16" t="s">
        <v>3</v>
      </c>
      <c r="C1" s="16" t="s">
        <v>4</v>
      </c>
      <c r="D1" s="16" t="s">
        <v>5</v>
      </c>
      <c r="E1" s="16" t="s">
        <v>16</v>
      </c>
      <c r="F1" s="16" t="s">
        <v>18</v>
      </c>
      <c r="G1" s="16" t="s">
        <v>20</v>
      </c>
      <c r="H1" s="16" t="s">
        <v>7</v>
      </c>
      <c r="I1" s="16" t="s">
        <v>9</v>
      </c>
      <c r="J1" s="16" t="s">
        <v>10</v>
      </c>
      <c r="K1" s="16" t="s">
        <v>278</v>
      </c>
      <c r="L1" s="16" t="s">
        <v>279</v>
      </c>
    </row>
    <row r="2" spans="1:12" ht="19.5" customHeight="1">
      <c r="A2" s="11">
        <v>1</v>
      </c>
      <c r="B2" s="13" t="s">
        <v>120</v>
      </c>
      <c r="C2" s="17" t="s">
        <v>23</v>
      </c>
      <c r="D2" s="11">
        <v>14708000</v>
      </c>
      <c r="E2" s="11">
        <v>500000</v>
      </c>
      <c r="F2" s="11">
        <v>1000000</v>
      </c>
      <c r="G2" s="11">
        <v>4160000</v>
      </c>
      <c r="H2" s="11">
        <v>4992000</v>
      </c>
      <c r="I2" s="11">
        <v>5990000</v>
      </c>
      <c r="J2" s="11">
        <v>7188000</v>
      </c>
      <c r="K2" s="11">
        <v>8626000</v>
      </c>
      <c r="L2" s="11">
        <v>10351000</v>
      </c>
    </row>
    <row r="3" spans="1:12" ht="19.5" customHeight="1">
      <c r="A3" s="10">
        <v>2</v>
      </c>
      <c r="B3" s="12" t="s">
        <v>22</v>
      </c>
      <c r="C3" s="14" t="s">
        <v>23</v>
      </c>
      <c r="D3" s="10">
        <v>15348000</v>
      </c>
      <c r="E3" s="10">
        <v>500000</v>
      </c>
      <c r="F3" s="10">
        <v>1000000</v>
      </c>
      <c r="G3" s="10">
        <v>2980000</v>
      </c>
      <c r="H3" s="10">
        <v>3576000</v>
      </c>
      <c r="I3" s="10">
        <v>4291000</v>
      </c>
      <c r="J3" s="10">
        <v>5149000</v>
      </c>
      <c r="K3" s="10">
        <v>6179000</v>
      </c>
      <c r="L3" s="10">
        <v>7415000</v>
      </c>
    </row>
    <row r="4" spans="1:12" ht="19.5" customHeight="1">
      <c r="A4" s="11">
        <v>3</v>
      </c>
      <c r="B4" s="13" t="s">
        <v>323</v>
      </c>
      <c r="C4" s="17" t="s">
        <v>23</v>
      </c>
      <c r="D4" s="11">
        <v>13398000</v>
      </c>
      <c r="E4" s="11">
        <v>500000</v>
      </c>
      <c r="F4" s="11">
        <v>1000000</v>
      </c>
      <c r="G4" s="11">
        <v>4440000</v>
      </c>
      <c r="H4" s="11">
        <v>5328000</v>
      </c>
      <c r="I4" s="11">
        <v>6394000</v>
      </c>
      <c r="J4" s="11">
        <v>7672000</v>
      </c>
      <c r="K4" s="11">
        <v>9207000</v>
      </c>
      <c r="L4" s="11">
        <v>11048000</v>
      </c>
    </row>
    <row r="5" spans="1:12" ht="19.5" customHeight="1">
      <c r="A5" s="10">
        <v>4</v>
      </c>
      <c r="B5" s="12" t="s">
        <v>151</v>
      </c>
      <c r="C5" s="14" t="s">
        <v>23</v>
      </c>
      <c r="D5" s="10">
        <v>8237000</v>
      </c>
      <c r="E5" s="10">
        <v>500000</v>
      </c>
      <c r="F5" s="10">
        <v>1000000</v>
      </c>
      <c r="G5" s="10">
        <v>2660000</v>
      </c>
      <c r="H5" s="10">
        <v>3192000</v>
      </c>
      <c r="I5" s="10">
        <v>3830000</v>
      </c>
      <c r="J5" s="12" t="s">
        <v>324</v>
      </c>
      <c r="K5" s="10">
        <v>5516000</v>
      </c>
      <c r="L5" s="10">
        <v>6619000</v>
      </c>
    </row>
    <row r="6" spans="1:12" ht="19.5" customHeight="1">
      <c r="A6" s="11">
        <v>5</v>
      </c>
      <c r="B6" s="13" t="s">
        <v>28</v>
      </c>
      <c r="C6" s="17" t="s">
        <v>23</v>
      </c>
      <c r="D6" s="11">
        <v>13980000</v>
      </c>
      <c r="E6" s="11">
        <v>500000</v>
      </c>
      <c r="F6" s="11">
        <v>1000000</v>
      </c>
      <c r="G6" s="11">
        <v>4430000</v>
      </c>
      <c r="H6" s="11">
        <v>5316000</v>
      </c>
      <c r="I6" s="11">
        <v>6379000</v>
      </c>
      <c r="J6" s="11">
        <v>7655000</v>
      </c>
      <c r="K6" s="11">
        <v>9186000</v>
      </c>
      <c r="L6" s="11">
        <v>11023000</v>
      </c>
    </row>
    <row r="7" spans="1:12" ht="19.5" customHeight="1">
      <c r="A7" s="10">
        <v>6</v>
      </c>
      <c r="B7" s="12" t="s">
        <v>225</v>
      </c>
      <c r="C7" s="14" t="s">
        <v>23</v>
      </c>
      <c r="D7" s="10">
        <v>13398000</v>
      </c>
      <c r="E7" s="10">
        <v>500000</v>
      </c>
      <c r="F7" s="10">
        <v>1000000</v>
      </c>
      <c r="G7" s="10">
        <v>4370000</v>
      </c>
      <c r="H7" s="10">
        <v>5244000</v>
      </c>
      <c r="I7" s="10">
        <v>6293000</v>
      </c>
      <c r="J7" s="10">
        <v>7551000</v>
      </c>
      <c r="K7" s="10">
        <v>9062000</v>
      </c>
      <c r="L7" s="10">
        <v>10439000</v>
      </c>
    </row>
    <row r="8" spans="1:12" ht="19.5" customHeight="1">
      <c r="A8" s="11">
        <v>7</v>
      </c>
      <c r="B8" s="13" t="s">
        <v>325</v>
      </c>
      <c r="C8" s="17" t="s">
        <v>23</v>
      </c>
      <c r="D8" s="11">
        <v>13980000</v>
      </c>
      <c r="E8" s="11">
        <v>500000</v>
      </c>
      <c r="F8" s="11">
        <v>1000000</v>
      </c>
      <c r="G8" s="11">
        <v>2660000</v>
      </c>
      <c r="H8" s="11">
        <v>3192000</v>
      </c>
      <c r="I8" s="11">
        <v>3830000</v>
      </c>
      <c r="J8" s="11">
        <v>4596000</v>
      </c>
      <c r="K8" s="11">
        <v>5516000</v>
      </c>
      <c r="L8" s="11">
        <v>6619000</v>
      </c>
    </row>
    <row r="9" spans="1:12" ht="19.5" customHeight="1">
      <c r="A9" s="10">
        <v>8</v>
      </c>
      <c r="B9" s="12" t="s">
        <v>38</v>
      </c>
      <c r="C9" s="14" t="s">
        <v>23</v>
      </c>
      <c r="D9" s="10">
        <v>13980000</v>
      </c>
      <c r="E9" s="10">
        <v>500000</v>
      </c>
      <c r="F9" s="10">
        <v>1000000</v>
      </c>
      <c r="G9" s="10">
        <v>2770000</v>
      </c>
      <c r="H9" s="10">
        <v>3324000</v>
      </c>
      <c r="I9" s="10">
        <v>3989000</v>
      </c>
      <c r="J9" s="10">
        <v>4787000</v>
      </c>
      <c r="K9" s="10">
        <v>5744000</v>
      </c>
      <c r="L9" s="10">
        <v>6893000</v>
      </c>
    </row>
    <row r="10" spans="1:12" ht="19.5" customHeight="1">
      <c r="A10" s="11">
        <v>9</v>
      </c>
      <c r="B10" s="13" t="s">
        <v>326</v>
      </c>
      <c r="C10" s="17" t="s">
        <v>23</v>
      </c>
      <c r="D10" s="11">
        <v>17412000</v>
      </c>
      <c r="E10" s="11">
        <v>500000</v>
      </c>
      <c r="F10" s="11">
        <v>1000000</v>
      </c>
      <c r="G10" s="11">
        <v>4500000</v>
      </c>
      <c r="H10" s="11">
        <v>7500000</v>
      </c>
      <c r="I10" s="11">
        <v>10500000</v>
      </c>
      <c r="J10" s="11">
        <v>13500000</v>
      </c>
      <c r="K10" s="11">
        <v>16500000</v>
      </c>
      <c r="L10" s="11">
        <v>19500</v>
      </c>
    </row>
    <row r="11" spans="1:12" ht="19.5" customHeight="1">
      <c r="A11" s="10">
        <v>10</v>
      </c>
      <c r="B11" s="12" t="s">
        <v>327</v>
      </c>
      <c r="C11" s="14" t="s">
        <v>23</v>
      </c>
      <c r="D11" s="10">
        <v>13980000</v>
      </c>
      <c r="E11" s="10">
        <v>500000</v>
      </c>
      <c r="F11" s="10">
        <v>500000</v>
      </c>
      <c r="G11" s="10">
        <v>1000000</v>
      </c>
      <c r="H11" s="10">
        <v>1000000</v>
      </c>
      <c r="I11" s="10">
        <v>2770000</v>
      </c>
      <c r="J11" s="10">
        <v>4430000</v>
      </c>
      <c r="K11" s="10">
        <v>5316000</v>
      </c>
      <c r="L11" s="10">
        <v>3324000</v>
      </c>
    </row>
    <row r="12" spans="1:12" ht="19.5" customHeight="1">
      <c r="A12" s="11">
        <v>11</v>
      </c>
      <c r="B12" s="13" t="s">
        <v>328</v>
      </c>
      <c r="C12" s="17" t="s">
        <v>23</v>
      </c>
      <c r="D12" s="11">
        <v>13398000</v>
      </c>
      <c r="E12" s="11">
        <v>500000</v>
      </c>
      <c r="F12" s="11">
        <v>1000000</v>
      </c>
      <c r="G12" s="11">
        <v>4160000</v>
      </c>
      <c r="H12" s="11">
        <v>4992000</v>
      </c>
      <c r="I12" s="11">
        <v>5990000</v>
      </c>
      <c r="J12" s="11">
        <v>7188000</v>
      </c>
      <c r="K12" s="11">
        <v>8626000</v>
      </c>
      <c r="L12" s="11">
        <v>10351</v>
      </c>
    </row>
    <row r="13" spans="1:12" ht="19.5" customHeight="1">
      <c r="A13" s="10">
        <v>12</v>
      </c>
      <c r="B13" s="12" t="s">
        <v>329</v>
      </c>
      <c r="C13" s="14" t="s">
        <v>23</v>
      </c>
      <c r="D13" s="10">
        <v>15348000</v>
      </c>
      <c r="E13" s="10">
        <v>500000</v>
      </c>
      <c r="F13" s="10">
        <v>1000000</v>
      </c>
      <c r="G13" s="10">
        <v>4500000</v>
      </c>
      <c r="H13" s="10">
        <v>7500000</v>
      </c>
      <c r="I13" s="10">
        <v>10500000</v>
      </c>
      <c r="J13" s="10">
        <v>13500000</v>
      </c>
      <c r="K13" s="10">
        <v>16500000</v>
      </c>
      <c r="L13" s="10">
        <v>19500</v>
      </c>
    </row>
    <row r="14" spans="1:12" ht="19.5" customHeight="1">
      <c r="A14" s="11">
        <v>13</v>
      </c>
      <c r="B14" s="13" t="s">
        <v>330</v>
      </c>
      <c r="C14" s="17" t="s">
        <v>23</v>
      </c>
      <c r="D14" s="11">
        <v>9050000</v>
      </c>
      <c r="E14" s="11">
        <v>500000</v>
      </c>
      <c r="F14" s="11">
        <v>1000000</v>
      </c>
      <c r="G14" s="11">
        <v>2660000</v>
      </c>
      <c r="H14" s="11">
        <v>3192000</v>
      </c>
      <c r="I14" s="11">
        <v>3830000</v>
      </c>
      <c r="J14" s="11">
        <v>4596000</v>
      </c>
      <c r="K14" s="11">
        <v>5516000</v>
      </c>
      <c r="L14" s="11">
        <v>6619000</v>
      </c>
    </row>
    <row r="15" spans="1:12" ht="19.5" customHeight="1">
      <c r="A15" s="10">
        <v>14</v>
      </c>
      <c r="B15" s="12" t="s">
        <v>331</v>
      </c>
      <c r="C15" s="14" t="s">
        <v>23</v>
      </c>
      <c r="D15" s="10">
        <v>8237000</v>
      </c>
      <c r="E15" s="10">
        <v>500000</v>
      </c>
      <c r="F15" s="10">
        <v>1000000</v>
      </c>
      <c r="G15" s="10">
        <v>2660000</v>
      </c>
      <c r="H15" s="10">
        <v>3192000</v>
      </c>
      <c r="I15" s="10">
        <v>3192000</v>
      </c>
      <c r="J15" s="10">
        <v>3830000</v>
      </c>
      <c r="K15" s="10">
        <v>4596000</v>
      </c>
      <c r="L15" s="10">
        <v>4596000</v>
      </c>
    </row>
    <row r="16" spans="1:12" ht="19.5" customHeight="1">
      <c r="A16" s="11">
        <v>15</v>
      </c>
      <c r="B16" s="13" t="s">
        <v>127</v>
      </c>
      <c r="C16" s="17" t="s">
        <v>23</v>
      </c>
      <c r="D16" s="11">
        <v>14708000</v>
      </c>
      <c r="E16" s="11">
        <v>500000</v>
      </c>
      <c r="F16" s="11">
        <v>500000</v>
      </c>
      <c r="G16" s="11">
        <v>1000000</v>
      </c>
      <c r="H16" s="11">
        <v>1000000</v>
      </c>
      <c r="I16" s="11">
        <v>1000000</v>
      </c>
      <c r="J16" s="11">
        <v>2660000</v>
      </c>
      <c r="K16" s="11">
        <v>3940000</v>
      </c>
      <c r="L16" s="11">
        <v>4000000</v>
      </c>
    </row>
    <row r="17" spans="1:12" ht="19.5" customHeight="1">
      <c r="A17" s="10">
        <v>16</v>
      </c>
      <c r="B17" s="12" t="s">
        <v>332</v>
      </c>
      <c r="C17" s="14" t="s">
        <v>23</v>
      </c>
      <c r="D17" s="10">
        <v>13980000</v>
      </c>
      <c r="E17" s="10">
        <v>500000</v>
      </c>
      <c r="F17" s="10">
        <v>500000</v>
      </c>
      <c r="G17" s="10">
        <v>1000000</v>
      </c>
      <c r="H17" s="10">
        <v>4430000</v>
      </c>
      <c r="I17" s="10">
        <v>5316000</v>
      </c>
      <c r="J17" s="10">
        <v>6379000</v>
      </c>
      <c r="K17" s="10">
        <v>7655000</v>
      </c>
      <c r="L17" s="10">
        <v>9186000</v>
      </c>
    </row>
    <row r="18" spans="1:12" ht="19.5" customHeight="1">
      <c r="A18" s="11">
        <v>17</v>
      </c>
      <c r="B18" s="13" t="s">
        <v>43</v>
      </c>
      <c r="C18" s="17" t="s">
        <v>23</v>
      </c>
      <c r="D18" s="11">
        <v>13980000</v>
      </c>
      <c r="E18" s="11">
        <v>500000</v>
      </c>
      <c r="F18" s="11">
        <v>1000000</v>
      </c>
      <c r="G18" s="11">
        <v>2770000</v>
      </c>
      <c r="H18" s="11">
        <v>3324000</v>
      </c>
      <c r="I18" s="11">
        <v>3989000</v>
      </c>
      <c r="J18" s="11">
        <v>4787000</v>
      </c>
      <c r="K18" s="11">
        <v>5744000</v>
      </c>
      <c r="L18" s="11">
        <v>6893000</v>
      </c>
    </row>
    <row r="19" spans="1:12" ht="19.5" customHeight="1">
      <c r="A19" s="10">
        <v>18</v>
      </c>
      <c r="B19" s="12" t="s">
        <v>206</v>
      </c>
      <c r="C19" s="14" t="s">
        <v>23</v>
      </c>
      <c r="D19" s="10">
        <v>13980000</v>
      </c>
      <c r="E19" s="10">
        <v>500000</v>
      </c>
      <c r="F19" s="10">
        <v>1000000</v>
      </c>
      <c r="G19" s="10">
        <v>3940000</v>
      </c>
      <c r="H19" s="10">
        <v>4728000</v>
      </c>
      <c r="I19" s="10">
        <v>5674000</v>
      </c>
      <c r="J19" s="10">
        <v>6808000</v>
      </c>
      <c r="K19" s="10">
        <v>8170000</v>
      </c>
      <c r="L19" s="10">
        <v>9804000</v>
      </c>
    </row>
    <row r="20" spans="1:12" ht="19.5" customHeight="1">
      <c r="A20" s="11">
        <v>19</v>
      </c>
      <c r="B20" s="13" t="s">
        <v>335</v>
      </c>
      <c r="C20" s="17" t="s">
        <v>23</v>
      </c>
      <c r="D20" s="11">
        <v>13398000</v>
      </c>
      <c r="E20" s="11">
        <v>500000</v>
      </c>
      <c r="F20" s="11">
        <v>1000000</v>
      </c>
      <c r="G20" s="11">
        <v>4790000</v>
      </c>
      <c r="H20" s="11">
        <v>6093000</v>
      </c>
      <c r="I20" s="11">
        <v>7400000</v>
      </c>
      <c r="J20" s="11">
        <v>705000</v>
      </c>
      <c r="K20" s="11">
        <v>10010000</v>
      </c>
      <c r="L20" s="11">
        <v>11022000</v>
      </c>
    </row>
    <row r="21" spans="1:12" ht="19.5" customHeight="1">
      <c r="A21" s="10">
        <v>20</v>
      </c>
      <c r="B21" s="12" t="s">
        <v>293</v>
      </c>
      <c r="C21" s="14" t="s">
        <v>23</v>
      </c>
      <c r="D21" s="10">
        <v>8595000</v>
      </c>
      <c r="E21" s="10">
        <v>500000</v>
      </c>
      <c r="F21" s="10">
        <v>1000000</v>
      </c>
      <c r="G21" s="10">
        <v>2660000</v>
      </c>
      <c r="H21" s="10">
        <v>3192000</v>
      </c>
      <c r="I21" s="10">
        <v>3830000</v>
      </c>
      <c r="J21" s="10">
        <v>4596000</v>
      </c>
      <c r="K21" s="10">
        <v>5516000</v>
      </c>
      <c r="L21" s="10">
        <v>19000</v>
      </c>
    </row>
    <row r="22" spans="1:12" ht="19.5" customHeight="1">
      <c r="A22" s="11">
        <v>21</v>
      </c>
      <c r="B22" s="13" t="s">
        <v>336</v>
      </c>
      <c r="C22" s="17" t="s">
        <v>23</v>
      </c>
      <c r="D22" s="11">
        <v>38309000</v>
      </c>
      <c r="E22" s="11">
        <v>500000</v>
      </c>
      <c r="F22" s="11">
        <v>500000</v>
      </c>
      <c r="G22" s="11">
        <v>1000000</v>
      </c>
      <c r="H22" s="11">
        <v>1000000</v>
      </c>
      <c r="I22" s="11">
        <v>3940000</v>
      </c>
      <c r="J22" s="11">
        <v>5500000</v>
      </c>
      <c r="K22" s="11">
        <v>8500000</v>
      </c>
      <c r="L22" s="11">
        <v>4728000</v>
      </c>
    </row>
    <row r="23" spans="1:12" ht="19.5" customHeight="1">
      <c r="A23" s="10">
        <v>22</v>
      </c>
      <c r="B23" s="12" t="s">
        <v>233</v>
      </c>
      <c r="C23" s="14" t="s">
        <v>23</v>
      </c>
      <c r="D23" s="10">
        <v>38309000</v>
      </c>
      <c r="E23" s="10">
        <v>500000</v>
      </c>
      <c r="F23" s="10">
        <v>1000000</v>
      </c>
      <c r="G23" s="10">
        <v>5000000</v>
      </c>
      <c r="H23" s="10">
        <v>8000000</v>
      </c>
      <c r="I23" s="10">
        <v>11000000</v>
      </c>
      <c r="J23" s="10">
        <v>14000000</v>
      </c>
      <c r="K23" s="10">
        <v>17000000</v>
      </c>
      <c r="L23" s="10">
        <v>20000000</v>
      </c>
    </row>
    <row r="24" spans="1:12" ht="19.5" customHeight="1">
      <c r="A24" s="11">
        <v>23</v>
      </c>
      <c r="B24" s="13" t="s">
        <v>338</v>
      </c>
      <c r="C24" s="17" t="s">
        <v>23</v>
      </c>
      <c r="D24" s="11">
        <v>8595000</v>
      </c>
      <c r="E24" s="11">
        <v>500000</v>
      </c>
      <c r="F24" s="11">
        <v>1000000</v>
      </c>
      <c r="G24" s="11">
        <v>2660000</v>
      </c>
      <c r="H24" s="11">
        <v>3192000</v>
      </c>
      <c r="I24" s="11">
        <v>3830000</v>
      </c>
      <c r="J24" s="11">
        <v>4596000</v>
      </c>
      <c r="K24" s="11">
        <v>5516000</v>
      </c>
      <c r="L24" s="11">
        <v>6619000</v>
      </c>
    </row>
    <row r="25" spans="1:12" ht="19.5" customHeight="1">
      <c r="A25" s="10">
        <v>24</v>
      </c>
      <c r="B25" s="12" t="s">
        <v>339</v>
      </c>
      <c r="C25" s="14" t="s">
        <v>23</v>
      </c>
      <c r="D25" s="10">
        <v>13980000</v>
      </c>
      <c r="E25" s="10">
        <v>500000</v>
      </c>
      <c r="F25" s="10">
        <v>1000000</v>
      </c>
      <c r="G25" s="10">
        <v>4160000</v>
      </c>
      <c r="H25" s="10">
        <v>4992000</v>
      </c>
      <c r="I25" s="10">
        <v>5990000</v>
      </c>
      <c r="J25" s="10">
        <v>7188000</v>
      </c>
      <c r="K25" s="10">
        <v>8626000</v>
      </c>
      <c r="L25" s="10">
        <v>10351000</v>
      </c>
    </row>
    <row r="26" spans="1:12" ht="19.5" customHeight="1">
      <c r="A26" s="11">
        <v>25</v>
      </c>
      <c r="B26" s="13" t="s">
        <v>340</v>
      </c>
      <c r="C26" s="17" t="s">
        <v>23</v>
      </c>
      <c r="D26" s="11">
        <v>6809000</v>
      </c>
      <c r="E26" s="11">
        <v>500000</v>
      </c>
      <c r="F26" s="11">
        <v>1000000</v>
      </c>
      <c r="G26" s="11">
        <v>3060000</v>
      </c>
      <c r="H26" s="11">
        <v>3672000</v>
      </c>
      <c r="I26" s="11">
        <v>4406000</v>
      </c>
      <c r="J26" s="11">
        <v>5288000</v>
      </c>
      <c r="K26" s="13"/>
      <c r="L26" s="13"/>
    </row>
    <row r="27" spans="1:12" ht="19.5" customHeight="1">
      <c r="A27" s="10">
        <v>26</v>
      </c>
      <c r="B27" s="12" t="s">
        <v>341</v>
      </c>
      <c r="C27" s="14" t="s">
        <v>23</v>
      </c>
      <c r="D27" s="10">
        <v>8237000</v>
      </c>
      <c r="E27" s="10">
        <v>500000</v>
      </c>
      <c r="F27" s="10">
        <v>1000000</v>
      </c>
      <c r="G27" s="10">
        <v>3460000</v>
      </c>
      <c r="H27" s="10">
        <v>4982000</v>
      </c>
      <c r="I27" s="10">
        <v>5979000</v>
      </c>
      <c r="J27" s="10">
        <v>7175000</v>
      </c>
      <c r="K27" s="10">
        <v>8610000</v>
      </c>
      <c r="L27" s="12"/>
    </row>
    <row r="28" spans="1:12" ht="19.5" customHeight="1">
      <c r="A28" s="11">
        <v>27</v>
      </c>
      <c r="B28" s="13" t="s">
        <v>297</v>
      </c>
      <c r="C28" s="17" t="s">
        <v>23</v>
      </c>
      <c r="D28" s="11">
        <v>13398000</v>
      </c>
      <c r="E28" s="11">
        <v>500000</v>
      </c>
      <c r="F28" s="11">
        <v>1000000</v>
      </c>
      <c r="G28" s="11">
        <v>3460000</v>
      </c>
      <c r="H28" s="11">
        <v>4152000</v>
      </c>
      <c r="I28" s="11">
        <v>4982000</v>
      </c>
      <c r="J28" s="11">
        <v>5979000</v>
      </c>
      <c r="K28" s="11">
        <v>7175000</v>
      </c>
      <c r="L28" s="11">
        <v>8610000</v>
      </c>
    </row>
    <row r="29" spans="1:12" ht="19.5" customHeight="1">
      <c r="A29" s="10">
        <v>28</v>
      </c>
      <c r="B29" s="12" t="s">
        <v>343</v>
      </c>
      <c r="C29" s="14" t="s">
        <v>23</v>
      </c>
      <c r="D29" s="10">
        <v>13930000</v>
      </c>
      <c r="E29" s="10">
        <v>500000</v>
      </c>
      <c r="F29" s="10">
        <v>1000000</v>
      </c>
      <c r="G29" s="10">
        <v>4430000</v>
      </c>
      <c r="H29" s="10">
        <v>5316000</v>
      </c>
      <c r="I29" s="10">
        <v>6379000</v>
      </c>
      <c r="J29" s="10">
        <v>7655000</v>
      </c>
      <c r="K29" s="10">
        <v>9186000</v>
      </c>
      <c r="L29" s="10">
        <v>11023000</v>
      </c>
    </row>
    <row r="30" spans="1:12" ht="19.5" customHeight="1">
      <c r="A30" s="11">
        <v>29</v>
      </c>
      <c r="B30" s="13" t="s">
        <v>344</v>
      </c>
      <c r="C30" s="17" t="s">
        <v>23</v>
      </c>
      <c r="D30" s="11">
        <v>13980000</v>
      </c>
      <c r="E30" s="11">
        <v>500000</v>
      </c>
      <c r="F30" s="11">
        <v>1000000</v>
      </c>
      <c r="G30" s="11">
        <v>4160000</v>
      </c>
      <c r="H30" s="11">
        <v>4992000</v>
      </c>
      <c r="I30" s="11">
        <v>5990000</v>
      </c>
      <c r="J30" s="11">
        <v>7188000</v>
      </c>
      <c r="K30" s="11">
        <v>8626000</v>
      </c>
      <c r="L30" s="11">
        <v>10351000</v>
      </c>
    </row>
    <row r="31" spans="1:12" ht="19.5" customHeight="1">
      <c r="A31" s="10">
        <v>30</v>
      </c>
      <c r="B31" s="12" t="s">
        <v>182</v>
      </c>
      <c r="C31" s="14" t="s">
        <v>23</v>
      </c>
      <c r="D31" s="10">
        <v>13980000</v>
      </c>
      <c r="E31" s="10">
        <v>500000</v>
      </c>
      <c r="F31" s="10">
        <v>1000000</v>
      </c>
      <c r="G31" s="10">
        <v>4160000</v>
      </c>
      <c r="H31" s="10">
        <v>4992000</v>
      </c>
      <c r="I31" s="10">
        <v>5990000</v>
      </c>
      <c r="J31" s="10">
        <v>7188000</v>
      </c>
      <c r="K31" s="10">
        <v>8626000</v>
      </c>
      <c r="L31" s="10">
        <v>10351000</v>
      </c>
    </row>
    <row r="32" spans="1:12" ht="19.5" customHeight="1">
      <c r="A32" s="11">
        <v>31</v>
      </c>
      <c r="B32" s="13" t="s">
        <v>185</v>
      </c>
      <c r="C32" s="17" t="s">
        <v>23</v>
      </c>
      <c r="D32" s="11">
        <v>13398000</v>
      </c>
      <c r="E32" s="11">
        <v>500000</v>
      </c>
      <c r="F32" s="11">
        <v>1000000</v>
      </c>
      <c r="G32" s="11">
        <v>3780000</v>
      </c>
      <c r="H32" s="11">
        <v>4536000</v>
      </c>
      <c r="I32" s="11">
        <v>5443000</v>
      </c>
      <c r="J32" s="11">
        <v>6532000</v>
      </c>
      <c r="K32" s="11">
        <v>7838000</v>
      </c>
      <c r="L32" s="11">
        <v>9406000</v>
      </c>
    </row>
    <row r="33" spans="1:12" ht="19.5" customHeight="1">
      <c r="A33" s="10">
        <v>32</v>
      </c>
      <c r="B33" s="12" t="s">
        <v>345</v>
      </c>
      <c r="C33" s="14" t="s">
        <v>23</v>
      </c>
      <c r="D33" s="10">
        <v>8595000</v>
      </c>
      <c r="E33" s="10">
        <v>500000</v>
      </c>
      <c r="F33" s="10">
        <v>1000000</v>
      </c>
      <c r="G33" s="10">
        <v>2770000</v>
      </c>
      <c r="H33" s="10">
        <v>3324000</v>
      </c>
      <c r="I33" s="10">
        <v>3989000</v>
      </c>
      <c r="J33" s="10">
        <v>4787000</v>
      </c>
      <c r="K33" s="10">
        <v>5744000</v>
      </c>
      <c r="L33" s="10">
        <v>6893000</v>
      </c>
    </row>
    <row r="34" spans="1:12" ht="19.5" customHeight="1">
      <c r="A34" s="11">
        <v>33</v>
      </c>
      <c r="B34" s="13" t="s">
        <v>190</v>
      </c>
      <c r="C34" s="17" t="s">
        <v>23</v>
      </c>
      <c r="D34" s="11">
        <v>8595000</v>
      </c>
      <c r="E34" s="11">
        <v>500000</v>
      </c>
      <c r="F34" s="11">
        <v>1000000</v>
      </c>
      <c r="G34" s="11">
        <v>2660000</v>
      </c>
      <c r="H34" s="11">
        <v>3192000</v>
      </c>
      <c r="I34" s="11">
        <v>3830000</v>
      </c>
      <c r="J34" s="11">
        <v>4596000</v>
      </c>
      <c r="K34" s="11">
        <v>5516000</v>
      </c>
      <c r="L34" s="11">
        <v>6619000</v>
      </c>
    </row>
    <row r="35" spans="1:12" ht="19.5" customHeight="1">
      <c r="A35" s="10">
        <v>34</v>
      </c>
      <c r="B35" s="12" t="s">
        <v>349</v>
      </c>
      <c r="C35" s="14" t="s">
        <v>23</v>
      </c>
      <c r="D35" s="10">
        <v>13980000</v>
      </c>
      <c r="E35" s="10">
        <v>500000</v>
      </c>
      <c r="F35" s="10">
        <v>1000000</v>
      </c>
      <c r="G35" s="10">
        <v>3060000</v>
      </c>
      <c r="H35" s="10">
        <v>3672000</v>
      </c>
      <c r="I35" s="10">
        <v>4406000</v>
      </c>
      <c r="J35" s="10">
        <v>5288000</v>
      </c>
      <c r="K35" s="10">
        <v>6345000</v>
      </c>
      <c r="L35" s="10">
        <v>7614000</v>
      </c>
    </row>
    <row r="36" spans="1:12" ht="19.5" customHeight="1">
      <c r="A36" s="11">
        <v>35</v>
      </c>
      <c r="B36" s="13" t="s">
        <v>144</v>
      </c>
      <c r="C36" s="17" t="s">
        <v>23</v>
      </c>
      <c r="D36" s="11">
        <v>15348000</v>
      </c>
      <c r="E36" s="11">
        <v>500000</v>
      </c>
      <c r="F36" s="11">
        <v>1000000</v>
      </c>
      <c r="G36" s="11">
        <v>4160000</v>
      </c>
      <c r="H36" s="11">
        <v>4992000</v>
      </c>
      <c r="I36" s="11">
        <v>5990000</v>
      </c>
      <c r="J36" s="11">
        <v>7188000</v>
      </c>
      <c r="K36" s="11">
        <v>8626000</v>
      </c>
      <c r="L36" s="11">
        <v>10351000</v>
      </c>
    </row>
    <row r="37" spans="1:12" ht="19.5" customHeight="1">
      <c r="A37" s="10">
        <v>36</v>
      </c>
      <c r="B37" s="12" t="s">
        <v>350</v>
      </c>
      <c r="C37" s="14" t="s">
        <v>23</v>
      </c>
      <c r="D37" s="10">
        <v>14708000</v>
      </c>
      <c r="E37" s="10">
        <v>500000</v>
      </c>
      <c r="F37" s="10">
        <v>1000000</v>
      </c>
      <c r="G37" s="10">
        <v>3550000</v>
      </c>
      <c r="H37" s="10">
        <v>4170000</v>
      </c>
      <c r="I37" s="10">
        <v>4913000</v>
      </c>
      <c r="J37" s="10">
        <v>5780000</v>
      </c>
      <c r="K37" s="10">
        <v>6800000</v>
      </c>
      <c r="L37" s="10">
        <v>8000000</v>
      </c>
    </row>
    <row r="38" spans="1:12" ht="19.5" customHeight="1">
      <c r="A38" s="11">
        <v>37</v>
      </c>
      <c r="B38" s="13" t="s">
        <v>351</v>
      </c>
      <c r="C38" s="17" t="s">
        <v>23</v>
      </c>
      <c r="D38" s="11">
        <v>8237000</v>
      </c>
      <c r="E38" s="11">
        <v>500000</v>
      </c>
      <c r="F38" s="11">
        <v>1000000</v>
      </c>
      <c r="G38" s="11">
        <v>2660000</v>
      </c>
      <c r="H38" s="11">
        <v>3192000</v>
      </c>
      <c r="I38" s="11">
        <v>3830000</v>
      </c>
      <c r="J38" s="11">
        <v>4596000</v>
      </c>
      <c r="K38" s="11">
        <v>5516000</v>
      </c>
      <c r="L38" s="11">
        <v>6619000</v>
      </c>
    </row>
    <row r="39" spans="1:12" ht="19.5" customHeight="1">
      <c r="A39" s="10">
        <v>38</v>
      </c>
      <c r="B39" s="12" t="s">
        <v>352</v>
      </c>
      <c r="C39" s="14" t="s">
        <v>23</v>
      </c>
      <c r="D39" s="10">
        <v>13398000</v>
      </c>
      <c r="E39" s="10">
        <v>500000</v>
      </c>
      <c r="F39" s="10">
        <v>1000000</v>
      </c>
      <c r="G39" s="10">
        <v>3780000</v>
      </c>
      <c r="H39" s="10">
        <v>4536000</v>
      </c>
      <c r="I39" s="10">
        <v>5443000</v>
      </c>
      <c r="J39" s="10">
        <v>6532000</v>
      </c>
      <c r="K39" s="10">
        <v>7838000</v>
      </c>
      <c r="L39" s="10">
        <v>9406000</v>
      </c>
    </row>
    <row r="40" spans="1:12" ht="19.5" customHeight="1">
      <c r="A40" s="11">
        <v>39</v>
      </c>
      <c r="B40" s="13" t="s">
        <v>353</v>
      </c>
      <c r="C40" s="17" t="s">
        <v>23</v>
      </c>
      <c r="D40" s="11">
        <v>14563000</v>
      </c>
      <c r="E40" s="11">
        <v>500000</v>
      </c>
      <c r="F40" s="11">
        <v>1000000</v>
      </c>
      <c r="G40" s="11">
        <v>4950000</v>
      </c>
      <c r="H40" s="11">
        <v>5940000</v>
      </c>
      <c r="I40" s="11">
        <v>7128000</v>
      </c>
      <c r="J40" s="11">
        <v>8554000</v>
      </c>
      <c r="K40" s="11">
        <v>10264000</v>
      </c>
      <c r="L40" s="11">
        <v>12317000</v>
      </c>
    </row>
    <row r="41" spans="1:12" ht="19.5" customHeight="1">
      <c r="A41" s="10">
        <v>40</v>
      </c>
      <c r="B41" s="12" t="s">
        <v>87</v>
      </c>
      <c r="C41" s="14" t="s">
        <v>23</v>
      </c>
      <c r="D41" s="10">
        <v>14563000</v>
      </c>
      <c r="E41" s="10">
        <v>500000</v>
      </c>
      <c r="F41" s="10">
        <v>1000000</v>
      </c>
      <c r="G41" s="10">
        <v>4950000</v>
      </c>
      <c r="H41" s="10">
        <v>5940000</v>
      </c>
      <c r="I41" s="10">
        <v>7128000</v>
      </c>
      <c r="J41" s="10">
        <v>8554000</v>
      </c>
      <c r="K41" s="10">
        <v>10264000</v>
      </c>
      <c r="L41" s="10">
        <v>12317000</v>
      </c>
    </row>
    <row r="42" spans="1:12" ht="19.5" customHeight="1">
      <c r="A42" s="11">
        <v>41</v>
      </c>
      <c r="B42" s="13" t="s">
        <v>90</v>
      </c>
      <c r="C42" s="17" t="s">
        <v>23</v>
      </c>
      <c r="D42" s="11">
        <v>13398000</v>
      </c>
      <c r="E42" s="11">
        <v>500000</v>
      </c>
      <c r="F42" s="11">
        <v>1000000</v>
      </c>
      <c r="G42" s="11">
        <v>4610000</v>
      </c>
      <c r="H42" s="11">
        <v>5532000</v>
      </c>
      <c r="I42" s="11">
        <v>6638000</v>
      </c>
      <c r="J42" s="11">
        <v>7966000</v>
      </c>
      <c r="K42" s="11">
        <v>9559000</v>
      </c>
      <c r="L42" s="11">
        <v>11471000</v>
      </c>
    </row>
    <row r="43" spans="1:12" ht="19.5" customHeight="1">
      <c r="A43" s="10">
        <v>42</v>
      </c>
      <c r="B43" s="12" t="s">
        <v>354</v>
      </c>
      <c r="C43" s="14" t="s">
        <v>23</v>
      </c>
      <c r="D43" s="10">
        <v>13398000</v>
      </c>
      <c r="E43" s="10">
        <v>500000</v>
      </c>
      <c r="F43" s="10">
        <v>1000000</v>
      </c>
      <c r="G43" s="10">
        <v>4270000</v>
      </c>
      <c r="H43" s="10">
        <v>5124000</v>
      </c>
      <c r="I43" s="10">
        <v>6149000</v>
      </c>
      <c r="J43" s="10">
        <v>7379000</v>
      </c>
      <c r="K43" s="10">
        <v>8854000</v>
      </c>
      <c r="L43" s="10">
        <v>10625000</v>
      </c>
    </row>
    <row r="44" spans="1:12" ht="19.5" customHeight="1">
      <c r="A44" s="11">
        <v>43</v>
      </c>
      <c r="B44" s="13" t="s">
        <v>209</v>
      </c>
      <c r="C44" s="17" t="s">
        <v>23</v>
      </c>
      <c r="D44" s="11">
        <v>13980000</v>
      </c>
      <c r="E44" s="11">
        <v>500000</v>
      </c>
      <c r="F44" s="11">
        <v>1000000</v>
      </c>
      <c r="G44" s="11">
        <v>3940000</v>
      </c>
      <c r="H44" s="11">
        <v>4728000</v>
      </c>
      <c r="I44" s="11">
        <v>5674000</v>
      </c>
      <c r="J44" s="11">
        <v>6808000</v>
      </c>
      <c r="K44" s="11">
        <v>8170000</v>
      </c>
      <c r="L44" s="11">
        <v>9804000</v>
      </c>
    </row>
    <row r="45" spans="1:12" ht="19.5" customHeight="1">
      <c r="A45" s="10">
        <v>44</v>
      </c>
      <c r="B45" s="12" t="s">
        <v>95</v>
      </c>
      <c r="C45" s="14" t="s">
        <v>23</v>
      </c>
      <c r="D45" s="10">
        <v>14563000</v>
      </c>
      <c r="E45" s="10">
        <v>500000</v>
      </c>
      <c r="F45" s="10">
        <v>1000000</v>
      </c>
      <c r="G45" s="10">
        <v>5560000</v>
      </c>
      <c r="H45" s="10">
        <v>6672000</v>
      </c>
      <c r="I45" s="10">
        <v>8006000</v>
      </c>
      <c r="J45" s="10">
        <v>9608000</v>
      </c>
      <c r="K45" s="10">
        <v>11529000</v>
      </c>
      <c r="L45" s="10">
        <v>13835000</v>
      </c>
    </row>
    <row r="46" spans="1:12" ht="19.5" customHeight="1">
      <c r="A46" s="11">
        <v>45</v>
      </c>
      <c r="B46" s="13" t="s">
        <v>105</v>
      </c>
      <c r="C46" s="17" t="s">
        <v>23</v>
      </c>
      <c r="D46" s="11">
        <v>14563000</v>
      </c>
      <c r="E46" s="11">
        <v>500000</v>
      </c>
      <c r="F46" s="11">
        <v>1000000</v>
      </c>
      <c r="G46" s="11">
        <v>4950000</v>
      </c>
      <c r="H46" s="11">
        <v>5940000</v>
      </c>
      <c r="I46" s="11">
        <v>7128000</v>
      </c>
      <c r="J46" s="11">
        <v>8554000</v>
      </c>
      <c r="K46" s="11">
        <v>10264000</v>
      </c>
      <c r="L46" s="11">
        <v>12317000</v>
      </c>
    </row>
    <row r="47" spans="1:12" ht="19.5" customHeight="1">
      <c r="A47" s="10">
        <v>46</v>
      </c>
      <c r="B47" s="12" t="s">
        <v>110</v>
      </c>
      <c r="C47" s="14" t="s">
        <v>23</v>
      </c>
      <c r="D47" s="10">
        <v>13398000</v>
      </c>
      <c r="E47" s="10">
        <v>500000</v>
      </c>
      <c r="F47" s="10">
        <v>1000000</v>
      </c>
      <c r="G47" s="10">
        <v>4270000</v>
      </c>
      <c r="H47" s="10">
        <v>5124000</v>
      </c>
      <c r="I47" s="10">
        <v>6149000</v>
      </c>
      <c r="J47" s="10">
        <v>7379000</v>
      </c>
      <c r="K47" s="10">
        <v>8854000</v>
      </c>
      <c r="L47" s="10">
        <v>10625000</v>
      </c>
    </row>
    <row r="48" spans="1:12" ht="19.5" customHeight="1">
      <c r="A48" s="11">
        <v>47</v>
      </c>
      <c r="B48" s="13" t="s">
        <v>147</v>
      </c>
      <c r="C48" s="17" t="s">
        <v>23</v>
      </c>
      <c r="D48" s="11">
        <v>19964000</v>
      </c>
      <c r="E48" s="11">
        <v>500000</v>
      </c>
      <c r="F48" s="11">
        <v>1000000</v>
      </c>
      <c r="G48" s="11">
        <v>5370000</v>
      </c>
      <c r="H48" s="11">
        <v>6444000</v>
      </c>
      <c r="I48" s="11">
        <v>7733000</v>
      </c>
      <c r="J48" s="11">
        <v>9279000</v>
      </c>
      <c r="K48" s="11">
        <v>11135000</v>
      </c>
      <c r="L48" s="11">
        <v>13362000</v>
      </c>
    </row>
    <row r="49" spans="1:12" ht="19.5" customHeight="1">
      <c r="A49" s="10">
        <v>48</v>
      </c>
      <c r="B49" s="12" t="s">
        <v>112</v>
      </c>
      <c r="C49" s="14" t="s">
        <v>23</v>
      </c>
      <c r="D49" s="10">
        <v>14563000</v>
      </c>
      <c r="E49" s="10">
        <v>500000</v>
      </c>
      <c r="F49" s="10">
        <v>1000000</v>
      </c>
      <c r="G49" s="10">
        <v>4950000</v>
      </c>
      <c r="H49" s="10">
        <v>5940000</v>
      </c>
      <c r="I49" s="10">
        <v>7128000</v>
      </c>
      <c r="J49" s="10">
        <v>8554000</v>
      </c>
      <c r="K49" s="10">
        <v>10264000</v>
      </c>
      <c r="L49" s="10">
        <v>12317000</v>
      </c>
    </row>
    <row r="50" spans="1:12" ht="19.5" customHeight="1">
      <c r="A50" s="11">
        <v>49</v>
      </c>
      <c r="B50" s="13" t="s">
        <v>355</v>
      </c>
      <c r="C50" s="17" t="s">
        <v>23</v>
      </c>
      <c r="D50" s="11">
        <v>14708000</v>
      </c>
      <c r="E50" s="11">
        <v>500000</v>
      </c>
      <c r="F50" s="11">
        <v>1000000</v>
      </c>
      <c r="G50" s="11">
        <v>5370000</v>
      </c>
      <c r="H50" s="11">
        <v>6444000</v>
      </c>
      <c r="I50" s="11">
        <v>7733000</v>
      </c>
      <c r="J50" s="11">
        <v>9279000</v>
      </c>
      <c r="K50" s="11">
        <v>11135000</v>
      </c>
      <c r="L50" s="11">
        <v>13362000</v>
      </c>
    </row>
    <row r="51" spans="1:12" ht="19.5" customHeight="1">
      <c r="A51" s="10">
        <v>50</v>
      </c>
      <c r="B51" s="12" t="s">
        <v>356</v>
      </c>
      <c r="C51" s="14" t="s">
        <v>23</v>
      </c>
      <c r="D51" s="10">
        <v>14708000</v>
      </c>
      <c r="E51" s="10">
        <v>500000</v>
      </c>
      <c r="F51" s="10">
        <v>1000000</v>
      </c>
      <c r="G51" s="10">
        <v>4010000</v>
      </c>
      <c r="H51" s="10">
        <v>5774000</v>
      </c>
      <c r="I51" s="10">
        <v>6929000</v>
      </c>
      <c r="J51" s="10">
        <v>8315000</v>
      </c>
      <c r="K51" s="10">
        <v>9978000</v>
      </c>
      <c r="L51" s="12"/>
    </row>
    <row r="52" spans="1:12" ht="19.5" customHeight="1">
      <c r="A52" s="11">
        <v>51</v>
      </c>
      <c r="B52" s="13" t="s">
        <v>357</v>
      </c>
      <c r="C52" s="17" t="s">
        <v>23</v>
      </c>
      <c r="D52" s="11">
        <v>14708000</v>
      </c>
      <c r="E52" s="11">
        <v>500000</v>
      </c>
      <c r="F52" s="11">
        <v>1000000</v>
      </c>
      <c r="G52" s="11">
        <v>3940000</v>
      </c>
      <c r="H52" s="11">
        <v>4728000</v>
      </c>
      <c r="I52" s="11">
        <v>5674000</v>
      </c>
      <c r="J52" s="11">
        <v>6808000</v>
      </c>
      <c r="K52" s="11">
        <v>8170000</v>
      </c>
      <c r="L52" s="11">
        <v>9804000</v>
      </c>
    </row>
    <row r="53" spans="1:12" ht="19.5" customHeight="1">
      <c r="A53" s="10">
        <v>52</v>
      </c>
      <c r="B53" s="12" t="s">
        <v>74</v>
      </c>
      <c r="C53" s="14" t="s">
        <v>23</v>
      </c>
      <c r="D53" s="10">
        <v>13398000</v>
      </c>
      <c r="E53" s="10">
        <v>500000</v>
      </c>
      <c r="F53" s="10">
        <v>1000000</v>
      </c>
      <c r="G53" s="10">
        <v>4270000</v>
      </c>
      <c r="H53" s="10">
        <v>5124000</v>
      </c>
      <c r="I53" s="10">
        <v>6149000</v>
      </c>
      <c r="J53" s="10">
        <v>7379000</v>
      </c>
      <c r="K53" s="10">
        <v>8854000</v>
      </c>
      <c r="L53" s="10">
        <v>10625000</v>
      </c>
    </row>
    <row r="54" spans="1:12" ht="19.5" customHeight="1">
      <c r="A54" s="11">
        <v>53</v>
      </c>
      <c r="B54" s="13" t="s">
        <v>103</v>
      </c>
      <c r="C54" s="17" t="s">
        <v>23</v>
      </c>
      <c r="D54" s="11">
        <v>13398000</v>
      </c>
      <c r="E54" s="11">
        <v>500000</v>
      </c>
      <c r="F54" s="11">
        <v>1000000</v>
      </c>
      <c r="G54" s="11">
        <v>4270000</v>
      </c>
      <c r="H54" s="11">
        <v>5124000</v>
      </c>
      <c r="I54" s="11">
        <v>6149000</v>
      </c>
      <c r="J54" s="11">
        <v>7379000</v>
      </c>
      <c r="K54" s="11">
        <v>8854000</v>
      </c>
      <c r="L54" s="13"/>
    </row>
    <row r="55" spans="1:12" ht="19.5" customHeight="1">
      <c r="A55" s="10">
        <v>54</v>
      </c>
      <c r="B55" s="12" t="s">
        <v>360</v>
      </c>
      <c r="C55" s="14" t="s">
        <v>23</v>
      </c>
      <c r="D55" s="10">
        <v>13398000</v>
      </c>
      <c r="E55" s="10">
        <v>500000</v>
      </c>
      <c r="F55" s="10">
        <v>1000000</v>
      </c>
      <c r="G55" s="10">
        <v>2770000</v>
      </c>
      <c r="H55" s="10">
        <v>3324000</v>
      </c>
      <c r="I55" s="10">
        <v>3989000</v>
      </c>
      <c r="J55" s="12"/>
      <c r="K55" s="12"/>
      <c r="L55" s="12"/>
    </row>
    <row r="56" spans="1:12" ht="19.5" customHeight="1">
      <c r="A56" s="11">
        <v>55</v>
      </c>
      <c r="B56" s="13" t="s">
        <v>363</v>
      </c>
      <c r="C56" s="17" t="s">
        <v>23</v>
      </c>
      <c r="D56" s="11">
        <v>13398000</v>
      </c>
      <c r="E56" s="11">
        <v>500000</v>
      </c>
      <c r="F56" s="11">
        <v>1000000</v>
      </c>
      <c r="G56" s="11">
        <v>3940000</v>
      </c>
      <c r="H56" s="11">
        <v>4728000</v>
      </c>
      <c r="I56" s="11">
        <v>5674000</v>
      </c>
      <c r="J56" s="13"/>
      <c r="K56" s="13"/>
      <c r="L56" s="13"/>
    </row>
    <row r="57" spans="1:12" ht="19.5" customHeight="1">
      <c r="A57" s="10">
        <v>56</v>
      </c>
      <c r="B57" s="12" t="s">
        <v>367</v>
      </c>
      <c r="C57" s="14" t="s">
        <v>23</v>
      </c>
      <c r="D57" s="10">
        <v>14708000</v>
      </c>
      <c r="E57" s="10">
        <v>500000</v>
      </c>
      <c r="F57" s="10">
        <v>1000000</v>
      </c>
      <c r="G57" s="10">
        <v>4010000</v>
      </c>
      <c r="H57" s="10">
        <v>4814000</v>
      </c>
      <c r="I57" s="10">
        <v>5774000</v>
      </c>
      <c r="J57" s="12"/>
      <c r="K57" s="12"/>
      <c r="L57" s="12"/>
    </row>
    <row r="58" spans="1:12" ht="19.5" customHeight="1">
      <c r="A58" s="11">
        <v>57</v>
      </c>
      <c r="B58" s="13" t="s">
        <v>368</v>
      </c>
      <c r="C58" s="17" t="s">
        <v>23</v>
      </c>
      <c r="D58" s="11">
        <v>14708000</v>
      </c>
      <c r="E58" s="11">
        <v>500000</v>
      </c>
      <c r="F58" s="11">
        <v>1000000</v>
      </c>
      <c r="G58" s="11">
        <v>4160000</v>
      </c>
      <c r="H58" s="11">
        <v>4992000</v>
      </c>
      <c r="I58" s="11">
        <v>5990000</v>
      </c>
      <c r="J58" s="13"/>
      <c r="K58" s="13"/>
      <c r="L58" s="13"/>
    </row>
    <row r="59" spans="1:12" ht="15.75" customHeight="1"/>
    <row r="60" spans="1:12" ht="15.75" customHeight="1"/>
    <row r="61" spans="1:12" ht="15.75" customHeight="1"/>
    <row r="62" spans="1:12" ht="15.75" customHeight="1"/>
    <row r="63" spans="1:12" ht="15.75" customHeight="1"/>
    <row r="64" spans="1:1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1000"/>
  <sheetViews>
    <sheetView workbookViewId="0"/>
  </sheetViews>
  <sheetFormatPr baseColWidth="10" defaultColWidth="12.6640625" defaultRowHeight="15" customHeight="1"/>
  <cols>
    <col min="1" max="1" width="10.5" customWidth="1"/>
    <col min="2" max="2" width="21.83203125" customWidth="1"/>
    <col min="3" max="3" width="10.5" customWidth="1"/>
    <col min="4" max="4" width="21" customWidth="1"/>
    <col min="5" max="5" width="19.1640625" customWidth="1"/>
    <col min="6" max="6" width="20.1640625" customWidth="1"/>
    <col min="7" max="7" width="21" customWidth="1"/>
    <col min="8" max="8" width="20.1640625" customWidth="1"/>
    <col min="9" max="9" width="19.1640625" customWidth="1"/>
    <col min="10" max="10" width="20.1640625" customWidth="1"/>
    <col min="11" max="11" width="21" customWidth="1"/>
    <col min="12" max="12" width="21.83203125" customWidth="1"/>
    <col min="13" max="23" width="7.6640625" customWidth="1"/>
  </cols>
  <sheetData>
    <row r="1" spans="1:12" ht="27.75" customHeight="1">
      <c r="A1" s="53" t="s">
        <v>0</v>
      </c>
      <c r="B1" s="53" t="s">
        <v>3</v>
      </c>
      <c r="C1" s="53" t="s">
        <v>4</v>
      </c>
      <c r="D1" s="53" t="s">
        <v>5</v>
      </c>
      <c r="E1" s="53" t="s">
        <v>16</v>
      </c>
      <c r="F1" s="53" t="s">
        <v>18</v>
      </c>
      <c r="G1" s="53" t="s">
        <v>20</v>
      </c>
      <c r="H1" s="53" t="s">
        <v>7</v>
      </c>
      <c r="I1" s="53" t="s">
        <v>9</v>
      </c>
      <c r="J1" s="53" t="s">
        <v>10</v>
      </c>
      <c r="K1" s="53" t="s">
        <v>278</v>
      </c>
      <c r="L1" s="53" t="s">
        <v>279</v>
      </c>
    </row>
    <row r="2" spans="1:12" ht="19.5" customHeight="1">
      <c r="A2" s="11">
        <v>1</v>
      </c>
      <c r="B2" s="13" t="s">
        <v>281</v>
      </c>
      <c r="C2" s="17" t="s">
        <v>282</v>
      </c>
      <c r="D2" s="11">
        <v>15125000</v>
      </c>
      <c r="E2" s="11">
        <v>500000</v>
      </c>
      <c r="F2" s="11">
        <v>1000000</v>
      </c>
      <c r="G2" s="11">
        <v>2980000</v>
      </c>
      <c r="H2" s="11">
        <v>3576000</v>
      </c>
      <c r="I2" s="11">
        <v>4291000</v>
      </c>
      <c r="J2" s="11">
        <v>5149000</v>
      </c>
      <c r="K2" s="11">
        <v>6179000</v>
      </c>
      <c r="L2" s="11">
        <v>7415000</v>
      </c>
    </row>
    <row r="3" spans="1:12" ht="19.5" customHeight="1">
      <c r="A3" s="10">
        <v>2</v>
      </c>
      <c r="B3" s="12" t="s">
        <v>337</v>
      </c>
      <c r="C3" s="14" t="s">
        <v>240</v>
      </c>
      <c r="D3" s="10">
        <v>14888000</v>
      </c>
      <c r="E3" s="10">
        <v>500000</v>
      </c>
      <c r="F3" s="10">
        <v>1000000</v>
      </c>
      <c r="G3" s="10">
        <v>2500000</v>
      </c>
      <c r="H3" s="12"/>
      <c r="I3" s="12"/>
      <c r="J3" s="12"/>
      <c r="K3" s="12"/>
      <c r="L3" s="12"/>
    </row>
    <row r="4" spans="1:12" ht="19.5" customHeight="1">
      <c r="A4" s="11">
        <v>3</v>
      </c>
      <c r="B4" s="13" t="s">
        <v>255</v>
      </c>
      <c r="C4" s="17" t="s">
        <v>240</v>
      </c>
      <c r="D4" s="11">
        <v>14888000</v>
      </c>
      <c r="E4" s="11">
        <v>500000</v>
      </c>
      <c r="F4" s="11">
        <v>1000000</v>
      </c>
      <c r="G4" s="11">
        <v>2500000</v>
      </c>
      <c r="H4" s="13"/>
      <c r="I4" s="13"/>
      <c r="J4" s="13"/>
      <c r="K4" s="13"/>
      <c r="L4" s="13"/>
    </row>
    <row r="5" spans="1:12" ht="19.5" customHeight="1">
      <c r="A5" s="10">
        <v>4</v>
      </c>
      <c r="B5" s="12" t="s">
        <v>254</v>
      </c>
      <c r="C5" s="14" t="s">
        <v>240</v>
      </c>
      <c r="D5" s="10">
        <v>15536000</v>
      </c>
      <c r="E5" s="10">
        <v>500000</v>
      </c>
      <c r="F5" s="10">
        <v>1000000</v>
      </c>
      <c r="G5" s="10">
        <v>2500000</v>
      </c>
      <c r="H5" s="12"/>
      <c r="I5" s="12"/>
      <c r="J5" s="12"/>
      <c r="K5" s="12"/>
      <c r="L5" s="12"/>
    </row>
    <row r="6" spans="1:12" ht="19.5" customHeight="1">
      <c r="A6" s="11">
        <v>5</v>
      </c>
      <c r="B6" s="13" t="s">
        <v>22</v>
      </c>
      <c r="C6" s="17" t="s">
        <v>240</v>
      </c>
      <c r="D6" s="11">
        <v>14888000</v>
      </c>
      <c r="E6" s="11">
        <v>500000</v>
      </c>
      <c r="F6" s="11">
        <v>1000000</v>
      </c>
      <c r="G6" s="11">
        <v>2500000</v>
      </c>
      <c r="H6" s="13"/>
      <c r="I6" s="13"/>
      <c r="J6" s="13"/>
      <c r="K6" s="13"/>
      <c r="L6" s="13"/>
    </row>
    <row r="7" spans="1:12" ht="19.5" customHeight="1">
      <c r="A7" s="10">
        <v>6</v>
      </c>
      <c r="B7" s="12" t="s">
        <v>342</v>
      </c>
      <c r="C7" s="14" t="s">
        <v>240</v>
      </c>
      <c r="D7" s="10">
        <v>14888000</v>
      </c>
      <c r="E7" s="10">
        <v>500000</v>
      </c>
      <c r="F7" s="10">
        <v>1000000</v>
      </c>
      <c r="G7" s="10">
        <v>2500000</v>
      </c>
      <c r="H7" s="12"/>
      <c r="I7" s="12"/>
      <c r="J7" s="12"/>
      <c r="K7" s="12"/>
      <c r="L7" s="12"/>
    </row>
    <row r="8" spans="1:12" ht="19.5" customHeight="1">
      <c r="A8" s="11">
        <v>7</v>
      </c>
      <c r="B8" s="13" t="s">
        <v>264</v>
      </c>
      <c r="C8" s="17" t="s">
        <v>240</v>
      </c>
      <c r="D8" s="11">
        <v>23767000</v>
      </c>
      <c r="E8" s="11">
        <v>500000</v>
      </c>
      <c r="F8" s="11">
        <v>1000000</v>
      </c>
      <c r="G8" s="11">
        <v>3000000</v>
      </c>
      <c r="H8" s="13"/>
      <c r="I8" s="13"/>
      <c r="J8" s="13"/>
      <c r="K8" s="13"/>
      <c r="L8" s="13"/>
    </row>
    <row r="9" spans="1:12" ht="19.5" customHeight="1">
      <c r="A9" s="10">
        <v>8</v>
      </c>
      <c r="B9" s="12" t="s">
        <v>112</v>
      </c>
      <c r="C9" s="14" t="s">
        <v>240</v>
      </c>
      <c r="D9" s="10">
        <v>26218000</v>
      </c>
      <c r="E9" s="10">
        <v>500000</v>
      </c>
      <c r="F9" s="10">
        <v>1000000</v>
      </c>
      <c r="G9" s="10">
        <v>3500000</v>
      </c>
      <c r="H9" s="12"/>
      <c r="I9" s="12"/>
      <c r="J9" s="12"/>
      <c r="K9" s="12"/>
      <c r="L9" s="12"/>
    </row>
    <row r="10" spans="1:12" ht="19.5" customHeight="1">
      <c r="A10" s="11">
        <v>9</v>
      </c>
      <c r="B10" s="13" t="s">
        <v>105</v>
      </c>
      <c r="C10" s="17" t="s">
        <v>240</v>
      </c>
      <c r="D10" s="11">
        <v>26218000</v>
      </c>
      <c r="E10" s="11">
        <v>500000</v>
      </c>
      <c r="F10" s="11">
        <v>1000000</v>
      </c>
      <c r="G10" s="11">
        <v>3500000</v>
      </c>
      <c r="H10" s="13"/>
      <c r="I10" s="13"/>
      <c r="J10" s="13"/>
      <c r="K10" s="13"/>
      <c r="L10" s="13"/>
    </row>
    <row r="11" spans="1:12" ht="19.5" customHeight="1">
      <c r="A11" s="10">
        <v>10</v>
      </c>
      <c r="B11" s="12" t="s">
        <v>260</v>
      </c>
      <c r="C11" s="14" t="s">
        <v>240</v>
      </c>
      <c r="D11" s="10">
        <v>26218000</v>
      </c>
      <c r="E11" s="10">
        <v>500000</v>
      </c>
      <c r="F11" s="10">
        <v>1000000</v>
      </c>
      <c r="G11" s="10">
        <v>3500000</v>
      </c>
      <c r="H11" s="12"/>
      <c r="I11" s="12"/>
      <c r="J11" s="12"/>
      <c r="K11" s="12"/>
      <c r="L11" s="12"/>
    </row>
    <row r="12" spans="1:12" ht="19.5" customHeight="1">
      <c r="A12" s="11">
        <v>11</v>
      </c>
      <c r="B12" s="13" t="s">
        <v>346</v>
      </c>
      <c r="C12" s="17" t="s">
        <v>240</v>
      </c>
      <c r="D12" s="11">
        <v>14888000</v>
      </c>
      <c r="E12" s="11">
        <v>500000</v>
      </c>
      <c r="F12" s="11">
        <v>1000000</v>
      </c>
      <c r="G12" s="11">
        <v>3500000</v>
      </c>
      <c r="H12" s="13"/>
      <c r="I12" s="13"/>
      <c r="J12" s="13"/>
      <c r="K12" s="13"/>
      <c r="L12" s="13"/>
    </row>
    <row r="13" spans="1:12" ht="19.5" customHeight="1">
      <c r="A13" s="10">
        <v>12</v>
      </c>
      <c r="B13" s="12" t="s">
        <v>258</v>
      </c>
      <c r="C13" s="14" t="s">
        <v>240</v>
      </c>
      <c r="D13" s="10">
        <v>14888000</v>
      </c>
      <c r="E13" s="10">
        <v>500000</v>
      </c>
      <c r="F13" s="10">
        <v>1000000</v>
      </c>
      <c r="G13" s="10">
        <v>3500000</v>
      </c>
      <c r="H13" s="12"/>
      <c r="I13" s="12"/>
      <c r="J13" s="12"/>
      <c r="K13" s="12"/>
      <c r="L13" s="12"/>
    </row>
    <row r="14" spans="1:12" ht="19.5" customHeight="1">
      <c r="A14" s="11">
        <v>13</v>
      </c>
      <c r="B14" s="13" t="s">
        <v>261</v>
      </c>
      <c r="C14" s="17" t="s">
        <v>240</v>
      </c>
      <c r="D14" s="11">
        <v>23230000</v>
      </c>
      <c r="E14" s="11">
        <v>500000</v>
      </c>
      <c r="F14" s="11">
        <v>1000000</v>
      </c>
      <c r="G14" s="11">
        <v>2000000</v>
      </c>
      <c r="H14" s="11">
        <v>2500000</v>
      </c>
      <c r="I14" s="11">
        <v>3000000</v>
      </c>
      <c r="J14" s="13"/>
      <c r="K14" s="13"/>
      <c r="L14" s="13"/>
    </row>
    <row r="15" spans="1:12" ht="19.5" customHeight="1">
      <c r="A15" s="10">
        <v>14</v>
      </c>
      <c r="B15" s="12" t="s">
        <v>262</v>
      </c>
      <c r="C15" s="14" t="s">
        <v>240</v>
      </c>
      <c r="D15" s="10">
        <v>23230000</v>
      </c>
      <c r="E15" s="10">
        <v>500000</v>
      </c>
      <c r="F15" s="10">
        <v>1000000</v>
      </c>
      <c r="G15" s="10">
        <v>2000000</v>
      </c>
      <c r="H15" s="10">
        <v>2500000</v>
      </c>
      <c r="I15" s="10">
        <v>3000000</v>
      </c>
      <c r="J15" s="12"/>
      <c r="K15" s="12"/>
      <c r="L15" s="1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1000"/>
  <sheetViews>
    <sheetView workbookViewId="0"/>
  </sheetViews>
  <sheetFormatPr baseColWidth="10" defaultColWidth="12.6640625" defaultRowHeight="15" customHeight="1"/>
  <cols>
    <col min="1" max="1" width="10.5" customWidth="1"/>
    <col min="2" max="2" width="40.1640625" customWidth="1"/>
    <col min="3" max="3" width="10.5" customWidth="1"/>
    <col min="4" max="4" width="21" customWidth="1"/>
    <col min="5" max="5" width="18.33203125" customWidth="1"/>
    <col min="6" max="9" width="24.5" customWidth="1"/>
    <col min="10" max="26" width="7.6640625" customWidth="1"/>
  </cols>
  <sheetData>
    <row r="1" spans="1:9" ht="27.75" customHeight="1">
      <c r="A1" s="55" t="s">
        <v>0</v>
      </c>
      <c r="B1" s="55" t="s">
        <v>3</v>
      </c>
      <c r="C1" s="55" t="s">
        <v>4</v>
      </c>
      <c r="D1" s="55" t="s">
        <v>5</v>
      </c>
      <c r="E1" s="55" t="s">
        <v>361</v>
      </c>
      <c r="F1" s="55" t="s">
        <v>362</v>
      </c>
      <c r="G1" s="55" t="s">
        <v>364</v>
      </c>
      <c r="H1" s="55" t="s">
        <v>365</v>
      </c>
      <c r="I1" s="55" t="s">
        <v>366</v>
      </c>
    </row>
    <row r="2" spans="1:9" ht="19.5" customHeight="1">
      <c r="A2" s="11">
        <v>1</v>
      </c>
      <c r="B2" s="13" t="s">
        <v>38</v>
      </c>
      <c r="C2" s="17" t="s">
        <v>23</v>
      </c>
      <c r="D2" s="11">
        <v>13980000</v>
      </c>
      <c r="E2" s="11">
        <v>27960000</v>
      </c>
      <c r="F2" s="11">
        <v>12000000</v>
      </c>
      <c r="G2" s="11">
        <v>12750000</v>
      </c>
      <c r="H2" s="11">
        <v>13500000</v>
      </c>
      <c r="I2" s="11">
        <v>15000000</v>
      </c>
    </row>
    <row r="3" spans="1:9" ht="19.5" customHeight="1">
      <c r="A3" s="10">
        <v>2</v>
      </c>
      <c r="B3" s="12" t="s">
        <v>43</v>
      </c>
      <c r="C3" s="14" t="s">
        <v>23</v>
      </c>
      <c r="D3" s="10">
        <v>13980000</v>
      </c>
      <c r="E3" s="10">
        <v>27960000</v>
      </c>
      <c r="F3" s="10">
        <v>12000000</v>
      </c>
      <c r="G3" s="10">
        <v>12750000</v>
      </c>
      <c r="H3" s="10">
        <v>13500000</v>
      </c>
      <c r="I3" s="10">
        <v>15000000</v>
      </c>
    </row>
    <row r="4" spans="1:9" ht="19.5" customHeight="1">
      <c r="A4" s="11">
        <v>3</v>
      </c>
      <c r="B4" s="13" t="s">
        <v>22</v>
      </c>
      <c r="C4" s="17" t="s">
        <v>23</v>
      </c>
      <c r="D4" s="11">
        <v>15348000</v>
      </c>
      <c r="E4" s="11">
        <v>30696000</v>
      </c>
      <c r="F4" s="11">
        <v>12000000</v>
      </c>
      <c r="G4" s="11">
        <v>12750000</v>
      </c>
      <c r="H4" s="11">
        <v>13500000</v>
      </c>
      <c r="I4" s="11">
        <v>15000000</v>
      </c>
    </row>
    <row r="5" spans="1:9" ht="19.5" customHeight="1">
      <c r="A5" s="10">
        <v>4</v>
      </c>
      <c r="B5" s="12" t="s">
        <v>29</v>
      </c>
      <c r="C5" s="14" t="s">
        <v>23</v>
      </c>
      <c r="D5" s="10">
        <v>13980000</v>
      </c>
      <c r="E5" s="10">
        <v>27960000</v>
      </c>
      <c r="F5" s="10">
        <v>12000000</v>
      </c>
      <c r="G5" s="10">
        <v>12750000</v>
      </c>
      <c r="H5" s="10">
        <v>13500000</v>
      </c>
      <c r="I5" s="10">
        <v>15000000</v>
      </c>
    </row>
    <row r="6" spans="1:9" ht="19.5" customHeight="1">
      <c r="A6" s="11">
        <v>5</v>
      </c>
      <c r="B6" s="13" t="s">
        <v>369</v>
      </c>
      <c r="C6" s="17" t="s">
        <v>23</v>
      </c>
      <c r="D6" s="11">
        <v>13398000</v>
      </c>
      <c r="E6" s="11">
        <v>26796000</v>
      </c>
      <c r="F6" s="13"/>
      <c r="G6" s="13"/>
      <c r="H6" s="13"/>
      <c r="I6" s="13"/>
    </row>
    <row r="7" spans="1:9" ht="19.5" customHeight="1">
      <c r="A7" s="10">
        <v>6</v>
      </c>
      <c r="B7" s="12" t="s">
        <v>54</v>
      </c>
      <c r="C7" s="14" t="s">
        <v>23</v>
      </c>
      <c r="D7" s="10">
        <v>38309000</v>
      </c>
      <c r="E7" s="10">
        <v>76618000</v>
      </c>
      <c r="F7" s="10">
        <v>12000000</v>
      </c>
      <c r="G7" s="10">
        <v>12750000</v>
      </c>
      <c r="H7" s="10">
        <v>13500000</v>
      </c>
      <c r="I7" s="10">
        <v>15000000</v>
      </c>
    </row>
    <row r="8" spans="1:9" ht="19.5" customHeight="1">
      <c r="A8" s="11">
        <v>7</v>
      </c>
      <c r="B8" s="13" t="s">
        <v>64</v>
      </c>
      <c r="C8" s="17" t="s">
        <v>370</v>
      </c>
      <c r="D8" s="11">
        <v>8595000</v>
      </c>
      <c r="E8" s="11">
        <v>17190000</v>
      </c>
      <c r="F8" s="11">
        <v>4000000</v>
      </c>
      <c r="G8" s="11">
        <v>4250000</v>
      </c>
      <c r="H8" s="11">
        <v>4500000</v>
      </c>
      <c r="I8" s="11">
        <v>5000000</v>
      </c>
    </row>
    <row r="9" spans="1:9" ht="19.5" customHeight="1">
      <c r="A9" s="10">
        <v>8</v>
      </c>
      <c r="B9" s="12" t="s">
        <v>112</v>
      </c>
      <c r="C9" s="14" t="s">
        <v>23</v>
      </c>
      <c r="D9" s="10">
        <v>14563000</v>
      </c>
      <c r="E9" s="10">
        <v>29126000</v>
      </c>
      <c r="F9" s="10">
        <v>40000000</v>
      </c>
      <c r="G9" s="10">
        <v>42500000</v>
      </c>
      <c r="H9" s="10">
        <v>45000000</v>
      </c>
      <c r="I9" s="10">
        <v>50000000</v>
      </c>
    </row>
    <row r="10" spans="1:9" ht="19.5" customHeight="1">
      <c r="A10" s="11">
        <v>9</v>
      </c>
      <c r="B10" s="13" t="s">
        <v>105</v>
      </c>
      <c r="C10" s="17" t="s">
        <v>23</v>
      </c>
      <c r="D10" s="11">
        <v>14563000</v>
      </c>
      <c r="E10" s="11">
        <v>29126000</v>
      </c>
      <c r="F10" s="11">
        <v>24000000</v>
      </c>
      <c r="G10" s="11">
        <v>25500000</v>
      </c>
      <c r="H10" s="11">
        <v>27000000</v>
      </c>
      <c r="I10" s="11">
        <v>30000000</v>
      </c>
    </row>
    <row r="11" spans="1:9" ht="19.5" customHeight="1">
      <c r="A11" s="10">
        <v>10</v>
      </c>
      <c r="B11" s="12" t="s">
        <v>95</v>
      </c>
      <c r="C11" s="14" t="s">
        <v>23</v>
      </c>
      <c r="D11" s="10">
        <v>14563000</v>
      </c>
      <c r="E11" s="10">
        <v>29126000</v>
      </c>
      <c r="F11" s="10">
        <v>24000000</v>
      </c>
      <c r="G11" s="10">
        <v>25500000</v>
      </c>
      <c r="H11" s="10">
        <v>27000000</v>
      </c>
      <c r="I11" s="10">
        <v>30000000</v>
      </c>
    </row>
    <row r="12" spans="1:9" ht="19.5" customHeight="1">
      <c r="A12" s="11">
        <v>11</v>
      </c>
      <c r="B12" s="13" t="s">
        <v>79</v>
      </c>
      <c r="C12" s="17" t="s">
        <v>23</v>
      </c>
      <c r="D12" s="11">
        <v>14563000</v>
      </c>
      <c r="E12" s="11">
        <v>29126000</v>
      </c>
      <c r="F12" s="11">
        <v>32000000</v>
      </c>
      <c r="G12" s="11">
        <v>34000000</v>
      </c>
      <c r="H12" s="11">
        <v>36000000</v>
      </c>
      <c r="I12" s="11">
        <v>40000000</v>
      </c>
    </row>
    <row r="13" spans="1:9" ht="19.5" customHeight="1">
      <c r="A13" s="10">
        <v>12</v>
      </c>
      <c r="B13" s="12" t="s">
        <v>68</v>
      </c>
      <c r="C13" s="14" t="s">
        <v>23</v>
      </c>
      <c r="D13" s="10">
        <v>13398000</v>
      </c>
      <c r="E13" s="10">
        <v>26796000</v>
      </c>
      <c r="F13" s="10">
        <v>24000000</v>
      </c>
      <c r="G13" s="10">
        <v>25500000</v>
      </c>
      <c r="H13" s="10">
        <v>27000000</v>
      </c>
      <c r="I13" s="10">
        <v>30000000</v>
      </c>
    </row>
    <row r="14" spans="1:9" ht="19.5" customHeight="1">
      <c r="A14" s="11">
        <v>13</v>
      </c>
      <c r="B14" s="13" t="s">
        <v>13</v>
      </c>
      <c r="C14" s="17" t="s">
        <v>23</v>
      </c>
      <c r="D14" s="11">
        <v>13398000</v>
      </c>
      <c r="E14" s="11">
        <v>26796000</v>
      </c>
      <c r="F14" s="11">
        <v>24000000</v>
      </c>
      <c r="G14" s="11">
        <v>25500000</v>
      </c>
      <c r="H14" s="11">
        <v>27000000</v>
      </c>
      <c r="I14" s="11">
        <v>30000000</v>
      </c>
    </row>
    <row r="15" spans="1:9" ht="19.5" customHeight="1">
      <c r="A15" s="10">
        <v>14</v>
      </c>
      <c r="B15" s="12" t="s">
        <v>87</v>
      </c>
      <c r="C15" s="14" t="s">
        <v>23</v>
      </c>
      <c r="D15" s="10">
        <v>14563000</v>
      </c>
      <c r="E15" s="10">
        <v>29126000</v>
      </c>
      <c r="F15" s="10">
        <v>32000000</v>
      </c>
      <c r="G15" s="10">
        <v>34000000</v>
      </c>
      <c r="H15" s="10">
        <v>36000000</v>
      </c>
      <c r="I15" s="10">
        <v>40000000</v>
      </c>
    </row>
    <row r="16" spans="1:9" ht="19.5" customHeight="1">
      <c r="A16" s="11">
        <v>15</v>
      </c>
      <c r="B16" s="13" t="s">
        <v>90</v>
      </c>
      <c r="C16" s="17" t="s">
        <v>23</v>
      </c>
      <c r="D16" s="11">
        <v>13398000</v>
      </c>
      <c r="E16" s="11">
        <v>26796000</v>
      </c>
      <c r="F16" s="11">
        <v>24000000</v>
      </c>
      <c r="G16" s="11">
        <v>25500000</v>
      </c>
      <c r="H16" s="11">
        <v>27000000</v>
      </c>
      <c r="I16" s="11">
        <v>30000000</v>
      </c>
    </row>
    <row r="17" spans="1:9" ht="19.5" customHeight="1">
      <c r="A17" s="10">
        <v>16</v>
      </c>
      <c r="B17" s="12" t="s">
        <v>110</v>
      </c>
      <c r="C17" s="14" t="s">
        <v>23</v>
      </c>
      <c r="D17" s="10">
        <v>13398000</v>
      </c>
      <c r="E17" s="10">
        <v>26796000</v>
      </c>
      <c r="F17" s="10">
        <v>40000000</v>
      </c>
      <c r="G17" s="10">
        <v>42500000</v>
      </c>
      <c r="H17" s="10">
        <v>45000000</v>
      </c>
      <c r="I17" s="10">
        <v>50000000</v>
      </c>
    </row>
    <row r="18" spans="1:9" ht="19.5" customHeight="1">
      <c r="A18" s="11">
        <v>17</v>
      </c>
      <c r="B18" s="13" t="s">
        <v>74</v>
      </c>
      <c r="C18" s="17" t="s">
        <v>23</v>
      </c>
      <c r="D18" s="11">
        <v>13398000</v>
      </c>
      <c r="E18" s="11">
        <v>26796000</v>
      </c>
      <c r="F18" s="11">
        <v>32000000</v>
      </c>
      <c r="G18" s="11">
        <v>34000000</v>
      </c>
      <c r="H18" s="11">
        <v>36000000</v>
      </c>
      <c r="I18" s="11">
        <v>40000000</v>
      </c>
    </row>
    <row r="19" spans="1:9" ht="19.5" customHeight="1">
      <c r="A19" s="10">
        <v>18</v>
      </c>
      <c r="B19" s="12" t="s">
        <v>103</v>
      </c>
      <c r="C19" s="14" t="s">
        <v>23</v>
      </c>
      <c r="D19" s="10">
        <v>13398000</v>
      </c>
      <c r="E19" s="10">
        <v>26796000</v>
      </c>
      <c r="F19" s="10">
        <v>24000000</v>
      </c>
      <c r="G19" s="10">
        <v>25500000</v>
      </c>
      <c r="H19" s="10">
        <v>27000000</v>
      </c>
      <c r="I19" s="10">
        <v>30000000</v>
      </c>
    </row>
    <row r="20" spans="1:9" ht="19.5" customHeight="1">
      <c r="A20" s="11">
        <v>19</v>
      </c>
      <c r="B20" s="13" t="s">
        <v>116</v>
      </c>
      <c r="C20" s="17" t="s">
        <v>23</v>
      </c>
      <c r="D20" s="11">
        <v>14708000</v>
      </c>
      <c r="E20" s="11">
        <v>29416000</v>
      </c>
      <c r="F20" s="11">
        <v>12000000</v>
      </c>
      <c r="G20" s="11">
        <v>12750000</v>
      </c>
      <c r="H20" s="11">
        <v>13500000</v>
      </c>
      <c r="I20" s="11">
        <v>15000000</v>
      </c>
    </row>
    <row r="21" spans="1:9" ht="19.5" customHeight="1">
      <c r="A21" s="10">
        <v>20</v>
      </c>
      <c r="B21" s="12" t="s">
        <v>120</v>
      </c>
      <c r="C21" s="14" t="s">
        <v>23</v>
      </c>
      <c r="D21" s="10">
        <v>14708000</v>
      </c>
      <c r="E21" s="10">
        <v>29416000</v>
      </c>
      <c r="F21" s="10">
        <v>12000000</v>
      </c>
      <c r="G21" s="10">
        <v>12750000</v>
      </c>
      <c r="H21" s="10">
        <v>13500000</v>
      </c>
      <c r="I21" s="10">
        <v>15000000</v>
      </c>
    </row>
    <row r="22" spans="1:9" ht="19.5" customHeight="1">
      <c r="A22" s="11">
        <v>21</v>
      </c>
      <c r="B22" s="13" t="s">
        <v>127</v>
      </c>
      <c r="C22" s="17" t="s">
        <v>23</v>
      </c>
      <c r="D22" s="11">
        <v>14708000</v>
      </c>
      <c r="E22" s="11">
        <v>29416000</v>
      </c>
      <c r="F22" s="11">
        <v>12000000</v>
      </c>
      <c r="G22" s="11">
        <v>12750000</v>
      </c>
      <c r="H22" s="11">
        <v>13500000</v>
      </c>
      <c r="I22" s="11">
        <v>15000000</v>
      </c>
    </row>
    <row r="23" spans="1:9" ht="19.5" customHeight="1">
      <c r="A23" s="10">
        <v>22</v>
      </c>
      <c r="B23" s="12" t="s">
        <v>131</v>
      </c>
      <c r="C23" s="14" t="s">
        <v>23</v>
      </c>
      <c r="D23" s="10">
        <v>14708000</v>
      </c>
      <c r="E23" s="10">
        <v>29416000</v>
      </c>
      <c r="F23" s="10">
        <v>12000000</v>
      </c>
      <c r="G23" s="10">
        <v>12750000</v>
      </c>
      <c r="H23" s="10">
        <v>13500000</v>
      </c>
      <c r="I23" s="10">
        <v>15000000</v>
      </c>
    </row>
    <row r="24" spans="1:9" ht="19.5" customHeight="1">
      <c r="A24" s="11">
        <v>23</v>
      </c>
      <c r="B24" s="13" t="s">
        <v>144</v>
      </c>
      <c r="C24" s="17" t="s">
        <v>23</v>
      </c>
      <c r="D24" s="11">
        <v>15348000</v>
      </c>
      <c r="E24" s="11">
        <v>30696000</v>
      </c>
      <c r="F24" s="11">
        <v>12000000</v>
      </c>
      <c r="G24" s="11">
        <v>12750000</v>
      </c>
      <c r="H24" s="11">
        <v>13500000</v>
      </c>
      <c r="I24" s="11">
        <v>15000000</v>
      </c>
    </row>
    <row r="25" spans="1:9" ht="19.5" customHeight="1">
      <c r="A25" s="10">
        <v>24</v>
      </c>
      <c r="B25" s="12" t="s">
        <v>137</v>
      </c>
      <c r="C25" s="14" t="s">
        <v>23</v>
      </c>
      <c r="D25" s="10">
        <v>14708000</v>
      </c>
      <c r="E25" s="10">
        <v>29416000</v>
      </c>
      <c r="F25" s="10">
        <v>12000000</v>
      </c>
      <c r="G25" s="10">
        <v>12750000</v>
      </c>
      <c r="H25" s="10">
        <v>13500000</v>
      </c>
      <c r="I25" s="10">
        <v>15000000</v>
      </c>
    </row>
    <row r="26" spans="1:9" ht="19.5" customHeight="1">
      <c r="A26" s="11">
        <v>25</v>
      </c>
      <c r="B26" s="13" t="s">
        <v>373</v>
      </c>
      <c r="C26" s="17" t="s">
        <v>23</v>
      </c>
      <c r="D26" s="11">
        <v>14708000</v>
      </c>
      <c r="E26" s="11">
        <v>29416000</v>
      </c>
      <c r="F26" s="11">
        <v>12000000</v>
      </c>
      <c r="G26" s="11">
        <v>12750000</v>
      </c>
      <c r="H26" s="11">
        <v>13500000</v>
      </c>
      <c r="I26" s="11">
        <v>15000000</v>
      </c>
    </row>
    <row r="27" spans="1:9" ht="19.5" customHeight="1">
      <c r="A27" s="10">
        <v>26</v>
      </c>
      <c r="B27" s="12" t="s">
        <v>147</v>
      </c>
      <c r="C27" s="14" t="s">
        <v>23</v>
      </c>
      <c r="D27" s="10">
        <v>19964000</v>
      </c>
      <c r="E27" s="10">
        <v>39928000</v>
      </c>
      <c r="F27" s="10">
        <v>116611000</v>
      </c>
      <c r="G27" s="10">
        <v>12750000</v>
      </c>
      <c r="H27" s="10">
        <v>13500000</v>
      </c>
      <c r="I27" s="10">
        <v>15000000</v>
      </c>
    </row>
    <row r="28" spans="1:9" ht="19.5" customHeight="1">
      <c r="A28" s="11">
        <v>27</v>
      </c>
      <c r="B28" s="13" t="s">
        <v>374</v>
      </c>
      <c r="C28" s="17" t="s">
        <v>23</v>
      </c>
      <c r="D28" s="11">
        <v>14708000</v>
      </c>
      <c r="E28" s="11">
        <v>29416000</v>
      </c>
      <c r="F28" s="13"/>
      <c r="G28" s="13"/>
      <c r="H28" s="13"/>
      <c r="I28" s="13"/>
    </row>
    <row r="29" spans="1:9" ht="19.5" customHeight="1">
      <c r="A29" s="10">
        <v>28</v>
      </c>
      <c r="B29" s="12" t="s">
        <v>368</v>
      </c>
      <c r="C29" s="14" t="s">
        <v>23</v>
      </c>
      <c r="D29" s="10">
        <v>14708000</v>
      </c>
      <c r="E29" s="10">
        <v>29416000</v>
      </c>
      <c r="F29" s="12"/>
      <c r="G29" s="12"/>
      <c r="H29" s="12"/>
      <c r="I29" s="12"/>
    </row>
    <row r="30" spans="1:9" ht="19.5" customHeight="1">
      <c r="A30" s="11">
        <v>29</v>
      </c>
      <c r="B30" s="13" t="s">
        <v>375</v>
      </c>
      <c r="C30" s="17" t="s">
        <v>23</v>
      </c>
      <c r="D30" s="11">
        <v>13980000</v>
      </c>
      <c r="E30" s="11">
        <v>27960000</v>
      </c>
      <c r="F30" s="13"/>
      <c r="G30" s="11">
        <v>4250000</v>
      </c>
      <c r="H30" s="11">
        <v>4500000</v>
      </c>
      <c r="I30" s="11">
        <v>5000000</v>
      </c>
    </row>
    <row r="31" spans="1:9" ht="19.5" customHeight="1">
      <c r="A31" s="10">
        <v>30</v>
      </c>
      <c r="B31" s="12" t="s">
        <v>160</v>
      </c>
      <c r="C31" s="14" t="s">
        <v>23</v>
      </c>
      <c r="D31" s="10">
        <v>8595000</v>
      </c>
      <c r="E31" s="10">
        <v>17190000</v>
      </c>
      <c r="F31" s="12"/>
      <c r="G31" s="10">
        <v>4250000</v>
      </c>
      <c r="H31" s="10">
        <v>4500000</v>
      </c>
      <c r="I31" s="10">
        <v>5000000</v>
      </c>
    </row>
    <row r="32" spans="1:9" ht="19.5" customHeight="1">
      <c r="A32" s="11">
        <v>31</v>
      </c>
      <c r="B32" s="13" t="s">
        <v>376</v>
      </c>
      <c r="C32" s="17" t="s">
        <v>23</v>
      </c>
      <c r="D32" s="11">
        <v>8237000</v>
      </c>
      <c r="E32" s="11">
        <v>16474000</v>
      </c>
      <c r="F32" s="13"/>
      <c r="G32" s="11">
        <v>4250000</v>
      </c>
      <c r="H32" s="11">
        <v>4500000</v>
      </c>
      <c r="I32" s="11">
        <v>5000000</v>
      </c>
    </row>
    <row r="33" spans="1:9" ht="19.5" customHeight="1">
      <c r="A33" s="10">
        <v>32</v>
      </c>
      <c r="B33" s="12" t="s">
        <v>190</v>
      </c>
      <c r="C33" s="14" t="s">
        <v>23</v>
      </c>
      <c r="D33" s="10">
        <v>8595000</v>
      </c>
      <c r="E33" s="10">
        <v>17190000</v>
      </c>
      <c r="F33" s="12"/>
      <c r="G33" s="10">
        <v>4250000</v>
      </c>
      <c r="H33" s="10">
        <v>4500000</v>
      </c>
      <c r="I33" s="10">
        <v>5000000</v>
      </c>
    </row>
    <row r="34" spans="1:9" ht="19.5" customHeight="1">
      <c r="A34" s="11">
        <v>33</v>
      </c>
      <c r="B34" s="13" t="s">
        <v>297</v>
      </c>
      <c r="C34" s="17" t="s">
        <v>23</v>
      </c>
      <c r="D34" s="11">
        <v>13398000</v>
      </c>
      <c r="E34" s="11">
        <v>26796000</v>
      </c>
      <c r="F34" s="13"/>
      <c r="G34" s="11">
        <v>4250000</v>
      </c>
      <c r="H34" s="11">
        <v>4500000</v>
      </c>
      <c r="I34" s="11">
        <v>5000000</v>
      </c>
    </row>
    <row r="35" spans="1:9" ht="19.5" customHeight="1">
      <c r="A35" s="10">
        <v>34</v>
      </c>
      <c r="B35" s="12" t="s">
        <v>377</v>
      </c>
      <c r="C35" s="14" t="s">
        <v>23</v>
      </c>
      <c r="D35" s="10">
        <v>13980000</v>
      </c>
      <c r="E35" s="10">
        <v>27960000</v>
      </c>
      <c r="F35" s="12"/>
      <c r="G35" s="10">
        <v>4250000</v>
      </c>
      <c r="H35" s="10">
        <v>4500000</v>
      </c>
      <c r="I35" s="10">
        <v>5000000</v>
      </c>
    </row>
    <row r="36" spans="1:9" ht="19.5" customHeight="1">
      <c r="A36" s="11">
        <v>35</v>
      </c>
      <c r="B36" s="13" t="s">
        <v>153</v>
      </c>
      <c r="C36" s="17" t="s">
        <v>23</v>
      </c>
      <c r="D36" s="11">
        <v>8237000</v>
      </c>
      <c r="E36" s="11">
        <v>16474000</v>
      </c>
      <c r="F36" s="13"/>
      <c r="G36" s="11">
        <v>4250000</v>
      </c>
      <c r="H36" s="11">
        <v>4500000</v>
      </c>
      <c r="I36" s="11">
        <v>5000000</v>
      </c>
    </row>
    <row r="37" spans="1:9" ht="19.5" customHeight="1">
      <c r="A37" s="10">
        <v>36</v>
      </c>
      <c r="B37" s="12" t="s">
        <v>293</v>
      </c>
      <c r="C37" s="14" t="s">
        <v>23</v>
      </c>
      <c r="D37" s="10">
        <v>8595000</v>
      </c>
      <c r="E37" s="10">
        <v>17190000</v>
      </c>
      <c r="F37" s="12"/>
      <c r="G37" s="10">
        <v>4250000</v>
      </c>
      <c r="H37" s="10">
        <v>4500000</v>
      </c>
      <c r="I37" s="10">
        <v>5000000</v>
      </c>
    </row>
    <row r="38" spans="1:9" ht="19.5" customHeight="1">
      <c r="A38" s="11">
        <v>37</v>
      </c>
      <c r="B38" s="13" t="s">
        <v>345</v>
      </c>
      <c r="C38" s="17" t="s">
        <v>23</v>
      </c>
      <c r="D38" s="11">
        <v>8595000</v>
      </c>
      <c r="E38" s="11">
        <v>17190000</v>
      </c>
      <c r="F38" s="13"/>
      <c r="G38" s="11">
        <v>4250000</v>
      </c>
      <c r="H38" s="11">
        <v>4500000</v>
      </c>
      <c r="I38" s="11">
        <v>5000000</v>
      </c>
    </row>
    <row r="39" spans="1:9" ht="19.5" customHeight="1">
      <c r="A39" s="10">
        <v>38</v>
      </c>
      <c r="B39" s="12" t="s">
        <v>164</v>
      </c>
      <c r="C39" s="14" t="s">
        <v>23</v>
      </c>
      <c r="D39" s="10">
        <v>13980000</v>
      </c>
      <c r="E39" s="10">
        <v>27960000</v>
      </c>
      <c r="F39" s="12"/>
      <c r="G39" s="10">
        <v>4250000</v>
      </c>
      <c r="H39" s="10">
        <v>4500000</v>
      </c>
      <c r="I39" s="10">
        <v>5000000</v>
      </c>
    </row>
    <row r="40" spans="1:9" ht="19.5" customHeight="1">
      <c r="A40" s="11">
        <v>39</v>
      </c>
      <c r="B40" s="13" t="s">
        <v>182</v>
      </c>
      <c r="C40" s="17" t="s">
        <v>23</v>
      </c>
      <c r="D40" s="11">
        <v>13980000</v>
      </c>
      <c r="E40" s="11">
        <v>27960000</v>
      </c>
      <c r="F40" s="13"/>
      <c r="G40" s="11">
        <v>4250000</v>
      </c>
      <c r="H40" s="11">
        <v>4500000</v>
      </c>
      <c r="I40" s="11">
        <v>5000000</v>
      </c>
    </row>
    <row r="41" spans="1:9" ht="19.5" customHeight="1">
      <c r="A41" s="10">
        <v>40</v>
      </c>
      <c r="B41" s="12" t="s">
        <v>155</v>
      </c>
      <c r="C41" s="14" t="s">
        <v>23</v>
      </c>
      <c r="D41" s="10">
        <v>13980000</v>
      </c>
      <c r="E41" s="10">
        <v>27960000</v>
      </c>
      <c r="F41" s="12"/>
      <c r="G41" s="10">
        <v>4250000</v>
      </c>
      <c r="H41" s="10">
        <v>4500000</v>
      </c>
      <c r="I41" s="10">
        <v>5000000</v>
      </c>
    </row>
    <row r="42" spans="1:9" ht="19.5" customHeight="1">
      <c r="A42" s="11">
        <v>41</v>
      </c>
      <c r="B42" s="13" t="s">
        <v>178</v>
      </c>
      <c r="C42" s="17" t="s">
        <v>23</v>
      </c>
      <c r="D42" s="11">
        <v>13980000</v>
      </c>
      <c r="E42" s="11">
        <v>27960000</v>
      </c>
      <c r="F42" s="13"/>
      <c r="G42" s="11">
        <v>4250000</v>
      </c>
      <c r="H42" s="11">
        <v>4500000</v>
      </c>
      <c r="I42" s="11">
        <v>5000000</v>
      </c>
    </row>
    <row r="43" spans="1:9" ht="19.5" customHeight="1">
      <c r="A43" s="10">
        <v>42</v>
      </c>
      <c r="B43" s="12" t="s">
        <v>185</v>
      </c>
      <c r="C43" s="14" t="s">
        <v>23</v>
      </c>
      <c r="D43" s="10">
        <v>13398000</v>
      </c>
      <c r="E43" s="10">
        <v>26796000</v>
      </c>
      <c r="F43" s="12"/>
      <c r="G43" s="10">
        <v>4250000</v>
      </c>
      <c r="H43" s="10">
        <v>4500000</v>
      </c>
      <c r="I43" s="10">
        <v>5000000</v>
      </c>
    </row>
    <row r="44" spans="1:9" ht="19.5" customHeight="1">
      <c r="A44" s="11">
        <v>43</v>
      </c>
      <c r="B44" s="13" t="s">
        <v>166</v>
      </c>
      <c r="C44" s="17" t="s">
        <v>23</v>
      </c>
      <c r="D44" s="11">
        <v>8595000</v>
      </c>
      <c r="E44" s="11">
        <v>17190000</v>
      </c>
      <c r="F44" s="13"/>
      <c r="G44" s="11">
        <v>4250000</v>
      </c>
      <c r="H44" s="11">
        <v>4500000</v>
      </c>
      <c r="I44" s="11">
        <v>5000000</v>
      </c>
    </row>
    <row r="45" spans="1:9" ht="19.5" customHeight="1">
      <c r="A45" s="10">
        <v>44</v>
      </c>
      <c r="B45" s="12" t="s">
        <v>151</v>
      </c>
      <c r="C45" s="14" t="s">
        <v>23</v>
      </c>
      <c r="D45" s="10">
        <v>8237000</v>
      </c>
      <c r="E45" s="10">
        <v>16474000</v>
      </c>
      <c r="F45" s="12"/>
      <c r="G45" s="10">
        <v>4250000</v>
      </c>
      <c r="H45" s="10">
        <v>4500000</v>
      </c>
      <c r="I45" s="10">
        <v>5000000</v>
      </c>
    </row>
    <row r="46" spans="1:9" ht="19.5" customHeight="1">
      <c r="A46" s="11">
        <v>45</v>
      </c>
      <c r="B46" s="13" t="s">
        <v>386</v>
      </c>
      <c r="C46" s="17" t="s">
        <v>23</v>
      </c>
      <c r="D46" s="11">
        <v>13398000</v>
      </c>
      <c r="E46" s="11">
        <v>26796000</v>
      </c>
      <c r="F46" s="13"/>
      <c r="G46" s="13"/>
      <c r="H46" s="13"/>
      <c r="I46" s="13"/>
    </row>
    <row r="47" spans="1:9" ht="19.5" customHeight="1">
      <c r="A47" s="10">
        <v>46</v>
      </c>
      <c r="B47" s="12" t="s">
        <v>194</v>
      </c>
      <c r="C47" s="14" t="s">
        <v>23</v>
      </c>
      <c r="D47" s="10">
        <v>38308500</v>
      </c>
      <c r="E47" s="10">
        <v>76617000</v>
      </c>
      <c r="F47" s="10">
        <v>76617000</v>
      </c>
      <c r="G47" s="10">
        <v>153234000</v>
      </c>
      <c r="H47" s="10">
        <v>229851000</v>
      </c>
      <c r="I47" s="10">
        <v>250000000</v>
      </c>
    </row>
    <row r="48" spans="1:9" ht="19.5" customHeight="1">
      <c r="A48" s="11">
        <v>47</v>
      </c>
      <c r="B48" s="13" t="s">
        <v>195</v>
      </c>
      <c r="C48" s="17" t="s">
        <v>23</v>
      </c>
      <c r="D48" s="11">
        <v>14708000</v>
      </c>
      <c r="E48" s="11">
        <v>29416000</v>
      </c>
      <c r="F48" s="11">
        <v>14708000</v>
      </c>
      <c r="G48" s="11">
        <v>29416000</v>
      </c>
      <c r="H48" s="11">
        <v>30000000</v>
      </c>
      <c r="I48" s="11">
        <v>30000000</v>
      </c>
    </row>
    <row r="49" spans="1:9" ht="19.5" customHeight="1">
      <c r="A49" s="10">
        <v>48</v>
      </c>
      <c r="B49" s="12" t="s">
        <v>206</v>
      </c>
      <c r="C49" s="14" t="s">
        <v>23</v>
      </c>
      <c r="D49" s="10">
        <v>13980000</v>
      </c>
      <c r="E49" s="10">
        <v>27960000</v>
      </c>
      <c r="F49" s="10">
        <v>4000000</v>
      </c>
      <c r="G49" s="10">
        <v>4250000</v>
      </c>
      <c r="H49" s="10">
        <v>4500000</v>
      </c>
      <c r="I49" s="10">
        <v>5000000</v>
      </c>
    </row>
    <row r="50" spans="1:9" ht="19.5" customHeight="1">
      <c r="A50" s="11">
        <v>49</v>
      </c>
      <c r="B50" s="13" t="s">
        <v>203</v>
      </c>
      <c r="C50" s="17" t="s">
        <v>23</v>
      </c>
      <c r="D50" s="11">
        <v>13980000</v>
      </c>
      <c r="E50" s="11">
        <v>27960000</v>
      </c>
      <c r="F50" s="11">
        <v>4000000</v>
      </c>
      <c r="G50" s="11">
        <v>4250000</v>
      </c>
      <c r="H50" s="11">
        <v>4500000</v>
      </c>
      <c r="I50" s="11">
        <v>5000000</v>
      </c>
    </row>
    <row r="51" spans="1:9" ht="19.5" customHeight="1">
      <c r="A51" s="10">
        <v>50</v>
      </c>
      <c r="B51" s="12" t="s">
        <v>204</v>
      </c>
      <c r="C51" s="14" t="s">
        <v>23</v>
      </c>
      <c r="D51" s="10">
        <v>13980000</v>
      </c>
      <c r="E51" s="10">
        <v>27960000</v>
      </c>
      <c r="F51" s="10">
        <v>4000000</v>
      </c>
      <c r="G51" s="10">
        <v>4250000</v>
      </c>
      <c r="H51" s="10">
        <v>4500000</v>
      </c>
      <c r="I51" s="10">
        <v>5000000</v>
      </c>
    </row>
    <row r="52" spans="1:9" ht="19.5" customHeight="1">
      <c r="A52" s="11">
        <v>51</v>
      </c>
      <c r="B52" s="13" t="s">
        <v>28</v>
      </c>
      <c r="C52" s="17" t="s">
        <v>23</v>
      </c>
      <c r="D52" s="11">
        <v>13980000</v>
      </c>
      <c r="E52" s="11">
        <v>27960000</v>
      </c>
      <c r="F52" s="11">
        <v>4000000</v>
      </c>
      <c r="G52" s="11">
        <v>4250000</v>
      </c>
      <c r="H52" s="11">
        <v>4500000</v>
      </c>
      <c r="I52" s="11">
        <v>5000000</v>
      </c>
    </row>
    <row r="53" spans="1:9" ht="19.5" customHeight="1">
      <c r="A53" s="10">
        <v>52</v>
      </c>
      <c r="B53" s="12" t="s">
        <v>209</v>
      </c>
      <c r="C53" s="14" t="s">
        <v>23</v>
      </c>
      <c r="D53" s="10">
        <v>13980000</v>
      </c>
      <c r="E53" s="10">
        <v>27960000</v>
      </c>
      <c r="F53" s="10">
        <v>20000000</v>
      </c>
      <c r="G53" s="10">
        <v>21250000</v>
      </c>
      <c r="H53" s="10">
        <v>22500000</v>
      </c>
      <c r="I53" s="10">
        <v>25000000</v>
      </c>
    </row>
    <row r="54" spans="1:9" ht="19.5" customHeight="1">
      <c r="A54" s="11">
        <v>53</v>
      </c>
      <c r="B54" s="13" t="s">
        <v>208</v>
      </c>
      <c r="C54" s="17" t="s">
        <v>23</v>
      </c>
      <c r="D54" s="11">
        <v>13398000</v>
      </c>
      <c r="E54" s="11">
        <v>26796000</v>
      </c>
      <c r="F54" s="11">
        <v>8000000</v>
      </c>
      <c r="G54" s="11">
        <v>8500000</v>
      </c>
      <c r="H54" s="11">
        <v>9000000</v>
      </c>
      <c r="I54" s="11">
        <v>10000000</v>
      </c>
    </row>
    <row r="55" spans="1:9" ht="19.5" customHeight="1">
      <c r="A55" s="10">
        <v>54</v>
      </c>
      <c r="B55" s="12" t="s">
        <v>202</v>
      </c>
      <c r="C55" s="14" t="s">
        <v>23</v>
      </c>
      <c r="D55" s="10">
        <v>17412000</v>
      </c>
      <c r="E55" s="10">
        <v>34824000</v>
      </c>
      <c r="F55" s="10">
        <v>24000000</v>
      </c>
      <c r="G55" s="10">
        <v>25500000</v>
      </c>
      <c r="H55" s="10">
        <v>27000000</v>
      </c>
      <c r="I55" s="10">
        <v>30000000</v>
      </c>
    </row>
    <row r="56" spans="1:9" ht="19.5" customHeight="1">
      <c r="A56" s="11">
        <v>55</v>
      </c>
      <c r="B56" s="13" t="s">
        <v>218</v>
      </c>
      <c r="C56" s="17" t="s">
        <v>23</v>
      </c>
      <c r="D56" s="11">
        <v>8237000</v>
      </c>
      <c r="E56" s="11">
        <v>16474000</v>
      </c>
      <c r="F56" s="11">
        <v>4000000</v>
      </c>
      <c r="G56" s="11">
        <v>4250000</v>
      </c>
      <c r="H56" s="11">
        <v>4500000</v>
      </c>
      <c r="I56" s="11">
        <v>5000000</v>
      </c>
    </row>
    <row r="57" spans="1:9" ht="19.5" customHeight="1">
      <c r="A57" s="10">
        <v>56</v>
      </c>
      <c r="B57" s="12" t="s">
        <v>211</v>
      </c>
      <c r="C57" s="14" t="s">
        <v>23</v>
      </c>
      <c r="D57" s="10">
        <v>9050000</v>
      </c>
      <c r="E57" s="10">
        <v>18100000</v>
      </c>
      <c r="F57" s="10">
        <v>4000000</v>
      </c>
      <c r="G57" s="10">
        <v>4250000</v>
      </c>
      <c r="H57" s="10">
        <v>4500000</v>
      </c>
      <c r="I57" s="10">
        <v>5000000</v>
      </c>
    </row>
    <row r="58" spans="1:9" ht="19.5" customHeight="1">
      <c r="A58" s="11">
        <v>57</v>
      </c>
      <c r="B58" s="13" t="s">
        <v>214</v>
      </c>
      <c r="C58" s="17" t="s">
        <v>23</v>
      </c>
      <c r="D58" s="11">
        <v>8237000</v>
      </c>
      <c r="E58" s="11">
        <v>16474000</v>
      </c>
      <c r="F58" s="11">
        <v>4000000</v>
      </c>
      <c r="G58" s="11">
        <v>4250000</v>
      </c>
      <c r="H58" s="11">
        <v>4500000</v>
      </c>
      <c r="I58" s="11">
        <v>5000000</v>
      </c>
    </row>
    <row r="59" spans="1:9" ht="19.5" customHeight="1">
      <c r="A59" s="10">
        <v>58</v>
      </c>
      <c r="B59" s="12" t="s">
        <v>212</v>
      </c>
      <c r="C59" s="14" t="s">
        <v>23</v>
      </c>
      <c r="D59" s="10">
        <v>8237000</v>
      </c>
      <c r="E59" s="10">
        <v>16474000</v>
      </c>
      <c r="F59" s="10">
        <v>4000000</v>
      </c>
      <c r="G59" s="10">
        <v>4250000</v>
      </c>
      <c r="H59" s="10">
        <v>4500000</v>
      </c>
      <c r="I59" s="10">
        <v>5000000</v>
      </c>
    </row>
    <row r="60" spans="1:9" ht="19.5" customHeight="1">
      <c r="A60" s="11">
        <v>59</v>
      </c>
      <c r="B60" s="13" t="s">
        <v>311</v>
      </c>
      <c r="C60" s="17" t="s">
        <v>23</v>
      </c>
      <c r="D60" s="11">
        <v>15348000</v>
      </c>
      <c r="E60" s="11">
        <v>30696000</v>
      </c>
      <c r="F60" s="11">
        <v>15348000</v>
      </c>
      <c r="G60" s="11">
        <v>30696000</v>
      </c>
      <c r="H60" s="11">
        <v>40000000</v>
      </c>
      <c r="I60" s="11">
        <v>40000000</v>
      </c>
    </row>
    <row r="61" spans="1:9" ht="19.5" customHeight="1">
      <c r="A61" s="10">
        <v>60</v>
      </c>
      <c r="B61" s="12" t="s">
        <v>233</v>
      </c>
      <c r="C61" s="14" t="s">
        <v>23</v>
      </c>
      <c r="D61" s="10">
        <v>38309000</v>
      </c>
      <c r="E61" s="10">
        <v>76618000</v>
      </c>
      <c r="F61" s="10">
        <v>76618000</v>
      </c>
      <c r="G61" s="10">
        <v>153236000</v>
      </c>
      <c r="H61" s="10">
        <v>229854000</v>
      </c>
      <c r="I61" s="10">
        <v>250000000</v>
      </c>
    </row>
    <row r="62" spans="1:9" ht="19.5" customHeight="1">
      <c r="A62" s="11">
        <v>61</v>
      </c>
      <c r="B62" s="13" t="s">
        <v>226</v>
      </c>
      <c r="C62" s="17" t="s">
        <v>23</v>
      </c>
      <c r="D62" s="11">
        <v>13398000</v>
      </c>
      <c r="E62" s="11">
        <v>26796000</v>
      </c>
      <c r="F62" s="11">
        <v>4800000</v>
      </c>
      <c r="G62" s="11">
        <v>5100000</v>
      </c>
      <c r="H62" s="11">
        <v>5400000</v>
      </c>
      <c r="I62" s="11">
        <v>6000000</v>
      </c>
    </row>
    <row r="63" spans="1:9" ht="19.5" customHeight="1">
      <c r="A63" s="10">
        <v>62</v>
      </c>
      <c r="B63" s="12" t="s">
        <v>308</v>
      </c>
      <c r="C63" s="14" t="s">
        <v>23</v>
      </c>
      <c r="D63" s="10">
        <v>13398000</v>
      </c>
      <c r="E63" s="10">
        <v>26796000</v>
      </c>
      <c r="F63" s="10">
        <v>4800000</v>
      </c>
      <c r="G63" s="10">
        <v>5100000</v>
      </c>
      <c r="H63" s="10">
        <v>5400000</v>
      </c>
      <c r="I63" s="10">
        <v>6000000</v>
      </c>
    </row>
    <row r="64" spans="1:9" ht="19.5" customHeight="1">
      <c r="A64" s="11">
        <v>63</v>
      </c>
      <c r="B64" s="13" t="s">
        <v>230</v>
      </c>
      <c r="C64" s="17" t="s">
        <v>23</v>
      </c>
      <c r="D64" s="11">
        <v>13398000</v>
      </c>
      <c r="E64" s="11">
        <v>26796000</v>
      </c>
      <c r="F64" s="11">
        <v>4800000</v>
      </c>
      <c r="G64" s="11">
        <v>5100000</v>
      </c>
      <c r="H64" s="11">
        <v>5400000</v>
      </c>
      <c r="I64" s="11">
        <v>6000000</v>
      </c>
    </row>
    <row r="65" spans="1:9" ht="19.5" customHeight="1">
      <c r="A65" s="10">
        <v>64</v>
      </c>
      <c r="B65" s="12" t="s">
        <v>281</v>
      </c>
      <c r="C65" s="14" t="s">
        <v>282</v>
      </c>
      <c r="D65" s="10">
        <v>15125000</v>
      </c>
      <c r="E65" s="10">
        <v>30250000</v>
      </c>
      <c r="F65" s="10">
        <v>12000000</v>
      </c>
      <c r="G65" s="10">
        <v>12750000</v>
      </c>
      <c r="H65" s="10">
        <v>13500000</v>
      </c>
      <c r="I65" s="10">
        <v>15000000</v>
      </c>
    </row>
    <row r="66" spans="1:9" ht="19.5" customHeight="1">
      <c r="A66" s="11">
        <v>65</v>
      </c>
      <c r="B66" s="13" t="s">
        <v>250</v>
      </c>
      <c r="C66" s="17" t="s">
        <v>240</v>
      </c>
      <c r="D66" s="11">
        <v>14888000</v>
      </c>
      <c r="E66" s="11">
        <v>29776000</v>
      </c>
      <c r="F66" s="13"/>
      <c r="G66" s="13"/>
      <c r="H66" s="13"/>
      <c r="I66" s="13"/>
    </row>
    <row r="67" spans="1:9" ht="19.5" customHeight="1">
      <c r="A67" s="10">
        <v>66</v>
      </c>
      <c r="B67" s="12" t="s">
        <v>255</v>
      </c>
      <c r="C67" s="14" t="s">
        <v>240</v>
      </c>
      <c r="D67" s="10">
        <v>14888000</v>
      </c>
      <c r="E67" s="10">
        <v>29776000</v>
      </c>
      <c r="F67" s="12"/>
      <c r="G67" s="12"/>
      <c r="H67" s="12"/>
      <c r="I67" s="12"/>
    </row>
    <row r="68" spans="1:9" ht="19.5" customHeight="1">
      <c r="A68" s="11">
        <v>67</v>
      </c>
      <c r="B68" s="13" t="s">
        <v>254</v>
      </c>
      <c r="C68" s="17" t="s">
        <v>240</v>
      </c>
      <c r="D68" s="11">
        <v>15536000</v>
      </c>
      <c r="E68" s="11">
        <v>31072000</v>
      </c>
      <c r="F68" s="13"/>
      <c r="G68" s="13"/>
      <c r="H68" s="13"/>
      <c r="I68" s="13"/>
    </row>
    <row r="69" spans="1:9" ht="19.5" customHeight="1">
      <c r="A69" s="10">
        <v>68</v>
      </c>
      <c r="B69" s="12" t="s">
        <v>22</v>
      </c>
      <c r="C69" s="14" t="s">
        <v>240</v>
      </c>
      <c r="D69" s="10">
        <v>14888000</v>
      </c>
      <c r="E69" s="10">
        <v>29776000</v>
      </c>
      <c r="F69" s="12"/>
      <c r="G69" s="12"/>
      <c r="H69" s="12"/>
      <c r="I69" s="12"/>
    </row>
    <row r="70" spans="1:9" ht="19.5" customHeight="1">
      <c r="A70" s="11">
        <v>69</v>
      </c>
      <c r="B70" s="13" t="s">
        <v>264</v>
      </c>
      <c r="C70" s="17" t="s">
        <v>240</v>
      </c>
      <c r="D70" s="11">
        <v>23767000</v>
      </c>
      <c r="E70" s="11">
        <v>47534000</v>
      </c>
      <c r="F70" s="13"/>
      <c r="G70" s="13"/>
      <c r="H70" s="13"/>
      <c r="I70" s="13"/>
    </row>
    <row r="71" spans="1:9" ht="19.5" customHeight="1">
      <c r="A71" s="10">
        <v>70</v>
      </c>
      <c r="B71" s="12" t="s">
        <v>112</v>
      </c>
      <c r="C71" s="14" t="s">
        <v>240</v>
      </c>
      <c r="D71" s="10">
        <v>26218000</v>
      </c>
      <c r="E71" s="10">
        <v>52436000</v>
      </c>
      <c r="F71" s="12"/>
      <c r="G71" s="12"/>
      <c r="H71" s="12"/>
      <c r="I71" s="12"/>
    </row>
    <row r="72" spans="1:9" ht="19.5" customHeight="1">
      <c r="A72" s="11">
        <v>71</v>
      </c>
      <c r="B72" s="13" t="s">
        <v>105</v>
      </c>
      <c r="C72" s="17" t="s">
        <v>240</v>
      </c>
      <c r="D72" s="11">
        <v>26218000</v>
      </c>
      <c r="E72" s="11">
        <v>52436000</v>
      </c>
      <c r="F72" s="13"/>
      <c r="G72" s="13"/>
      <c r="H72" s="13"/>
      <c r="I72" s="13"/>
    </row>
    <row r="73" spans="1:9" ht="19.5" customHeight="1">
      <c r="A73" s="10">
        <v>72</v>
      </c>
      <c r="B73" s="12" t="s">
        <v>260</v>
      </c>
      <c r="C73" s="14" t="s">
        <v>240</v>
      </c>
      <c r="D73" s="10">
        <v>26218000</v>
      </c>
      <c r="E73" s="10">
        <v>52436000</v>
      </c>
      <c r="F73" s="12"/>
      <c r="G73" s="12"/>
      <c r="H73" s="12"/>
      <c r="I73" s="12"/>
    </row>
    <row r="74" spans="1:9" ht="19.5" customHeight="1">
      <c r="A74" s="11">
        <v>73</v>
      </c>
      <c r="B74" s="13" t="s">
        <v>257</v>
      </c>
      <c r="C74" s="17" t="s">
        <v>240</v>
      </c>
      <c r="D74" s="11">
        <v>14888000</v>
      </c>
      <c r="E74" s="11">
        <v>29776000</v>
      </c>
      <c r="F74" s="13"/>
      <c r="G74" s="13"/>
      <c r="H74" s="13"/>
      <c r="I74" s="13"/>
    </row>
    <row r="75" spans="1:9" ht="19.5" customHeight="1">
      <c r="A75" s="10">
        <v>74</v>
      </c>
      <c r="B75" s="12" t="s">
        <v>391</v>
      </c>
      <c r="C75" s="14" t="s">
        <v>240</v>
      </c>
      <c r="D75" s="10">
        <v>23230000</v>
      </c>
      <c r="E75" s="10">
        <v>46460000</v>
      </c>
      <c r="F75" s="12"/>
      <c r="G75" s="12"/>
      <c r="H75" s="12"/>
      <c r="I75" s="12"/>
    </row>
    <row r="76" spans="1:9" ht="19.5" customHeight="1">
      <c r="A76" s="11">
        <v>75</v>
      </c>
      <c r="B76" s="13" t="s">
        <v>262</v>
      </c>
      <c r="C76" s="17" t="s">
        <v>240</v>
      </c>
      <c r="D76" s="11">
        <v>23230000</v>
      </c>
      <c r="E76" s="11">
        <v>46460000</v>
      </c>
      <c r="F76" s="13"/>
      <c r="G76" s="13"/>
      <c r="H76" s="13"/>
      <c r="I76" s="13"/>
    </row>
    <row r="77" spans="1:9" ht="15.75" customHeight="1"/>
    <row r="78" spans="1:9" ht="15.75" customHeight="1"/>
    <row r="79" spans="1:9" ht="15.75" customHeight="1"/>
    <row r="80" spans="1:9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1000"/>
  <sheetViews>
    <sheetView workbookViewId="0"/>
  </sheetViews>
  <sheetFormatPr baseColWidth="10" defaultColWidth="12.6640625" defaultRowHeight="15" customHeight="1"/>
  <cols>
    <col min="1" max="1" width="10.5" customWidth="1"/>
    <col min="2" max="2" width="38.5" customWidth="1"/>
    <col min="3" max="3" width="10.5" customWidth="1"/>
    <col min="4" max="11" width="19.1640625" customWidth="1"/>
    <col min="12" max="22" width="7.6640625" customWidth="1"/>
  </cols>
  <sheetData>
    <row r="1" spans="1:11" ht="27.75" customHeight="1">
      <c r="A1" s="67" t="s">
        <v>0</v>
      </c>
      <c r="B1" s="67" t="s">
        <v>3</v>
      </c>
      <c r="C1" s="67" t="s">
        <v>4</v>
      </c>
      <c r="D1" s="67" t="s">
        <v>378</v>
      </c>
      <c r="E1" s="67" t="s">
        <v>379</v>
      </c>
      <c r="F1" s="67" t="s">
        <v>380</v>
      </c>
      <c r="G1" s="67" t="s">
        <v>381</v>
      </c>
      <c r="H1" s="67" t="s">
        <v>382</v>
      </c>
      <c r="I1" s="67" t="s">
        <v>383</v>
      </c>
      <c r="J1" s="67" t="s">
        <v>384</v>
      </c>
      <c r="K1" s="67" t="s">
        <v>385</v>
      </c>
    </row>
    <row r="2" spans="1:11" ht="19.5" customHeight="1">
      <c r="A2" s="11">
        <v>1</v>
      </c>
      <c r="B2" s="13" t="s">
        <v>116</v>
      </c>
      <c r="C2" s="17" t="s">
        <v>23</v>
      </c>
      <c r="D2" s="11">
        <v>500000</v>
      </c>
      <c r="E2" s="11">
        <v>1000000</v>
      </c>
      <c r="F2" s="11">
        <v>3940000</v>
      </c>
      <c r="G2" s="11">
        <v>4728000</v>
      </c>
      <c r="H2" s="11">
        <v>5674000</v>
      </c>
      <c r="I2" s="11">
        <v>6808000</v>
      </c>
      <c r="J2" s="11">
        <v>8170000</v>
      </c>
      <c r="K2" s="11">
        <v>9804000</v>
      </c>
    </row>
    <row r="3" spans="1:11" ht="19.5" customHeight="1">
      <c r="A3" s="10">
        <v>2</v>
      </c>
      <c r="B3" s="12" t="s">
        <v>120</v>
      </c>
      <c r="C3" s="14" t="s">
        <v>23</v>
      </c>
      <c r="D3" s="10">
        <v>500000</v>
      </c>
      <c r="E3" s="10">
        <v>1000000</v>
      </c>
      <c r="F3" s="10">
        <v>3940000</v>
      </c>
      <c r="G3" s="10">
        <v>4728000</v>
      </c>
      <c r="H3" s="10">
        <v>5674000</v>
      </c>
      <c r="I3" s="10">
        <v>6808000</v>
      </c>
      <c r="J3" s="10">
        <v>8170000</v>
      </c>
      <c r="K3" s="10">
        <v>9804000</v>
      </c>
    </row>
    <row r="4" spans="1:11" ht="19.5" customHeight="1">
      <c r="A4" s="11">
        <v>3</v>
      </c>
      <c r="B4" s="13" t="s">
        <v>22</v>
      </c>
      <c r="C4" s="17" t="s">
        <v>23</v>
      </c>
      <c r="D4" s="11">
        <v>500000</v>
      </c>
      <c r="E4" s="11">
        <v>1000000</v>
      </c>
      <c r="F4" s="11">
        <v>2980000</v>
      </c>
      <c r="G4" s="11">
        <v>3576000</v>
      </c>
      <c r="H4" s="11">
        <v>4291000</v>
      </c>
      <c r="I4" s="11">
        <v>5149000</v>
      </c>
      <c r="J4" s="11">
        <v>6179000</v>
      </c>
      <c r="K4" s="11">
        <v>7415000</v>
      </c>
    </row>
    <row r="5" spans="1:11" ht="19.5" customHeight="1">
      <c r="A5" s="10">
        <v>4</v>
      </c>
      <c r="B5" s="12" t="s">
        <v>68</v>
      </c>
      <c r="C5" s="14" t="s">
        <v>23</v>
      </c>
      <c r="D5" s="10">
        <v>500000</v>
      </c>
      <c r="E5" s="10">
        <v>1000000</v>
      </c>
      <c r="F5" s="10">
        <v>4440000</v>
      </c>
      <c r="G5" s="10">
        <v>5328000</v>
      </c>
      <c r="H5" s="10">
        <v>6394000</v>
      </c>
      <c r="I5" s="10">
        <v>7672000</v>
      </c>
      <c r="J5" s="10">
        <v>9207000</v>
      </c>
      <c r="K5" s="10">
        <v>11048000</v>
      </c>
    </row>
    <row r="6" spans="1:11" ht="19.5" customHeight="1">
      <c r="A6" s="11">
        <v>5</v>
      </c>
      <c r="B6" s="13" t="s">
        <v>151</v>
      </c>
      <c r="C6" s="17" t="s">
        <v>23</v>
      </c>
      <c r="D6" s="11">
        <v>500000</v>
      </c>
      <c r="E6" s="11">
        <v>1000000</v>
      </c>
      <c r="F6" s="11">
        <v>2660000</v>
      </c>
      <c r="G6" s="11">
        <v>3192000</v>
      </c>
      <c r="H6" s="11">
        <v>3830000</v>
      </c>
      <c r="I6" s="11">
        <v>4596000</v>
      </c>
      <c r="J6" s="11">
        <v>5516000</v>
      </c>
      <c r="K6" s="11">
        <v>6619000</v>
      </c>
    </row>
    <row r="7" spans="1:11" ht="19.5" customHeight="1">
      <c r="A7" s="10">
        <v>6</v>
      </c>
      <c r="B7" s="12" t="s">
        <v>28</v>
      </c>
      <c r="C7" s="14" t="s">
        <v>23</v>
      </c>
      <c r="D7" s="10">
        <v>500000</v>
      </c>
      <c r="E7" s="10">
        <v>1000000</v>
      </c>
      <c r="F7" s="10">
        <v>4430000</v>
      </c>
      <c r="G7" s="10">
        <v>5316000</v>
      </c>
      <c r="H7" s="10">
        <v>6379000</v>
      </c>
      <c r="I7" s="10">
        <v>7655000</v>
      </c>
      <c r="J7" s="10">
        <v>9186000</v>
      </c>
      <c r="K7" s="10">
        <v>11023000</v>
      </c>
    </row>
    <row r="8" spans="1:11" ht="19.5" customHeight="1">
      <c r="A8" s="11">
        <v>7</v>
      </c>
      <c r="B8" s="13" t="s">
        <v>308</v>
      </c>
      <c r="C8" s="17" t="s">
        <v>23</v>
      </c>
      <c r="D8" s="11">
        <v>500000</v>
      </c>
      <c r="E8" s="11">
        <v>1000000</v>
      </c>
      <c r="F8" s="11">
        <v>4160000</v>
      </c>
      <c r="G8" s="11">
        <v>4992000</v>
      </c>
      <c r="H8" s="11">
        <v>5990000</v>
      </c>
      <c r="I8" s="11">
        <v>7188000</v>
      </c>
      <c r="J8" s="11">
        <v>8626000</v>
      </c>
      <c r="K8" s="11">
        <v>10351000</v>
      </c>
    </row>
    <row r="9" spans="1:11" ht="19.5" customHeight="1">
      <c r="A9" s="10">
        <v>8</v>
      </c>
      <c r="B9" s="12" t="s">
        <v>29</v>
      </c>
      <c r="C9" s="14" t="s">
        <v>23</v>
      </c>
      <c r="D9" s="10">
        <v>500000</v>
      </c>
      <c r="E9" s="10">
        <v>1000000</v>
      </c>
      <c r="F9" s="10">
        <v>2660000</v>
      </c>
      <c r="G9" s="10">
        <v>3192000</v>
      </c>
      <c r="H9" s="10">
        <v>3830000</v>
      </c>
      <c r="I9" s="10">
        <v>4596000</v>
      </c>
      <c r="J9" s="10">
        <v>5516000</v>
      </c>
      <c r="K9" s="10">
        <v>6619000</v>
      </c>
    </row>
    <row r="10" spans="1:11" ht="19.5" customHeight="1">
      <c r="A10" s="11">
        <v>9</v>
      </c>
      <c r="B10" s="13" t="s">
        <v>38</v>
      </c>
      <c r="C10" s="17" t="s">
        <v>23</v>
      </c>
      <c r="D10" s="11">
        <v>500000</v>
      </c>
      <c r="E10" s="11">
        <v>1000000</v>
      </c>
      <c r="F10" s="11">
        <v>2770000</v>
      </c>
      <c r="G10" s="11">
        <v>3324000</v>
      </c>
      <c r="H10" s="11">
        <v>3989000</v>
      </c>
      <c r="I10" s="11">
        <v>4787000</v>
      </c>
      <c r="J10" s="11">
        <v>5744000</v>
      </c>
      <c r="K10" s="11">
        <v>6893000</v>
      </c>
    </row>
    <row r="11" spans="1:11" ht="19.5" customHeight="1">
      <c r="A11" s="10">
        <v>10</v>
      </c>
      <c r="B11" s="12" t="s">
        <v>202</v>
      </c>
      <c r="C11" s="14" t="s">
        <v>23</v>
      </c>
      <c r="D11" s="10">
        <v>500000</v>
      </c>
      <c r="E11" s="10">
        <v>1000000</v>
      </c>
      <c r="F11" s="10">
        <v>5000000</v>
      </c>
      <c r="G11" s="10">
        <v>9000000</v>
      </c>
      <c r="H11" s="10">
        <v>11000000</v>
      </c>
      <c r="I11" s="10">
        <v>13000000</v>
      </c>
      <c r="J11" s="10">
        <v>15000000</v>
      </c>
      <c r="K11" s="10">
        <v>17000000</v>
      </c>
    </row>
    <row r="12" spans="1:11" ht="19.5" customHeight="1">
      <c r="A12" s="11">
        <v>11</v>
      </c>
      <c r="B12" s="13" t="s">
        <v>203</v>
      </c>
      <c r="C12" s="17" t="s">
        <v>23</v>
      </c>
      <c r="D12" s="11">
        <v>500000</v>
      </c>
      <c r="E12" s="11">
        <v>1000000</v>
      </c>
      <c r="F12" s="11">
        <v>4430000</v>
      </c>
      <c r="G12" s="11">
        <v>5316000</v>
      </c>
      <c r="H12" s="11">
        <v>6379000</v>
      </c>
      <c r="I12" s="11">
        <v>7655000</v>
      </c>
      <c r="J12" s="11">
        <v>9186000</v>
      </c>
      <c r="K12" s="11">
        <v>11023000</v>
      </c>
    </row>
    <row r="13" spans="1:11" ht="19.5" customHeight="1">
      <c r="A13" s="10">
        <v>12</v>
      </c>
      <c r="B13" s="12" t="s">
        <v>64</v>
      </c>
      <c r="C13" s="14" t="s">
        <v>23</v>
      </c>
      <c r="D13" s="10">
        <v>500000</v>
      </c>
      <c r="E13" s="10">
        <v>1000000</v>
      </c>
      <c r="F13" s="10">
        <v>2770000</v>
      </c>
      <c r="G13" s="10">
        <v>3324000</v>
      </c>
      <c r="H13" s="10">
        <v>3989000</v>
      </c>
      <c r="I13" s="10">
        <v>4787000</v>
      </c>
      <c r="J13" s="10">
        <v>5744000</v>
      </c>
      <c r="K13" s="10">
        <v>6893000</v>
      </c>
    </row>
    <row r="14" spans="1:11" ht="19.5" customHeight="1">
      <c r="A14" s="11">
        <v>13</v>
      </c>
      <c r="B14" s="13" t="s">
        <v>226</v>
      </c>
      <c r="C14" s="17" t="s">
        <v>23</v>
      </c>
      <c r="D14" s="11">
        <v>500000</v>
      </c>
      <c r="E14" s="11">
        <v>1000000</v>
      </c>
      <c r="F14" s="11">
        <v>4160000</v>
      </c>
      <c r="G14" s="11">
        <v>4992000</v>
      </c>
      <c r="H14" s="11">
        <v>5990000</v>
      </c>
      <c r="I14" s="11">
        <v>7188000</v>
      </c>
      <c r="J14" s="11">
        <v>8626000</v>
      </c>
      <c r="K14" s="11">
        <v>10351000</v>
      </c>
    </row>
    <row r="15" spans="1:11" ht="19.5" customHeight="1">
      <c r="A15" s="10">
        <v>14</v>
      </c>
      <c r="B15" s="12" t="s">
        <v>27</v>
      </c>
      <c r="C15" s="14" t="s">
        <v>23</v>
      </c>
      <c r="D15" s="10">
        <v>500000</v>
      </c>
      <c r="E15" s="10">
        <v>1000000</v>
      </c>
      <c r="F15" s="10">
        <v>4500000</v>
      </c>
      <c r="G15" s="10">
        <v>7500000</v>
      </c>
      <c r="H15" s="10">
        <v>10500000</v>
      </c>
      <c r="I15" s="10">
        <v>13500000</v>
      </c>
      <c r="J15" s="10">
        <v>16500000</v>
      </c>
      <c r="K15" s="10">
        <v>19500000</v>
      </c>
    </row>
    <row r="16" spans="1:11" ht="19.5" customHeight="1">
      <c r="A16" s="11">
        <v>15</v>
      </c>
      <c r="B16" s="13" t="s">
        <v>211</v>
      </c>
      <c r="C16" s="17" t="s">
        <v>23</v>
      </c>
      <c r="D16" s="11">
        <v>500000</v>
      </c>
      <c r="E16" s="11">
        <v>1000000</v>
      </c>
      <c r="F16" s="11">
        <v>2660000</v>
      </c>
      <c r="G16" s="11">
        <v>3192000</v>
      </c>
      <c r="H16" s="11">
        <v>3830000</v>
      </c>
      <c r="I16" s="11">
        <v>4596000</v>
      </c>
      <c r="J16" s="11">
        <v>5516000</v>
      </c>
      <c r="K16" s="11">
        <v>6619000</v>
      </c>
    </row>
    <row r="17" spans="1:11" ht="19.5" customHeight="1">
      <c r="A17" s="10">
        <v>16</v>
      </c>
      <c r="B17" s="12" t="s">
        <v>212</v>
      </c>
      <c r="C17" s="14" t="s">
        <v>23</v>
      </c>
      <c r="D17" s="10">
        <v>500000</v>
      </c>
      <c r="E17" s="10">
        <v>1000000</v>
      </c>
      <c r="F17" s="10">
        <v>2660000</v>
      </c>
      <c r="G17" s="10">
        <v>3192000</v>
      </c>
      <c r="H17" s="10">
        <v>3830000</v>
      </c>
      <c r="I17" s="10">
        <v>4596000</v>
      </c>
      <c r="J17" s="10">
        <v>5516000</v>
      </c>
      <c r="K17" s="10">
        <v>6619000</v>
      </c>
    </row>
    <row r="18" spans="1:11" ht="19.5" customHeight="1">
      <c r="A18" s="11">
        <v>17</v>
      </c>
      <c r="B18" s="13" t="s">
        <v>214</v>
      </c>
      <c r="C18" s="17" t="s">
        <v>23</v>
      </c>
      <c r="D18" s="11">
        <v>500000</v>
      </c>
      <c r="E18" s="11">
        <v>1000000</v>
      </c>
      <c r="F18" s="11">
        <v>2660000</v>
      </c>
      <c r="G18" s="11">
        <v>3192000</v>
      </c>
      <c r="H18" s="11">
        <v>3830000</v>
      </c>
      <c r="I18" s="11">
        <v>4596000</v>
      </c>
      <c r="J18" s="11">
        <v>5516000</v>
      </c>
      <c r="K18" s="11">
        <v>6619000</v>
      </c>
    </row>
    <row r="19" spans="1:11" ht="19.5" customHeight="1">
      <c r="A19" s="10">
        <v>18</v>
      </c>
      <c r="B19" s="12" t="s">
        <v>127</v>
      </c>
      <c r="C19" s="14" t="s">
        <v>23</v>
      </c>
      <c r="D19" s="10">
        <v>500000</v>
      </c>
      <c r="E19" s="10">
        <v>1000000</v>
      </c>
      <c r="F19" s="10">
        <v>3940000</v>
      </c>
      <c r="G19" s="10">
        <v>4728000</v>
      </c>
      <c r="H19" s="10">
        <v>5674000</v>
      </c>
      <c r="I19" s="10">
        <v>6808000</v>
      </c>
      <c r="J19" s="10">
        <v>8170000</v>
      </c>
      <c r="K19" s="10">
        <v>9804000</v>
      </c>
    </row>
    <row r="20" spans="1:11" ht="19.5" customHeight="1">
      <c r="A20" s="11">
        <v>19</v>
      </c>
      <c r="B20" s="13" t="s">
        <v>54</v>
      </c>
      <c r="C20" s="17" t="s">
        <v>23</v>
      </c>
      <c r="D20" s="11">
        <v>500000</v>
      </c>
      <c r="E20" s="11">
        <v>1000000</v>
      </c>
      <c r="F20" s="11">
        <v>4000000</v>
      </c>
      <c r="G20" s="11">
        <v>7000000</v>
      </c>
      <c r="H20" s="11">
        <v>10000000</v>
      </c>
      <c r="I20" s="11">
        <v>13000000</v>
      </c>
      <c r="J20" s="11">
        <v>15000000</v>
      </c>
      <c r="K20" s="11">
        <v>18000000</v>
      </c>
    </row>
    <row r="21" spans="1:11" ht="19.5" customHeight="1">
      <c r="A21" s="10">
        <v>20</v>
      </c>
      <c r="B21" s="12" t="s">
        <v>204</v>
      </c>
      <c r="C21" s="14" t="s">
        <v>23</v>
      </c>
      <c r="D21" s="10">
        <v>500000</v>
      </c>
      <c r="E21" s="10">
        <v>1000000</v>
      </c>
      <c r="F21" s="10">
        <v>4430000</v>
      </c>
      <c r="G21" s="10">
        <v>5316000</v>
      </c>
      <c r="H21" s="10">
        <v>6379000</v>
      </c>
      <c r="I21" s="10">
        <v>7655000</v>
      </c>
      <c r="J21" s="10">
        <v>9186000</v>
      </c>
      <c r="K21" s="10">
        <v>11023000</v>
      </c>
    </row>
    <row r="22" spans="1:11" ht="19.5" customHeight="1">
      <c r="A22" s="11">
        <v>21</v>
      </c>
      <c r="B22" s="13" t="s">
        <v>43</v>
      </c>
      <c r="C22" s="17" t="s">
        <v>23</v>
      </c>
      <c r="D22" s="11">
        <v>500000</v>
      </c>
      <c r="E22" s="11">
        <v>1000000</v>
      </c>
      <c r="F22" s="11">
        <v>2770000</v>
      </c>
      <c r="G22" s="11">
        <v>3324000</v>
      </c>
      <c r="H22" s="11">
        <v>3989000</v>
      </c>
      <c r="I22" s="11">
        <v>4787000</v>
      </c>
      <c r="J22" s="11">
        <v>5744000</v>
      </c>
      <c r="K22" s="11">
        <v>6893000</v>
      </c>
    </row>
    <row r="23" spans="1:11" ht="19.5" customHeight="1">
      <c r="A23" s="10">
        <v>22</v>
      </c>
      <c r="B23" s="12" t="s">
        <v>206</v>
      </c>
      <c r="C23" s="14" t="s">
        <v>23</v>
      </c>
      <c r="D23" s="10">
        <v>500000</v>
      </c>
      <c r="E23" s="10">
        <v>1000000</v>
      </c>
      <c r="F23" s="10">
        <v>3940000</v>
      </c>
      <c r="G23" s="10">
        <v>4728000</v>
      </c>
      <c r="H23" s="10">
        <v>5674000</v>
      </c>
      <c r="I23" s="10">
        <v>6808000</v>
      </c>
      <c r="J23" s="10">
        <v>8170000</v>
      </c>
      <c r="K23" s="10">
        <v>9804000</v>
      </c>
    </row>
    <row r="24" spans="1:11" ht="19.5" customHeight="1">
      <c r="A24" s="11">
        <v>23</v>
      </c>
      <c r="B24" s="13" t="s">
        <v>230</v>
      </c>
      <c r="C24" s="17" t="s">
        <v>23</v>
      </c>
      <c r="D24" s="11">
        <v>500000</v>
      </c>
      <c r="E24" s="11">
        <v>1000000</v>
      </c>
      <c r="F24" s="11">
        <v>4790000</v>
      </c>
      <c r="G24" s="11">
        <v>6095000</v>
      </c>
      <c r="H24" s="11">
        <v>7400000</v>
      </c>
      <c r="I24" s="11">
        <v>8705000</v>
      </c>
      <c r="J24" s="11">
        <v>10010000</v>
      </c>
      <c r="K24" s="11">
        <v>11022000</v>
      </c>
    </row>
    <row r="25" spans="1:11" ht="19.5" customHeight="1">
      <c r="A25" s="10">
        <v>24</v>
      </c>
      <c r="B25" s="12" t="s">
        <v>293</v>
      </c>
      <c r="C25" s="14" t="s">
        <v>23</v>
      </c>
      <c r="D25" s="10">
        <v>500000</v>
      </c>
      <c r="E25" s="10">
        <v>1000000</v>
      </c>
      <c r="F25" s="10">
        <v>2660000</v>
      </c>
      <c r="G25" s="10">
        <v>3192000</v>
      </c>
      <c r="H25" s="10">
        <v>3830000</v>
      </c>
      <c r="I25" s="10">
        <v>4596000</v>
      </c>
      <c r="J25" s="10">
        <v>5516000</v>
      </c>
      <c r="K25" s="10">
        <v>6619000</v>
      </c>
    </row>
    <row r="26" spans="1:11" ht="19.5" customHeight="1">
      <c r="A26" s="11">
        <v>25</v>
      </c>
      <c r="B26" s="13" t="s">
        <v>153</v>
      </c>
      <c r="C26" s="17" t="s">
        <v>23</v>
      </c>
      <c r="D26" s="11">
        <v>500000</v>
      </c>
      <c r="E26" s="11">
        <v>1000000</v>
      </c>
      <c r="F26" s="11">
        <v>2660000</v>
      </c>
      <c r="G26" s="11">
        <v>3192000</v>
      </c>
      <c r="H26" s="11">
        <v>3830000</v>
      </c>
      <c r="I26" s="11">
        <v>4596000</v>
      </c>
      <c r="J26" s="11">
        <v>5516000</v>
      </c>
      <c r="K26" s="11">
        <v>6619000</v>
      </c>
    </row>
    <row r="27" spans="1:11" ht="19.5" customHeight="1">
      <c r="A27" s="10">
        <v>26</v>
      </c>
      <c r="B27" s="12" t="s">
        <v>155</v>
      </c>
      <c r="C27" s="14" t="s">
        <v>23</v>
      </c>
      <c r="D27" s="10">
        <v>500000</v>
      </c>
      <c r="E27" s="10">
        <v>1000000</v>
      </c>
      <c r="F27" s="10">
        <v>3940000</v>
      </c>
      <c r="G27" s="10">
        <v>4728000</v>
      </c>
      <c r="H27" s="10">
        <v>5674000</v>
      </c>
      <c r="I27" s="10">
        <v>6808000</v>
      </c>
      <c r="J27" s="10">
        <v>8170000</v>
      </c>
      <c r="K27" s="10">
        <v>9804000</v>
      </c>
    </row>
    <row r="28" spans="1:11" ht="19.5" customHeight="1">
      <c r="A28" s="11">
        <v>27</v>
      </c>
      <c r="B28" s="13" t="s">
        <v>194</v>
      </c>
      <c r="C28" s="17" t="s">
        <v>23</v>
      </c>
      <c r="D28" s="11">
        <v>500000</v>
      </c>
      <c r="E28" s="11">
        <v>1000000</v>
      </c>
      <c r="F28" s="11">
        <v>5500000</v>
      </c>
      <c r="G28" s="11">
        <v>8500000</v>
      </c>
      <c r="H28" s="11">
        <v>11500000</v>
      </c>
      <c r="I28" s="11">
        <v>14500000</v>
      </c>
      <c r="J28" s="11">
        <v>17500000</v>
      </c>
      <c r="K28" s="11">
        <v>21000000</v>
      </c>
    </row>
    <row r="29" spans="1:11" ht="19.5" customHeight="1">
      <c r="A29" s="10">
        <v>28</v>
      </c>
      <c r="B29" s="12" t="s">
        <v>233</v>
      </c>
      <c r="C29" s="14" t="s">
        <v>23</v>
      </c>
      <c r="D29" s="10">
        <v>500000</v>
      </c>
      <c r="E29" s="10">
        <v>1000000</v>
      </c>
      <c r="F29" s="10">
        <v>5000000</v>
      </c>
      <c r="G29" s="10">
        <v>8000000</v>
      </c>
      <c r="H29" s="10">
        <v>11000000</v>
      </c>
      <c r="I29" s="10">
        <v>14000000</v>
      </c>
      <c r="J29" s="10">
        <v>17000000</v>
      </c>
      <c r="K29" s="10">
        <v>20000000</v>
      </c>
    </row>
    <row r="30" spans="1:11" ht="19.5" customHeight="1">
      <c r="A30" s="11">
        <v>29</v>
      </c>
      <c r="B30" s="13" t="s">
        <v>160</v>
      </c>
      <c r="C30" s="17" t="s">
        <v>23</v>
      </c>
      <c r="D30" s="11">
        <v>500000</v>
      </c>
      <c r="E30" s="11">
        <v>1000000</v>
      </c>
      <c r="F30" s="11">
        <v>2660000</v>
      </c>
      <c r="G30" s="11">
        <v>3192000</v>
      </c>
      <c r="H30" s="11">
        <v>3830000</v>
      </c>
      <c r="I30" s="11">
        <v>4596000</v>
      </c>
      <c r="J30" s="11">
        <v>5516000</v>
      </c>
      <c r="K30" s="11">
        <v>6619000</v>
      </c>
    </row>
    <row r="31" spans="1:11" ht="19.5" customHeight="1">
      <c r="A31" s="10">
        <v>30</v>
      </c>
      <c r="B31" s="12" t="s">
        <v>164</v>
      </c>
      <c r="C31" s="14" t="s">
        <v>23</v>
      </c>
      <c r="D31" s="10">
        <v>500000</v>
      </c>
      <c r="E31" s="10">
        <v>1000000</v>
      </c>
      <c r="F31" s="10">
        <v>4160000</v>
      </c>
      <c r="G31" s="10">
        <v>4992000</v>
      </c>
      <c r="H31" s="10">
        <v>5990000</v>
      </c>
      <c r="I31" s="10">
        <v>7188000</v>
      </c>
      <c r="J31" s="10">
        <v>8626000</v>
      </c>
      <c r="K31" s="10">
        <v>10351000</v>
      </c>
    </row>
    <row r="32" spans="1:11" ht="19.5" customHeight="1">
      <c r="A32" s="11">
        <v>31</v>
      </c>
      <c r="B32" s="13" t="s">
        <v>166</v>
      </c>
      <c r="C32" s="17" t="s">
        <v>23</v>
      </c>
      <c r="D32" s="11">
        <v>500000</v>
      </c>
      <c r="E32" s="11">
        <v>1000000</v>
      </c>
      <c r="F32" s="11">
        <v>3060000</v>
      </c>
      <c r="G32" s="11">
        <v>3672000</v>
      </c>
      <c r="H32" s="11">
        <v>4406000</v>
      </c>
      <c r="I32" s="11">
        <v>5288000</v>
      </c>
      <c r="J32" s="11">
        <v>6345000</v>
      </c>
      <c r="K32" s="11">
        <v>7614000</v>
      </c>
    </row>
    <row r="33" spans="1:11" ht="19.5" customHeight="1">
      <c r="A33" s="10">
        <v>32</v>
      </c>
      <c r="B33" s="12" t="s">
        <v>392</v>
      </c>
      <c r="C33" s="14" t="s">
        <v>23</v>
      </c>
      <c r="D33" s="10">
        <v>500000</v>
      </c>
      <c r="E33" s="10">
        <v>1000000</v>
      </c>
      <c r="F33" s="10">
        <v>3460000</v>
      </c>
      <c r="G33" s="10">
        <v>4152000</v>
      </c>
      <c r="H33" s="10">
        <v>4982000</v>
      </c>
      <c r="I33" s="10">
        <v>5979000</v>
      </c>
      <c r="J33" s="10">
        <v>7175000</v>
      </c>
      <c r="K33" s="10">
        <v>8610000</v>
      </c>
    </row>
    <row r="34" spans="1:11" ht="19.5" customHeight="1">
      <c r="A34" s="11">
        <v>33</v>
      </c>
      <c r="B34" s="13" t="s">
        <v>297</v>
      </c>
      <c r="C34" s="17" t="s">
        <v>23</v>
      </c>
      <c r="D34" s="11">
        <v>500000</v>
      </c>
      <c r="E34" s="11">
        <v>1000000</v>
      </c>
      <c r="F34" s="11">
        <v>3460000</v>
      </c>
      <c r="G34" s="11">
        <v>4152000</v>
      </c>
      <c r="H34" s="11">
        <v>4982000</v>
      </c>
      <c r="I34" s="11">
        <v>5979000</v>
      </c>
      <c r="J34" s="11">
        <v>7175000</v>
      </c>
      <c r="K34" s="11">
        <v>8610000</v>
      </c>
    </row>
    <row r="35" spans="1:11" ht="19.5" customHeight="1">
      <c r="A35" s="10">
        <v>34</v>
      </c>
      <c r="B35" s="12" t="s">
        <v>393</v>
      </c>
      <c r="C35" s="14" t="s">
        <v>23</v>
      </c>
      <c r="D35" s="10">
        <v>500000</v>
      </c>
      <c r="E35" s="10">
        <v>1000000</v>
      </c>
      <c r="F35" s="10">
        <v>4430000</v>
      </c>
      <c r="G35" s="10">
        <v>5316000</v>
      </c>
      <c r="H35" s="10">
        <v>6379000</v>
      </c>
      <c r="I35" s="10">
        <v>7655000</v>
      </c>
      <c r="J35" s="10">
        <v>9186000</v>
      </c>
      <c r="K35" s="10">
        <v>11023000</v>
      </c>
    </row>
    <row r="36" spans="1:11" ht="19.5" customHeight="1">
      <c r="A36" s="11">
        <v>35</v>
      </c>
      <c r="B36" s="13" t="s">
        <v>178</v>
      </c>
      <c r="C36" s="17" t="s">
        <v>23</v>
      </c>
      <c r="D36" s="11">
        <v>500000</v>
      </c>
      <c r="E36" s="11">
        <v>1000000</v>
      </c>
      <c r="F36" s="11">
        <v>4160000</v>
      </c>
      <c r="G36" s="11">
        <v>4992000</v>
      </c>
      <c r="H36" s="11">
        <v>5990000</v>
      </c>
      <c r="I36" s="11">
        <v>7188000</v>
      </c>
      <c r="J36" s="11">
        <v>8626000</v>
      </c>
      <c r="K36" s="11">
        <v>10351000</v>
      </c>
    </row>
    <row r="37" spans="1:11" ht="19.5" customHeight="1">
      <c r="A37" s="10">
        <v>36</v>
      </c>
      <c r="B37" s="12" t="s">
        <v>182</v>
      </c>
      <c r="C37" s="14" t="s">
        <v>23</v>
      </c>
      <c r="D37" s="10">
        <v>500000</v>
      </c>
      <c r="E37" s="10">
        <v>1000000</v>
      </c>
      <c r="F37" s="10">
        <v>4160000</v>
      </c>
      <c r="G37" s="10">
        <v>4992000</v>
      </c>
      <c r="H37" s="10">
        <v>5990000</v>
      </c>
      <c r="I37" s="10">
        <v>7188000</v>
      </c>
      <c r="J37" s="10">
        <v>8626000</v>
      </c>
      <c r="K37" s="10">
        <v>10351000</v>
      </c>
    </row>
    <row r="38" spans="1:11" ht="19.5" customHeight="1">
      <c r="A38" s="11">
        <v>37</v>
      </c>
      <c r="B38" s="13" t="s">
        <v>185</v>
      </c>
      <c r="C38" s="17" t="s">
        <v>23</v>
      </c>
      <c r="D38" s="11">
        <v>500000</v>
      </c>
      <c r="E38" s="11">
        <v>1000000</v>
      </c>
      <c r="F38" s="11">
        <v>3780000</v>
      </c>
      <c r="G38" s="11">
        <v>4536000</v>
      </c>
      <c r="H38" s="11">
        <v>5443000</v>
      </c>
      <c r="I38" s="11">
        <v>6532000</v>
      </c>
      <c r="J38" s="11">
        <v>7838000</v>
      </c>
      <c r="K38" s="11">
        <v>9406000</v>
      </c>
    </row>
    <row r="39" spans="1:11" ht="19.5" customHeight="1">
      <c r="A39" s="10">
        <v>38</v>
      </c>
      <c r="B39" s="12" t="s">
        <v>345</v>
      </c>
      <c r="C39" s="14" t="s">
        <v>23</v>
      </c>
      <c r="D39" s="10">
        <v>500000</v>
      </c>
      <c r="E39" s="10">
        <v>1000000</v>
      </c>
      <c r="F39" s="10">
        <v>2770000</v>
      </c>
      <c r="G39" s="10">
        <v>3324000</v>
      </c>
      <c r="H39" s="10">
        <v>3989000</v>
      </c>
      <c r="I39" s="10">
        <v>4787000</v>
      </c>
      <c r="J39" s="10">
        <v>5744000</v>
      </c>
      <c r="K39" s="10">
        <v>6893000</v>
      </c>
    </row>
    <row r="40" spans="1:11" ht="19.5" customHeight="1">
      <c r="A40" s="11">
        <v>39</v>
      </c>
      <c r="B40" s="13" t="s">
        <v>190</v>
      </c>
      <c r="C40" s="17" t="s">
        <v>23</v>
      </c>
      <c r="D40" s="11">
        <v>500000</v>
      </c>
      <c r="E40" s="11">
        <v>1000000</v>
      </c>
      <c r="F40" s="11">
        <v>2660000</v>
      </c>
      <c r="G40" s="11">
        <v>3192000</v>
      </c>
      <c r="H40" s="11">
        <v>3830000</v>
      </c>
      <c r="I40" s="11">
        <v>4596000</v>
      </c>
      <c r="J40" s="11">
        <v>5516000</v>
      </c>
      <c r="K40" s="11">
        <v>6619000</v>
      </c>
    </row>
    <row r="41" spans="1:11" ht="19.5" customHeight="1">
      <c r="A41" s="10">
        <v>40</v>
      </c>
      <c r="B41" s="12" t="s">
        <v>192</v>
      </c>
      <c r="C41" s="14" t="s">
        <v>23</v>
      </c>
      <c r="D41" s="10">
        <v>500000</v>
      </c>
      <c r="E41" s="10">
        <v>1000000</v>
      </c>
      <c r="F41" s="10">
        <v>3060000</v>
      </c>
      <c r="G41" s="10">
        <v>3672000</v>
      </c>
      <c r="H41" s="10">
        <v>4406000</v>
      </c>
      <c r="I41" s="10">
        <v>5288000</v>
      </c>
      <c r="J41" s="10">
        <v>6345000</v>
      </c>
      <c r="K41" s="10">
        <v>7614000</v>
      </c>
    </row>
    <row r="42" spans="1:11" ht="19.5" customHeight="1">
      <c r="A42" s="11">
        <v>41</v>
      </c>
      <c r="B42" s="13" t="s">
        <v>144</v>
      </c>
      <c r="C42" s="17" t="s">
        <v>23</v>
      </c>
      <c r="D42" s="11">
        <v>500000</v>
      </c>
      <c r="E42" s="11">
        <v>1000000</v>
      </c>
      <c r="F42" s="11">
        <v>4160000</v>
      </c>
      <c r="G42" s="11">
        <v>4992000</v>
      </c>
      <c r="H42" s="11">
        <v>5990000</v>
      </c>
      <c r="I42" s="11">
        <v>7188000</v>
      </c>
      <c r="J42" s="11">
        <v>8626000</v>
      </c>
      <c r="K42" s="11">
        <v>10351000</v>
      </c>
    </row>
    <row r="43" spans="1:11" ht="19.5" customHeight="1">
      <c r="A43" s="10">
        <v>42</v>
      </c>
      <c r="B43" s="12" t="s">
        <v>195</v>
      </c>
      <c r="C43" s="14" t="s">
        <v>23</v>
      </c>
      <c r="D43" s="10">
        <v>500000</v>
      </c>
      <c r="E43" s="10">
        <v>1000000</v>
      </c>
      <c r="F43" s="10">
        <v>3550000</v>
      </c>
      <c r="G43" s="10">
        <v>4170000</v>
      </c>
      <c r="H43" s="10">
        <v>4913000</v>
      </c>
      <c r="I43" s="10">
        <v>5780000</v>
      </c>
      <c r="J43" s="10">
        <v>6800000</v>
      </c>
      <c r="K43" s="10">
        <v>8000000</v>
      </c>
    </row>
    <row r="44" spans="1:11" ht="19.5" customHeight="1">
      <c r="A44" s="11">
        <v>43</v>
      </c>
      <c r="B44" s="13" t="s">
        <v>218</v>
      </c>
      <c r="C44" s="17" t="s">
        <v>23</v>
      </c>
      <c r="D44" s="11">
        <v>500000</v>
      </c>
      <c r="E44" s="11">
        <v>1000000</v>
      </c>
      <c r="F44" s="11">
        <v>2660000</v>
      </c>
      <c r="G44" s="11">
        <v>3192000</v>
      </c>
      <c r="H44" s="11">
        <v>3830000</v>
      </c>
      <c r="I44" s="11">
        <v>4596000</v>
      </c>
      <c r="J44" s="11">
        <v>5516000</v>
      </c>
      <c r="K44" s="11">
        <v>6619000</v>
      </c>
    </row>
    <row r="45" spans="1:11" ht="19.5" customHeight="1">
      <c r="A45" s="10">
        <v>44</v>
      </c>
      <c r="B45" s="12" t="s">
        <v>208</v>
      </c>
      <c r="C45" s="14" t="s">
        <v>23</v>
      </c>
      <c r="D45" s="10">
        <v>500000</v>
      </c>
      <c r="E45" s="10">
        <v>1000000</v>
      </c>
      <c r="F45" s="10">
        <v>3940000</v>
      </c>
      <c r="G45" s="10">
        <v>4728000</v>
      </c>
      <c r="H45" s="10">
        <v>5674000</v>
      </c>
      <c r="I45" s="10">
        <v>6808000</v>
      </c>
      <c r="J45" s="10">
        <v>8170000</v>
      </c>
      <c r="K45" s="10">
        <v>9804000</v>
      </c>
    </row>
    <row r="46" spans="1:11" ht="19.5" customHeight="1">
      <c r="A46" s="11">
        <v>45</v>
      </c>
      <c r="B46" s="13" t="s">
        <v>79</v>
      </c>
      <c r="C46" s="17" t="s">
        <v>23</v>
      </c>
      <c r="D46" s="11">
        <v>500000</v>
      </c>
      <c r="E46" s="11">
        <v>1000000</v>
      </c>
      <c r="F46" s="11">
        <v>4950000</v>
      </c>
      <c r="G46" s="11">
        <v>5940000</v>
      </c>
      <c r="H46" s="11">
        <v>7128000</v>
      </c>
      <c r="I46" s="11">
        <v>8554000</v>
      </c>
      <c r="J46" s="11">
        <v>10264000</v>
      </c>
      <c r="K46" s="11">
        <v>12317000</v>
      </c>
    </row>
    <row r="47" spans="1:11" ht="19.5" customHeight="1">
      <c r="A47" s="10">
        <v>46</v>
      </c>
      <c r="B47" s="12" t="s">
        <v>87</v>
      </c>
      <c r="C47" s="14" t="s">
        <v>23</v>
      </c>
      <c r="D47" s="10">
        <v>500000</v>
      </c>
      <c r="E47" s="10">
        <v>1000000</v>
      </c>
      <c r="F47" s="10">
        <v>4950000</v>
      </c>
      <c r="G47" s="10">
        <v>5940000</v>
      </c>
      <c r="H47" s="10">
        <v>7128000</v>
      </c>
      <c r="I47" s="10">
        <v>8554000</v>
      </c>
      <c r="J47" s="10">
        <v>10264000</v>
      </c>
      <c r="K47" s="10">
        <v>12317000</v>
      </c>
    </row>
    <row r="48" spans="1:11" ht="19.5" customHeight="1">
      <c r="A48" s="11">
        <v>47</v>
      </c>
      <c r="B48" s="13" t="s">
        <v>90</v>
      </c>
      <c r="C48" s="17" t="s">
        <v>23</v>
      </c>
      <c r="D48" s="11">
        <v>500000</v>
      </c>
      <c r="E48" s="11">
        <v>1000000</v>
      </c>
      <c r="F48" s="11">
        <v>4610000</v>
      </c>
      <c r="G48" s="11">
        <v>5532000</v>
      </c>
      <c r="H48" s="11">
        <v>6638000</v>
      </c>
      <c r="I48" s="11">
        <v>7966000</v>
      </c>
      <c r="J48" s="11">
        <v>9559000</v>
      </c>
      <c r="K48" s="11">
        <v>11471000</v>
      </c>
    </row>
    <row r="49" spans="1:11" ht="19.5" customHeight="1">
      <c r="A49" s="10">
        <v>48</v>
      </c>
      <c r="B49" s="12" t="s">
        <v>13</v>
      </c>
      <c r="C49" s="14" t="s">
        <v>23</v>
      </c>
      <c r="D49" s="10">
        <v>500000</v>
      </c>
      <c r="E49" s="10">
        <v>1000000</v>
      </c>
      <c r="F49" s="10">
        <v>4270000</v>
      </c>
      <c r="G49" s="10">
        <v>5124000</v>
      </c>
      <c r="H49" s="10">
        <v>6149000</v>
      </c>
      <c r="I49" s="10">
        <v>7379000</v>
      </c>
      <c r="J49" s="10">
        <v>8854000</v>
      </c>
      <c r="K49" s="10">
        <v>10625000</v>
      </c>
    </row>
    <row r="50" spans="1:11" ht="19.5" customHeight="1">
      <c r="A50" s="11">
        <v>49</v>
      </c>
      <c r="B50" s="13" t="s">
        <v>209</v>
      </c>
      <c r="C50" s="17" t="s">
        <v>23</v>
      </c>
      <c r="D50" s="11">
        <v>500000</v>
      </c>
      <c r="E50" s="11">
        <v>1000000</v>
      </c>
      <c r="F50" s="11">
        <v>3940000</v>
      </c>
      <c r="G50" s="11">
        <v>4728000</v>
      </c>
      <c r="H50" s="11">
        <v>5674000</v>
      </c>
      <c r="I50" s="11">
        <v>6808000</v>
      </c>
      <c r="J50" s="11">
        <v>8170000</v>
      </c>
      <c r="K50" s="11">
        <v>9804000</v>
      </c>
    </row>
    <row r="51" spans="1:11" ht="19.5" customHeight="1">
      <c r="A51" s="10">
        <v>50</v>
      </c>
      <c r="B51" s="12" t="s">
        <v>95</v>
      </c>
      <c r="C51" s="14" t="s">
        <v>23</v>
      </c>
      <c r="D51" s="10">
        <v>500000</v>
      </c>
      <c r="E51" s="10">
        <v>1000000</v>
      </c>
      <c r="F51" s="10">
        <v>5560000</v>
      </c>
      <c r="G51" s="10">
        <v>6672000</v>
      </c>
      <c r="H51" s="10">
        <v>8006000</v>
      </c>
      <c r="I51" s="10">
        <v>9608000</v>
      </c>
      <c r="J51" s="10">
        <v>11529000</v>
      </c>
      <c r="K51" s="10">
        <v>13835000</v>
      </c>
    </row>
    <row r="52" spans="1:11" ht="19.5" customHeight="1">
      <c r="A52" s="11">
        <v>51</v>
      </c>
      <c r="B52" s="13" t="s">
        <v>105</v>
      </c>
      <c r="C52" s="17" t="s">
        <v>23</v>
      </c>
      <c r="D52" s="11">
        <v>500000</v>
      </c>
      <c r="E52" s="11">
        <v>1000000</v>
      </c>
      <c r="F52" s="11">
        <v>4950000</v>
      </c>
      <c r="G52" s="11">
        <v>5940000</v>
      </c>
      <c r="H52" s="11">
        <v>7128000</v>
      </c>
      <c r="I52" s="11">
        <v>8554000</v>
      </c>
      <c r="J52" s="11">
        <v>10264000</v>
      </c>
      <c r="K52" s="11">
        <v>12317000</v>
      </c>
    </row>
    <row r="53" spans="1:11" ht="19.5" customHeight="1">
      <c r="A53" s="10">
        <v>52</v>
      </c>
      <c r="B53" s="12" t="s">
        <v>110</v>
      </c>
      <c r="C53" s="14" t="s">
        <v>23</v>
      </c>
      <c r="D53" s="10">
        <v>500000</v>
      </c>
      <c r="E53" s="10">
        <v>1000000</v>
      </c>
      <c r="F53" s="10">
        <v>4270000</v>
      </c>
      <c r="G53" s="10">
        <v>5124000</v>
      </c>
      <c r="H53" s="10">
        <v>6149000</v>
      </c>
      <c r="I53" s="10">
        <v>7379000</v>
      </c>
      <c r="J53" s="10">
        <v>8854000</v>
      </c>
      <c r="K53" s="10">
        <v>10625000</v>
      </c>
    </row>
    <row r="54" spans="1:11" ht="19.5" customHeight="1">
      <c r="A54" s="11">
        <v>53</v>
      </c>
      <c r="B54" s="13" t="s">
        <v>147</v>
      </c>
      <c r="C54" s="17" t="s">
        <v>23</v>
      </c>
      <c r="D54" s="11">
        <v>500000</v>
      </c>
      <c r="E54" s="11">
        <v>1000000</v>
      </c>
      <c r="F54" s="11">
        <v>3940000</v>
      </c>
      <c r="G54" s="11">
        <v>4728000</v>
      </c>
      <c r="H54" s="11">
        <v>5674000</v>
      </c>
      <c r="I54" s="11">
        <v>6808000</v>
      </c>
      <c r="J54" s="11">
        <v>8170000</v>
      </c>
      <c r="K54" s="11">
        <v>9804000</v>
      </c>
    </row>
    <row r="55" spans="1:11" ht="19.5" customHeight="1">
      <c r="A55" s="10">
        <v>54</v>
      </c>
      <c r="B55" s="12" t="s">
        <v>112</v>
      </c>
      <c r="C55" s="14" t="s">
        <v>23</v>
      </c>
      <c r="D55" s="10">
        <v>500000</v>
      </c>
      <c r="E55" s="10">
        <v>1000000</v>
      </c>
      <c r="F55" s="10">
        <v>4950000</v>
      </c>
      <c r="G55" s="10">
        <v>5940000</v>
      </c>
      <c r="H55" s="10">
        <v>7128000</v>
      </c>
      <c r="I55" s="10">
        <v>8554000</v>
      </c>
      <c r="J55" s="10">
        <v>10264000</v>
      </c>
      <c r="K55" s="10">
        <v>12317000</v>
      </c>
    </row>
    <row r="56" spans="1:11" ht="19.5" customHeight="1">
      <c r="A56" s="11">
        <v>55</v>
      </c>
      <c r="B56" s="13" t="s">
        <v>146</v>
      </c>
      <c r="C56" s="17" t="s">
        <v>23</v>
      </c>
      <c r="D56" s="11">
        <v>500000</v>
      </c>
      <c r="E56" s="11">
        <v>1000000</v>
      </c>
      <c r="F56" s="11">
        <v>3940000</v>
      </c>
      <c r="G56" s="11">
        <v>4728000</v>
      </c>
      <c r="H56" s="11">
        <v>5674000</v>
      </c>
      <c r="I56" s="11">
        <v>6808000</v>
      </c>
      <c r="J56" s="11">
        <v>8170000</v>
      </c>
      <c r="K56" s="11">
        <v>9804000</v>
      </c>
    </row>
    <row r="57" spans="1:11" ht="19.5" customHeight="1">
      <c r="A57" s="10">
        <v>56</v>
      </c>
      <c r="B57" s="12" t="s">
        <v>131</v>
      </c>
      <c r="C57" s="14" t="s">
        <v>23</v>
      </c>
      <c r="D57" s="10">
        <v>500000</v>
      </c>
      <c r="E57" s="10">
        <v>1000000</v>
      </c>
      <c r="F57" s="10">
        <v>3940000</v>
      </c>
      <c r="G57" s="10">
        <v>4728000</v>
      </c>
      <c r="H57" s="10">
        <v>5674000</v>
      </c>
      <c r="I57" s="10">
        <v>6808000</v>
      </c>
      <c r="J57" s="10">
        <v>8170000</v>
      </c>
      <c r="K57" s="10">
        <v>9804000</v>
      </c>
    </row>
    <row r="58" spans="1:11" ht="19.5" customHeight="1">
      <c r="A58" s="11">
        <v>57</v>
      </c>
      <c r="B58" s="13" t="s">
        <v>137</v>
      </c>
      <c r="C58" s="17" t="s">
        <v>23</v>
      </c>
      <c r="D58" s="11">
        <v>500000</v>
      </c>
      <c r="E58" s="11">
        <v>1000000</v>
      </c>
      <c r="F58" s="11">
        <v>3940000</v>
      </c>
      <c r="G58" s="11">
        <v>4728000</v>
      </c>
      <c r="H58" s="11">
        <v>5674000</v>
      </c>
      <c r="I58" s="11">
        <v>6808000</v>
      </c>
      <c r="J58" s="11">
        <v>8170000</v>
      </c>
      <c r="K58" s="11">
        <v>9804000</v>
      </c>
    </row>
    <row r="59" spans="1:11" ht="19.5" customHeight="1">
      <c r="A59" s="10">
        <v>58</v>
      </c>
      <c r="B59" s="12" t="s">
        <v>74</v>
      </c>
      <c r="C59" s="14" t="s">
        <v>23</v>
      </c>
      <c r="D59" s="10">
        <v>500000</v>
      </c>
      <c r="E59" s="10">
        <v>1000000</v>
      </c>
      <c r="F59" s="10">
        <v>4270000</v>
      </c>
      <c r="G59" s="10">
        <v>5124000</v>
      </c>
      <c r="H59" s="10">
        <v>6149000</v>
      </c>
      <c r="I59" s="10">
        <v>7379000</v>
      </c>
      <c r="J59" s="10">
        <v>8854000</v>
      </c>
      <c r="K59" s="10">
        <v>10625000</v>
      </c>
    </row>
    <row r="60" spans="1:11" ht="19.5" customHeight="1">
      <c r="A60" s="11">
        <v>59</v>
      </c>
      <c r="B60" s="13" t="s">
        <v>103</v>
      </c>
      <c r="C60" s="17" t="s">
        <v>23</v>
      </c>
      <c r="D60" s="11">
        <v>500000</v>
      </c>
      <c r="E60" s="11">
        <v>1000000</v>
      </c>
      <c r="F60" s="11">
        <v>4270000</v>
      </c>
      <c r="G60" s="11">
        <v>5124000</v>
      </c>
      <c r="H60" s="11">
        <v>6149000</v>
      </c>
      <c r="I60" s="11">
        <v>7379000</v>
      </c>
      <c r="J60" s="11">
        <v>8854000</v>
      </c>
      <c r="K60" s="11">
        <v>10625000</v>
      </c>
    </row>
    <row r="61" spans="1:11" ht="19.5" customHeight="1">
      <c r="A61" s="10">
        <v>60</v>
      </c>
      <c r="B61" s="12" t="s">
        <v>396</v>
      </c>
      <c r="C61" s="14" t="s">
        <v>23</v>
      </c>
      <c r="D61" s="10">
        <v>500000</v>
      </c>
      <c r="E61" s="10">
        <v>1000000</v>
      </c>
      <c r="F61" s="10">
        <v>2770000</v>
      </c>
      <c r="G61" s="10">
        <v>3324000</v>
      </c>
      <c r="H61" s="10">
        <v>3989000</v>
      </c>
      <c r="I61" s="12" t="s">
        <v>319</v>
      </c>
      <c r="J61" s="12" t="s">
        <v>319</v>
      </c>
      <c r="K61" s="12" t="s">
        <v>319</v>
      </c>
    </row>
    <row r="62" spans="1:11" ht="19.5" customHeight="1">
      <c r="A62" s="11">
        <v>61</v>
      </c>
      <c r="B62" s="13" t="s">
        <v>386</v>
      </c>
      <c r="C62" s="17" t="s">
        <v>23</v>
      </c>
      <c r="D62" s="11">
        <v>500000</v>
      </c>
      <c r="E62" s="11">
        <v>1000000</v>
      </c>
      <c r="F62" s="11">
        <v>3940000</v>
      </c>
      <c r="G62" s="11">
        <v>4728000</v>
      </c>
      <c r="H62" s="11">
        <v>5674000</v>
      </c>
      <c r="I62" s="13" t="s">
        <v>319</v>
      </c>
      <c r="J62" s="13" t="s">
        <v>319</v>
      </c>
      <c r="K62" s="13" t="s">
        <v>319</v>
      </c>
    </row>
    <row r="63" spans="1:11" ht="19.5" customHeight="1">
      <c r="A63" s="10">
        <v>62</v>
      </c>
      <c r="B63" s="12" t="s">
        <v>374</v>
      </c>
      <c r="C63" s="14" t="s">
        <v>23</v>
      </c>
      <c r="D63" s="10">
        <v>500000</v>
      </c>
      <c r="E63" s="10">
        <v>1000000</v>
      </c>
      <c r="F63" s="10">
        <v>4010000</v>
      </c>
      <c r="G63" s="10">
        <v>4812000</v>
      </c>
      <c r="H63" s="10">
        <v>5774000</v>
      </c>
      <c r="I63" s="12" t="s">
        <v>319</v>
      </c>
      <c r="J63" s="12" t="s">
        <v>319</v>
      </c>
      <c r="K63" s="12" t="s">
        <v>319</v>
      </c>
    </row>
    <row r="64" spans="1:11" ht="19.5" customHeight="1">
      <c r="A64" s="11">
        <v>63</v>
      </c>
      <c r="B64" s="13" t="s">
        <v>368</v>
      </c>
      <c r="C64" s="17" t="s">
        <v>23</v>
      </c>
      <c r="D64" s="11">
        <v>500000</v>
      </c>
      <c r="E64" s="11">
        <v>1000000</v>
      </c>
      <c r="F64" s="11">
        <v>4160000</v>
      </c>
      <c r="G64" s="11">
        <v>4992000</v>
      </c>
      <c r="H64" s="11">
        <v>5990000</v>
      </c>
      <c r="I64" s="13" t="s">
        <v>319</v>
      </c>
      <c r="J64" s="13" t="s">
        <v>319</v>
      </c>
      <c r="K64" s="13" t="s">
        <v>319</v>
      </c>
    </row>
    <row r="65" spans="1:11" ht="19.5" customHeight="1">
      <c r="A65" s="10">
        <v>64</v>
      </c>
      <c r="B65" s="12" t="s">
        <v>399</v>
      </c>
      <c r="C65" s="14" t="s">
        <v>23</v>
      </c>
      <c r="D65" s="10">
        <v>500000</v>
      </c>
      <c r="E65" s="10">
        <v>1000000</v>
      </c>
      <c r="F65" s="10">
        <v>5560000</v>
      </c>
      <c r="G65" s="10">
        <v>6672000</v>
      </c>
      <c r="H65" s="10">
        <v>8006000</v>
      </c>
      <c r="I65" s="10">
        <v>9608000</v>
      </c>
      <c r="J65" s="10">
        <v>11529000</v>
      </c>
      <c r="K65" s="10">
        <v>13835000</v>
      </c>
    </row>
    <row r="66" spans="1:11" ht="19.5" customHeight="1">
      <c r="A66" s="11">
        <v>65</v>
      </c>
      <c r="B66" s="13" t="s">
        <v>400</v>
      </c>
      <c r="C66" s="17" t="s">
        <v>23</v>
      </c>
      <c r="D66" s="11">
        <v>500000</v>
      </c>
      <c r="E66" s="11">
        <v>1000000</v>
      </c>
      <c r="F66" s="11">
        <v>4950000</v>
      </c>
      <c r="G66" s="11">
        <v>5940000</v>
      </c>
      <c r="H66" s="11">
        <v>7125000</v>
      </c>
      <c r="I66" s="11">
        <v>8554000</v>
      </c>
      <c r="J66" s="11">
        <v>10264000</v>
      </c>
      <c r="K66" s="11">
        <v>12317000</v>
      </c>
    </row>
    <row r="67" spans="1:11" ht="19.5" customHeight="1">
      <c r="A67" s="10">
        <v>66</v>
      </c>
      <c r="B67" s="12" t="s">
        <v>401</v>
      </c>
      <c r="C67" s="14" t="s">
        <v>23</v>
      </c>
      <c r="D67" s="10">
        <v>500000</v>
      </c>
      <c r="E67" s="10">
        <v>1000000</v>
      </c>
      <c r="F67" s="10">
        <v>4270000</v>
      </c>
      <c r="G67" s="10">
        <v>5124000</v>
      </c>
      <c r="H67" s="10">
        <v>6149000</v>
      </c>
      <c r="I67" s="10">
        <v>7379000</v>
      </c>
      <c r="J67" s="10">
        <v>8854000</v>
      </c>
      <c r="K67" s="10">
        <v>10625000</v>
      </c>
    </row>
    <row r="68" spans="1:11" ht="19.5" customHeight="1">
      <c r="A68" s="11">
        <v>67</v>
      </c>
      <c r="B68" s="13" t="s">
        <v>402</v>
      </c>
      <c r="C68" s="17" t="s">
        <v>23</v>
      </c>
      <c r="D68" s="11">
        <v>500000</v>
      </c>
      <c r="E68" s="11">
        <v>1000000</v>
      </c>
      <c r="F68" s="11">
        <v>2770000</v>
      </c>
      <c r="G68" s="11">
        <v>3324000</v>
      </c>
      <c r="H68" s="11">
        <v>3989400</v>
      </c>
      <c r="I68" s="11">
        <v>4787000</v>
      </c>
      <c r="J68" s="11">
        <v>5544000</v>
      </c>
      <c r="K68" s="11">
        <v>6893000</v>
      </c>
    </row>
    <row r="69" spans="1:11" ht="19.5" customHeight="1">
      <c r="A69" s="10">
        <v>68</v>
      </c>
      <c r="B69" s="12" t="s">
        <v>403</v>
      </c>
      <c r="C69" s="14" t="s">
        <v>23</v>
      </c>
      <c r="D69" s="10">
        <v>500000</v>
      </c>
      <c r="E69" s="10">
        <v>1000000</v>
      </c>
      <c r="F69" s="10">
        <v>4160000</v>
      </c>
      <c r="G69" s="10">
        <v>4992000</v>
      </c>
      <c r="H69" s="10">
        <v>5990000</v>
      </c>
      <c r="I69" s="10">
        <v>7188000</v>
      </c>
      <c r="J69" s="10">
        <v>8626000</v>
      </c>
      <c r="K69" s="10">
        <v>10351000</v>
      </c>
    </row>
    <row r="70" spans="1:11" ht="15.75" customHeight="1"/>
    <row r="71" spans="1:11" ht="15.75" customHeight="1"/>
    <row r="72" spans="1:11" ht="15.75" customHeight="1"/>
    <row r="73" spans="1:11" ht="15.75" customHeight="1"/>
    <row r="74" spans="1:11" ht="15.75" customHeight="1"/>
    <row r="75" spans="1:11" ht="15.75" customHeight="1"/>
    <row r="76" spans="1:11" ht="15.75" customHeight="1"/>
    <row r="77" spans="1:11" ht="15.75" customHeight="1"/>
    <row r="78" spans="1:11" ht="15.75" customHeight="1"/>
    <row r="79" spans="1:11" ht="15.75" customHeight="1"/>
    <row r="80" spans="1:11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1000"/>
  <sheetViews>
    <sheetView workbookViewId="0"/>
  </sheetViews>
  <sheetFormatPr baseColWidth="10" defaultColWidth="12.6640625" defaultRowHeight="15" customHeight="1"/>
  <cols>
    <col min="1" max="1" width="10.5" customWidth="1"/>
    <col min="2" max="2" width="21.83203125" customWidth="1"/>
    <col min="3" max="3" width="10.5" customWidth="1"/>
    <col min="4" max="11" width="19.1640625" customWidth="1"/>
    <col min="12" max="22" width="7.6640625" customWidth="1"/>
  </cols>
  <sheetData>
    <row r="1" spans="1:11" ht="27.75" customHeight="1">
      <c r="A1" s="71" t="s">
        <v>0</v>
      </c>
      <c r="B1" s="71" t="s">
        <v>3</v>
      </c>
      <c r="C1" s="71" t="s">
        <v>4</v>
      </c>
      <c r="D1" s="71" t="s">
        <v>378</v>
      </c>
      <c r="E1" s="71" t="s">
        <v>379</v>
      </c>
      <c r="F1" s="71" t="s">
        <v>380</v>
      </c>
      <c r="G1" s="71" t="s">
        <v>381</v>
      </c>
      <c r="H1" s="71" t="s">
        <v>382</v>
      </c>
      <c r="I1" s="71" t="s">
        <v>383</v>
      </c>
      <c r="J1" s="71" t="s">
        <v>384</v>
      </c>
      <c r="K1" s="71" t="s">
        <v>385</v>
      </c>
    </row>
    <row r="2" spans="1:11" ht="19.5" customHeight="1">
      <c r="A2" s="11">
        <v>1</v>
      </c>
      <c r="B2" s="13" t="s">
        <v>281</v>
      </c>
      <c r="C2" s="17" t="s">
        <v>282</v>
      </c>
      <c r="D2" s="11">
        <v>500000</v>
      </c>
      <c r="E2" s="11">
        <v>1000000</v>
      </c>
      <c r="F2" s="11">
        <v>2980000</v>
      </c>
      <c r="G2" s="11">
        <v>3576000</v>
      </c>
      <c r="H2" s="11">
        <v>4291000</v>
      </c>
      <c r="I2" s="11">
        <v>5149000</v>
      </c>
      <c r="J2" s="11">
        <v>6179000</v>
      </c>
      <c r="K2" s="11">
        <v>7415000</v>
      </c>
    </row>
    <row r="3" spans="1:11" ht="19.5" customHeight="1">
      <c r="A3" s="10">
        <v>2</v>
      </c>
      <c r="B3" s="12" t="s">
        <v>250</v>
      </c>
      <c r="C3" s="14" t="s">
        <v>240</v>
      </c>
      <c r="D3" s="10">
        <v>500000</v>
      </c>
      <c r="E3" s="10">
        <v>1000000</v>
      </c>
      <c r="F3" s="10">
        <v>2500000</v>
      </c>
      <c r="G3" s="12" t="s">
        <v>319</v>
      </c>
      <c r="H3" s="12" t="s">
        <v>319</v>
      </c>
      <c r="I3" s="12" t="s">
        <v>319</v>
      </c>
      <c r="J3" s="12" t="s">
        <v>319</v>
      </c>
      <c r="K3" s="12" t="s">
        <v>319</v>
      </c>
    </row>
    <row r="4" spans="1:11" ht="19.5" customHeight="1">
      <c r="A4" s="11">
        <v>3</v>
      </c>
      <c r="B4" s="13" t="s">
        <v>255</v>
      </c>
      <c r="C4" s="17" t="s">
        <v>240</v>
      </c>
      <c r="D4" s="11">
        <v>500000</v>
      </c>
      <c r="E4" s="11">
        <v>1000000</v>
      </c>
      <c r="F4" s="11">
        <v>2500000</v>
      </c>
      <c r="G4" s="13" t="s">
        <v>319</v>
      </c>
      <c r="H4" s="13" t="s">
        <v>319</v>
      </c>
      <c r="I4" s="13" t="s">
        <v>319</v>
      </c>
      <c r="J4" s="13" t="s">
        <v>319</v>
      </c>
      <c r="K4" s="13" t="s">
        <v>319</v>
      </c>
    </row>
    <row r="5" spans="1:11" ht="19.5" customHeight="1">
      <c r="A5" s="10">
        <v>4</v>
      </c>
      <c r="B5" s="12" t="s">
        <v>254</v>
      </c>
      <c r="C5" s="14" t="s">
        <v>240</v>
      </c>
      <c r="D5" s="10">
        <v>500000</v>
      </c>
      <c r="E5" s="10">
        <v>1000000</v>
      </c>
      <c r="F5" s="10">
        <v>2500000</v>
      </c>
      <c r="G5" s="12" t="s">
        <v>319</v>
      </c>
      <c r="H5" s="12" t="s">
        <v>319</v>
      </c>
      <c r="I5" s="12" t="s">
        <v>319</v>
      </c>
      <c r="J5" s="12" t="s">
        <v>319</v>
      </c>
      <c r="K5" s="12" t="s">
        <v>319</v>
      </c>
    </row>
    <row r="6" spans="1:11" ht="19.5" customHeight="1">
      <c r="A6" s="11">
        <v>5</v>
      </c>
      <c r="B6" s="13" t="s">
        <v>22</v>
      </c>
      <c r="C6" s="17" t="s">
        <v>240</v>
      </c>
      <c r="D6" s="11">
        <v>500000</v>
      </c>
      <c r="E6" s="11">
        <v>1000000</v>
      </c>
      <c r="F6" s="11">
        <v>2500000</v>
      </c>
      <c r="G6" s="13" t="s">
        <v>319</v>
      </c>
      <c r="H6" s="13" t="s">
        <v>319</v>
      </c>
      <c r="I6" s="13" t="s">
        <v>319</v>
      </c>
      <c r="J6" s="13" t="s">
        <v>319</v>
      </c>
      <c r="K6" s="13" t="s">
        <v>319</v>
      </c>
    </row>
    <row r="7" spans="1:11" ht="19.5" customHeight="1">
      <c r="A7" s="10">
        <v>6</v>
      </c>
      <c r="B7" s="12" t="s">
        <v>264</v>
      </c>
      <c r="C7" s="14" t="s">
        <v>240</v>
      </c>
      <c r="D7" s="10">
        <v>500000</v>
      </c>
      <c r="E7" s="10">
        <v>1000000</v>
      </c>
      <c r="F7" s="10">
        <v>3000000</v>
      </c>
      <c r="G7" s="12" t="s">
        <v>319</v>
      </c>
      <c r="H7" s="12" t="s">
        <v>319</v>
      </c>
      <c r="I7" s="12" t="s">
        <v>319</v>
      </c>
      <c r="J7" s="12" t="s">
        <v>319</v>
      </c>
      <c r="K7" s="12" t="s">
        <v>319</v>
      </c>
    </row>
    <row r="8" spans="1:11" ht="19.5" customHeight="1">
      <c r="A8" s="11">
        <v>7</v>
      </c>
      <c r="B8" s="13" t="s">
        <v>112</v>
      </c>
      <c r="C8" s="17" t="s">
        <v>240</v>
      </c>
      <c r="D8" s="11">
        <v>500000</v>
      </c>
      <c r="E8" s="11">
        <v>1000000</v>
      </c>
      <c r="F8" s="11">
        <v>3500000</v>
      </c>
      <c r="G8" s="13" t="s">
        <v>319</v>
      </c>
      <c r="H8" s="13" t="s">
        <v>319</v>
      </c>
      <c r="I8" s="13" t="s">
        <v>319</v>
      </c>
      <c r="J8" s="13" t="s">
        <v>319</v>
      </c>
      <c r="K8" s="13" t="s">
        <v>319</v>
      </c>
    </row>
    <row r="9" spans="1:11" ht="19.5" customHeight="1">
      <c r="A9" s="10">
        <v>8</v>
      </c>
      <c r="B9" s="12" t="s">
        <v>105</v>
      </c>
      <c r="C9" s="14" t="s">
        <v>240</v>
      </c>
      <c r="D9" s="10">
        <v>500000</v>
      </c>
      <c r="E9" s="10">
        <v>1000000</v>
      </c>
      <c r="F9" s="10">
        <v>3500000</v>
      </c>
      <c r="G9" s="12" t="s">
        <v>319</v>
      </c>
      <c r="H9" s="12" t="s">
        <v>319</v>
      </c>
      <c r="I9" s="12" t="s">
        <v>319</v>
      </c>
      <c r="J9" s="12" t="s">
        <v>319</v>
      </c>
      <c r="K9" s="12" t="s">
        <v>319</v>
      </c>
    </row>
    <row r="10" spans="1:11" ht="19.5" customHeight="1">
      <c r="A10" s="11">
        <v>9</v>
      </c>
      <c r="B10" s="13" t="s">
        <v>260</v>
      </c>
      <c r="C10" s="17" t="s">
        <v>240</v>
      </c>
      <c r="D10" s="11">
        <v>500000</v>
      </c>
      <c r="E10" s="11">
        <v>1000000</v>
      </c>
      <c r="F10" s="11">
        <v>3500000</v>
      </c>
      <c r="G10" s="13" t="s">
        <v>319</v>
      </c>
      <c r="H10" s="13" t="s">
        <v>319</v>
      </c>
      <c r="I10" s="13" t="s">
        <v>319</v>
      </c>
      <c r="J10" s="13" t="s">
        <v>319</v>
      </c>
      <c r="K10" s="13" t="s">
        <v>319</v>
      </c>
    </row>
    <row r="11" spans="1:11" ht="19.5" customHeight="1">
      <c r="A11" s="10">
        <v>10</v>
      </c>
      <c r="B11" s="12" t="s">
        <v>257</v>
      </c>
      <c r="C11" s="14" t="s">
        <v>240</v>
      </c>
      <c r="D11" s="10">
        <v>500000</v>
      </c>
      <c r="E11" s="10">
        <v>1000000</v>
      </c>
      <c r="F11" s="10">
        <v>3500000</v>
      </c>
      <c r="G11" s="12" t="s">
        <v>319</v>
      </c>
      <c r="H11" s="12" t="s">
        <v>319</v>
      </c>
      <c r="I11" s="12" t="s">
        <v>319</v>
      </c>
      <c r="J11" s="12" t="s">
        <v>319</v>
      </c>
      <c r="K11" s="12" t="s">
        <v>319</v>
      </c>
    </row>
    <row r="12" spans="1:11" ht="19.5" customHeight="1">
      <c r="A12" s="11">
        <v>11</v>
      </c>
      <c r="B12" s="13" t="s">
        <v>261</v>
      </c>
      <c r="C12" s="17" t="s">
        <v>240</v>
      </c>
      <c r="D12" s="11">
        <v>500000</v>
      </c>
      <c r="E12" s="11">
        <v>1000000</v>
      </c>
      <c r="F12" s="11">
        <v>2000000</v>
      </c>
      <c r="G12" s="11">
        <v>2500000</v>
      </c>
      <c r="H12" s="11">
        <v>3000000</v>
      </c>
      <c r="I12" s="13" t="s">
        <v>319</v>
      </c>
      <c r="J12" s="13" t="s">
        <v>319</v>
      </c>
      <c r="K12" s="13" t="s">
        <v>319</v>
      </c>
    </row>
    <row r="13" spans="1:11" ht="19.5" customHeight="1">
      <c r="A13" s="10">
        <v>12</v>
      </c>
      <c r="B13" s="12" t="s">
        <v>262</v>
      </c>
      <c r="C13" s="14" t="s">
        <v>240</v>
      </c>
      <c r="D13" s="10">
        <v>500000</v>
      </c>
      <c r="E13" s="10">
        <v>1000000</v>
      </c>
      <c r="F13" s="10">
        <v>2000000</v>
      </c>
      <c r="G13" s="10">
        <v>2500000</v>
      </c>
      <c r="H13" s="10">
        <v>3000000</v>
      </c>
      <c r="I13" s="12" t="s">
        <v>319</v>
      </c>
      <c r="J13" s="12" t="s">
        <v>319</v>
      </c>
      <c r="K13" s="12" t="s">
        <v>319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1000"/>
  <sheetViews>
    <sheetView workbookViewId="0"/>
  </sheetViews>
  <sheetFormatPr baseColWidth="10" defaultColWidth="12.6640625" defaultRowHeight="15" customHeight="1"/>
  <cols>
    <col min="1" max="1" width="10.5" customWidth="1"/>
    <col min="2" max="2" width="40.1640625" customWidth="1"/>
    <col min="3" max="3" width="10.5" customWidth="1"/>
    <col min="4" max="7" width="24.5" customWidth="1"/>
    <col min="8" max="26" width="7.6640625" customWidth="1"/>
  </cols>
  <sheetData>
    <row r="1" spans="1:7" ht="27.75" customHeight="1">
      <c r="A1" s="72" t="s">
        <v>0</v>
      </c>
      <c r="B1" s="72" t="s">
        <v>3</v>
      </c>
      <c r="C1" s="72" t="s">
        <v>4</v>
      </c>
      <c r="D1" s="72" t="s">
        <v>362</v>
      </c>
      <c r="E1" s="72" t="s">
        <v>364</v>
      </c>
      <c r="F1" s="72" t="s">
        <v>365</v>
      </c>
      <c r="G1" s="72" t="s">
        <v>366</v>
      </c>
    </row>
    <row r="2" spans="1:7" ht="19.5" customHeight="1">
      <c r="A2" s="11">
        <v>1</v>
      </c>
      <c r="B2" s="13" t="s">
        <v>38</v>
      </c>
      <c r="C2" s="17" t="s">
        <v>23</v>
      </c>
      <c r="D2" s="11">
        <v>12000000</v>
      </c>
      <c r="E2" s="11">
        <v>12750000</v>
      </c>
      <c r="F2" s="11">
        <v>13500000</v>
      </c>
      <c r="G2" s="11">
        <v>15000000</v>
      </c>
    </row>
    <row r="3" spans="1:7" ht="19.5" customHeight="1">
      <c r="A3" s="10">
        <v>2</v>
      </c>
      <c r="B3" s="12" t="s">
        <v>43</v>
      </c>
      <c r="C3" s="14" t="s">
        <v>23</v>
      </c>
      <c r="D3" s="10">
        <v>12000000</v>
      </c>
      <c r="E3" s="10">
        <v>12750000</v>
      </c>
      <c r="F3" s="10">
        <v>13500000</v>
      </c>
      <c r="G3" s="10">
        <v>15000000</v>
      </c>
    </row>
    <row r="4" spans="1:7" ht="19.5" customHeight="1">
      <c r="A4" s="11">
        <v>3</v>
      </c>
      <c r="B4" s="13" t="s">
        <v>22</v>
      </c>
      <c r="C4" s="17" t="s">
        <v>23</v>
      </c>
      <c r="D4" s="11">
        <v>12000000</v>
      </c>
      <c r="E4" s="11">
        <v>12750000</v>
      </c>
      <c r="F4" s="11">
        <v>13500000</v>
      </c>
      <c r="G4" s="11">
        <v>15000000</v>
      </c>
    </row>
    <row r="5" spans="1:7" ht="19.5" customHeight="1">
      <c r="A5" s="10">
        <v>4</v>
      </c>
      <c r="B5" s="12" t="s">
        <v>29</v>
      </c>
      <c r="C5" s="14" t="s">
        <v>23</v>
      </c>
      <c r="D5" s="10">
        <v>12000000</v>
      </c>
      <c r="E5" s="10">
        <v>12750000</v>
      </c>
      <c r="F5" s="10">
        <v>13500000</v>
      </c>
      <c r="G5" s="10">
        <v>15000000</v>
      </c>
    </row>
    <row r="6" spans="1:7" ht="19.5" customHeight="1">
      <c r="A6" s="11">
        <v>5</v>
      </c>
      <c r="B6" s="13" t="s">
        <v>402</v>
      </c>
      <c r="C6" s="17" t="s">
        <v>23</v>
      </c>
      <c r="D6" s="11">
        <v>12000000</v>
      </c>
      <c r="E6" s="11">
        <v>12750000</v>
      </c>
      <c r="F6" s="11">
        <v>13500000</v>
      </c>
      <c r="G6" s="11">
        <v>15000000</v>
      </c>
    </row>
    <row r="7" spans="1:7" ht="19.5" customHeight="1">
      <c r="A7" s="10">
        <v>6</v>
      </c>
      <c r="B7" s="12" t="s">
        <v>369</v>
      </c>
      <c r="C7" s="14" t="s">
        <v>23</v>
      </c>
      <c r="D7" s="10">
        <v>0</v>
      </c>
      <c r="E7" s="10">
        <v>0</v>
      </c>
      <c r="F7" s="10">
        <v>0</v>
      </c>
      <c r="G7" s="10">
        <v>0</v>
      </c>
    </row>
    <row r="8" spans="1:7" ht="19.5" customHeight="1">
      <c r="A8" s="11">
        <v>7</v>
      </c>
      <c r="B8" s="13" t="s">
        <v>54</v>
      </c>
      <c r="C8" s="17" t="s">
        <v>23</v>
      </c>
      <c r="D8" s="11">
        <v>12000000</v>
      </c>
      <c r="E8" s="11">
        <v>12750000</v>
      </c>
      <c r="F8" s="11">
        <v>13500000</v>
      </c>
      <c r="G8" s="11">
        <v>15000000</v>
      </c>
    </row>
    <row r="9" spans="1:7" ht="19.5" customHeight="1">
      <c r="A9" s="10">
        <v>8</v>
      </c>
      <c r="B9" s="12" t="s">
        <v>64</v>
      </c>
      <c r="C9" s="14" t="s">
        <v>23</v>
      </c>
      <c r="D9" s="10">
        <v>4000000</v>
      </c>
      <c r="E9" s="10">
        <v>4250000</v>
      </c>
      <c r="F9" s="10">
        <v>4500000</v>
      </c>
      <c r="G9" s="10">
        <v>5000000</v>
      </c>
    </row>
    <row r="10" spans="1:7" ht="19.5" customHeight="1">
      <c r="A10" s="11">
        <v>9</v>
      </c>
      <c r="B10" s="13" t="s">
        <v>112</v>
      </c>
      <c r="C10" s="17" t="s">
        <v>23</v>
      </c>
      <c r="D10" s="11">
        <v>40000000</v>
      </c>
      <c r="E10" s="11">
        <v>42500000</v>
      </c>
      <c r="F10" s="11">
        <v>45000000</v>
      </c>
      <c r="G10" s="11">
        <v>50000000</v>
      </c>
    </row>
    <row r="11" spans="1:7" ht="19.5" customHeight="1">
      <c r="A11" s="10">
        <v>10</v>
      </c>
      <c r="B11" s="12" t="s">
        <v>105</v>
      </c>
      <c r="C11" s="14" t="s">
        <v>23</v>
      </c>
      <c r="D11" s="10">
        <v>24000000</v>
      </c>
      <c r="E11" s="10">
        <v>25500000</v>
      </c>
      <c r="F11" s="10">
        <v>27000000</v>
      </c>
      <c r="G11" s="10">
        <v>30000000</v>
      </c>
    </row>
    <row r="12" spans="1:7" ht="19.5" customHeight="1">
      <c r="A12" s="11">
        <v>11</v>
      </c>
      <c r="B12" s="13" t="s">
        <v>95</v>
      </c>
      <c r="C12" s="17" t="s">
        <v>23</v>
      </c>
      <c r="D12" s="11">
        <v>24000000</v>
      </c>
      <c r="E12" s="11">
        <v>25500000</v>
      </c>
      <c r="F12" s="11">
        <v>27000000</v>
      </c>
      <c r="G12" s="11">
        <v>30000000</v>
      </c>
    </row>
    <row r="13" spans="1:7" ht="19.5" customHeight="1">
      <c r="A13" s="10">
        <v>12</v>
      </c>
      <c r="B13" s="12" t="s">
        <v>79</v>
      </c>
      <c r="C13" s="14" t="s">
        <v>23</v>
      </c>
      <c r="D13" s="10">
        <v>32000000</v>
      </c>
      <c r="E13" s="10">
        <v>34000000</v>
      </c>
      <c r="F13" s="10">
        <v>36000000</v>
      </c>
      <c r="G13" s="10">
        <v>40000000</v>
      </c>
    </row>
    <row r="14" spans="1:7" ht="19.5" customHeight="1">
      <c r="A14" s="11">
        <v>13</v>
      </c>
      <c r="B14" s="13" t="s">
        <v>68</v>
      </c>
      <c r="C14" s="17" t="s">
        <v>23</v>
      </c>
      <c r="D14" s="11">
        <v>24000000</v>
      </c>
      <c r="E14" s="11">
        <v>25500000</v>
      </c>
      <c r="F14" s="11">
        <v>27000000</v>
      </c>
      <c r="G14" s="11">
        <v>30000000</v>
      </c>
    </row>
    <row r="15" spans="1:7" ht="19.5" customHeight="1">
      <c r="A15" s="10">
        <v>14</v>
      </c>
      <c r="B15" s="12" t="s">
        <v>13</v>
      </c>
      <c r="C15" s="14" t="s">
        <v>23</v>
      </c>
      <c r="D15" s="10">
        <v>24000000</v>
      </c>
      <c r="E15" s="10">
        <v>25500000</v>
      </c>
      <c r="F15" s="10">
        <v>27000000</v>
      </c>
      <c r="G15" s="10">
        <v>30000000</v>
      </c>
    </row>
    <row r="16" spans="1:7" ht="19.5" customHeight="1">
      <c r="A16" s="11">
        <v>15</v>
      </c>
      <c r="B16" s="13" t="s">
        <v>87</v>
      </c>
      <c r="C16" s="17" t="s">
        <v>23</v>
      </c>
      <c r="D16" s="11">
        <v>32000000</v>
      </c>
      <c r="E16" s="11">
        <v>34000000</v>
      </c>
      <c r="F16" s="11">
        <v>36000000</v>
      </c>
      <c r="G16" s="11">
        <v>40000000</v>
      </c>
    </row>
    <row r="17" spans="1:7" ht="19.5" customHeight="1">
      <c r="A17" s="10">
        <v>16</v>
      </c>
      <c r="B17" s="12" t="s">
        <v>90</v>
      </c>
      <c r="C17" s="14" t="s">
        <v>23</v>
      </c>
      <c r="D17" s="10">
        <v>24000000</v>
      </c>
      <c r="E17" s="10">
        <v>25500000</v>
      </c>
      <c r="F17" s="10">
        <v>27000000</v>
      </c>
      <c r="G17" s="10">
        <v>30000000</v>
      </c>
    </row>
    <row r="18" spans="1:7" ht="19.5" customHeight="1">
      <c r="A18" s="11">
        <v>17</v>
      </c>
      <c r="B18" s="13" t="s">
        <v>110</v>
      </c>
      <c r="C18" s="17" t="s">
        <v>23</v>
      </c>
      <c r="D18" s="11">
        <v>40000000</v>
      </c>
      <c r="E18" s="11">
        <v>42500000</v>
      </c>
      <c r="F18" s="11">
        <v>45000000</v>
      </c>
      <c r="G18" s="11">
        <v>50000000</v>
      </c>
    </row>
    <row r="19" spans="1:7" ht="19.5" customHeight="1">
      <c r="A19" s="10">
        <v>18</v>
      </c>
      <c r="B19" s="12" t="s">
        <v>74</v>
      </c>
      <c r="C19" s="14" t="s">
        <v>23</v>
      </c>
      <c r="D19" s="10">
        <v>32000000</v>
      </c>
      <c r="E19" s="10">
        <v>34000000</v>
      </c>
      <c r="F19" s="10">
        <v>36000000</v>
      </c>
      <c r="G19" s="10">
        <v>40000000</v>
      </c>
    </row>
    <row r="20" spans="1:7" ht="19.5" customHeight="1">
      <c r="A20" s="11">
        <v>19</v>
      </c>
      <c r="B20" s="13" t="s">
        <v>103</v>
      </c>
      <c r="C20" s="17" t="s">
        <v>23</v>
      </c>
      <c r="D20" s="11">
        <v>24000000</v>
      </c>
      <c r="E20" s="11">
        <v>25500000</v>
      </c>
      <c r="F20" s="11">
        <v>27000000</v>
      </c>
      <c r="G20" s="11">
        <v>30000000</v>
      </c>
    </row>
    <row r="21" spans="1:7" ht="19.5" customHeight="1">
      <c r="A21" s="10">
        <v>20</v>
      </c>
      <c r="B21" s="12" t="s">
        <v>116</v>
      </c>
      <c r="C21" s="14" t="s">
        <v>23</v>
      </c>
      <c r="D21" s="10">
        <v>12000000</v>
      </c>
      <c r="E21" s="10">
        <v>12750000</v>
      </c>
      <c r="F21" s="10">
        <v>13500000</v>
      </c>
      <c r="G21" s="10">
        <v>15000000</v>
      </c>
    </row>
    <row r="22" spans="1:7" ht="19.5" customHeight="1">
      <c r="A22" s="11">
        <v>21</v>
      </c>
      <c r="B22" s="13" t="s">
        <v>120</v>
      </c>
      <c r="C22" s="17" t="s">
        <v>23</v>
      </c>
      <c r="D22" s="11">
        <v>12000000</v>
      </c>
      <c r="E22" s="11">
        <v>12750000</v>
      </c>
      <c r="F22" s="11">
        <v>13500000</v>
      </c>
      <c r="G22" s="11">
        <v>15000000</v>
      </c>
    </row>
    <row r="23" spans="1:7" ht="19.5" customHeight="1">
      <c r="A23" s="10">
        <v>22</v>
      </c>
      <c r="B23" s="12" t="s">
        <v>127</v>
      </c>
      <c r="C23" s="14" t="s">
        <v>23</v>
      </c>
      <c r="D23" s="10">
        <v>12000000</v>
      </c>
      <c r="E23" s="10">
        <v>12750000</v>
      </c>
      <c r="F23" s="10">
        <v>13500000</v>
      </c>
      <c r="G23" s="10">
        <v>15000000</v>
      </c>
    </row>
    <row r="24" spans="1:7" ht="19.5" customHeight="1">
      <c r="A24" s="11">
        <v>23</v>
      </c>
      <c r="B24" s="13" t="s">
        <v>131</v>
      </c>
      <c r="C24" s="17" t="s">
        <v>23</v>
      </c>
      <c r="D24" s="11">
        <v>12000000</v>
      </c>
      <c r="E24" s="11">
        <v>12750000</v>
      </c>
      <c r="F24" s="11">
        <v>13500000</v>
      </c>
      <c r="G24" s="11">
        <v>15000000</v>
      </c>
    </row>
    <row r="25" spans="1:7" ht="19.5" customHeight="1">
      <c r="A25" s="10">
        <v>24</v>
      </c>
      <c r="B25" s="12" t="s">
        <v>144</v>
      </c>
      <c r="C25" s="14" t="s">
        <v>23</v>
      </c>
      <c r="D25" s="10">
        <v>12000000</v>
      </c>
      <c r="E25" s="10">
        <v>12750000</v>
      </c>
      <c r="F25" s="10">
        <v>13500000</v>
      </c>
      <c r="G25" s="10">
        <v>15000000</v>
      </c>
    </row>
    <row r="26" spans="1:7" ht="19.5" customHeight="1">
      <c r="A26" s="11">
        <v>25</v>
      </c>
      <c r="B26" s="13" t="s">
        <v>137</v>
      </c>
      <c r="C26" s="17" t="s">
        <v>23</v>
      </c>
      <c r="D26" s="11">
        <v>12000000</v>
      </c>
      <c r="E26" s="11">
        <v>12750000</v>
      </c>
      <c r="F26" s="11">
        <v>13500000</v>
      </c>
      <c r="G26" s="11">
        <v>15000000</v>
      </c>
    </row>
    <row r="27" spans="1:7" ht="19.5" customHeight="1">
      <c r="A27" s="10">
        <v>26</v>
      </c>
      <c r="B27" s="12" t="s">
        <v>373</v>
      </c>
      <c r="C27" s="14" t="s">
        <v>23</v>
      </c>
      <c r="D27" s="10">
        <v>12000000</v>
      </c>
      <c r="E27" s="10">
        <v>12750000</v>
      </c>
      <c r="F27" s="10">
        <v>13500000</v>
      </c>
      <c r="G27" s="10">
        <v>15000000</v>
      </c>
    </row>
    <row r="28" spans="1:7" ht="19.5" customHeight="1">
      <c r="A28" s="11">
        <v>27</v>
      </c>
      <c r="B28" s="13" t="s">
        <v>147</v>
      </c>
      <c r="C28" s="17" t="s">
        <v>23</v>
      </c>
      <c r="D28" s="11">
        <v>12000000</v>
      </c>
      <c r="E28" s="11">
        <v>12750000</v>
      </c>
      <c r="F28" s="11">
        <v>13500000</v>
      </c>
      <c r="G28" s="11">
        <v>15000000</v>
      </c>
    </row>
    <row r="29" spans="1:7" ht="19.5" customHeight="1">
      <c r="A29" s="10">
        <v>28</v>
      </c>
      <c r="B29" s="12" t="s">
        <v>374</v>
      </c>
      <c r="C29" s="14" t="s">
        <v>23</v>
      </c>
      <c r="D29" s="10">
        <v>0</v>
      </c>
      <c r="E29" s="10">
        <v>0</v>
      </c>
      <c r="F29" s="10">
        <v>0</v>
      </c>
      <c r="G29" s="10">
        <v>0</v>
      </c>
    </row>
    <row r="30" spans="1:7" ht="19.5" customHeight="1">
      <c r="A30" s="11">
        <v>29</v>
      </c>
      <c r="B30" s="13" t="s">
        <v>368</v>
      </c>
      <c r="C30" s="17" t="s">
        <v>23</v>
      </c>
      <c r="D30" s="11">
        <v>0</v>
      </c>
      <c r="E30" s="11">
        <v>0</v>
      </c>
      <c r="F30" s="11">
        <v>0</v>
      </c>
      <c r="G30" s="11">
        <v>0</v>
      </c>
    </row>
    <row r="31" spans="1:7" ht="19.5" customHeight="1">
      <c r="A31" s="10">
        <v>30</v>
      </c>
      <c r="B31" s="12" t="s">
        <v>375</v>
      </c>
      <c r="C31" s="14" t="s">
        <v>23</v>
      </c>
      <c r="D31" s="10">
        <v>4000000</v>
      </c>
      <c r="E31" s="10">
        <v>4250000</v>
      </c>
      <c r="F31" s="10">
        <v>4500000</v>
      </c>
      <c r="G31" s="10">
        <v>5000000</v>
      </c>
    </row>
    <row r="32" spans="1:7" ht="19.5" customHeight="1">
      <c r="A32" s="11">
        <v>31</v>
      </c>
      <c r="B32" s="13" t="s">
        <v>160</v>
      </c>
      <c r="C32" s="17" t="s">
        <v>23</v>
      </c>
      <c r="D32" s="11">
        <v>4000000</v>
      </c>
      <c r="E32" s="11">
        <v>4250000</v>
      </c>
      <c r="F32" s="11">
        <v>4500000</v>
      </c>
      <c r="G32" s="11">
        <v>5000000</v>
      </c>
    </row>
    <row r="33" spans="1:7" ht="19.5" customHeight="1">
      <c r="A33" s="10">
        <v>32</v>
      </c>
      <c r="B33" s="12" t="s">
        <v>376</v>
      </c>
      <c r="C33" s="14" t="s">
        <v>23</v>
      </c>
      <c r="D33" s="10">
        <v>4000000</v>
      </c>
      <c r="E33" s="10">
        <v>4250000</v>
      </c>
      <c r="F33" s="10">
        <v>4500000</v>
      </c>
      <c r="G33" s="10">
        <v>5000000</v>
      </c>
    </row>
    <row r="34" spans="1:7" ht="19.5" customHeight="1">
      <c r="A34" s="11">
        <v>33</v>
      </c>
      <c r="B34" s="13" t="s">
        <v>190</v>
      </c>
      <c r="C34" s="17" t="s">
        <v>23</v>
      </c>
      <c r="D34" s="11">
        <v>4000000</v>
      </c>
      <c r="E34" s="11">
        <v>4250000</v>
      </c>
      <c r="F34" s="11">
        <v>4500000</v>
      </c>
      <c r="G34" s="11">
        <v>5000000</v>
      </c>
    </row>
    <row r="35" spans="1:7" ht="19.5" customHeight="1">
      <c r="A35" s="10">
        <v>34</v>
      </c>
      <c r="B35" s="12" t="s">
        <v>297</v>
      </c>
      <c r="C35" s="14" t="s">
        <v>23</v>
      </c>
      <c r="D35" s="10">
        <v>4000000</v>
      </c>
      <c r="E35" s="10">
        <v>4250000</v>
      </c>
      <c r="F35" s="10">
        <v>4500000</v>
      </c>
      <c r="G35" s="10">
        <v>5000000</v>
      </c>
    </row>
    <row r="36" spans="1:7" ht="19.5" customHeight="1">
      <c r="A36" s="11">
        <v>35</v>
      </c>
      <c r="B36" s="13" t="s">
        <v>377</v>
      </c>
      <c r="C36" s="17" t="s">
        <v>23</v>
      </c>
      <c r="D36" s="11">
        <v>4000000</v>
      </c>
      <c r="E36" s="11">
        <v>4250000</v>
      </c>
      <c r="F36" s="11">
        <v>4500000</v>
      </c>
      <c r="G36" s="11">
        <v>5000000</v>
      </c>
    </row>
    <row r="37" spans="1:7" ht="19.5" customHeight="1">
      <c r="A37" s="10">
        <v>36</v>
      </c>
      <c r="B37" s="12" t="s">
        <v>153</v>
      </c>
      <c r="C37" s="14" t="s">
        <v>23</v>
      </c>
      <c r="D37" s="10">
        <v>4000000</v>
      </c>
      <c r="E37" s="10">
        <v>4250000</v>
      </c>
      <c r="F37" s="10">
        <v>4500000</v>
      </c>
      <c r="G37" s="10">
        <v>5000000</v>
      </c>
    </row>
    <row r="38" spans="1:7" ht="19.5" customHeight="1">
      <c r="A38" s="11">
        <v>37</v>
      </c>
      <c r="B38" s="13" t="s">
        <v>293</v>
      </c>
      <c r="C38" s="17" t="s">
        <v>23</v>
      </c>
      <c r="D38" s="11">
        <v>4000000</v>
      </c>
      <c r="E38" s="11">
        <v>4250000</v>
      </c>
      <c r="F38" s="11">
        <v>4500000</v>
      </c>
      <c r="G38" s="11">
        <v>5000000</v>
      </c>
    </row>
    <row r="39" spans="1:7" ht="19.5" customHeight="1">
      <c r="A39" s="10">
        <v>38</v>
      </c>
      <c r="B39" s="12" t="s">
        <v>345</v>
      </c>
      <c r="C39" s="14" t="s">
        <v>23</v>
      </c>
      <c r="D39" s="10">
        <v>4000000</v>
      </c>
      <c r="E39" s="10">
        <v>4250000</v>
      </c>
      <c r="F39" s="10">
        <v>4500000</v>
      </c>
      <c r="G39" s="10">
        <v>5000000</v>
      </c>
    </row>
    <row r="40" spans="1:7" ht="19.5" customHeight="1">
      <c r="A40" s="11">
        <v>39</v>
      </c>
      <c r="B40" s="13" t="s">
        <v>164</v>
      </c>
      <c r="C40" s="17" t="s">
        <v>23</v>
      </c>
      <c r="D40" s="11">
        <v>4000000</v>
      </c>
      <c r="E40" s="11">
        <v>4250000</v>
      </c>
      <c r="F40" s="11">
        <v>4500000</v>
      </c>
      <c r="G40" s="11">
        <v>5000000</v>
      </c>
    </row>
    <row r="41" spans="1:7" ht="19.5" customHeight="1">
      <c r="A41" s="10">
        <v>40</v>
      </c>
      <c r="B41" s="12" t="s">
        <v>182</v>
      </c>
      <c r="C41" s="14" t="s">
        <v>23</v>
      </c>
      <c r="D41" s="10">
        <v>4000000</v>
      </c>
      <c r="E41" s="10">
        <v>4250000</v>
      </c>
      <c r="F41" s="10">
        <v>4500000</v>
      </c>
      <c r="G41" s="10">
        <v>5000000</v>
      </c>
    </row>
    <row r="42" spans="1:7" ht="19.5" customHeight="1">
      <c r="A42" s="11">
        <v>41</v>
      </c>
      <c r="B42" s="13" t="s">
        <v>155</v>
      </c>
      <c r="C42" s="17" t="s">
        <v>23</v>
      </c>
      <c r="D42" s="11">
        <v>4000000</v>
      </c>
      <c r="E42" s="11">
        <v>4250000</v>
      </c>
      <c r="F42" s="11">
        <v>4500000</v>
      </c>
      <c r="G42" s="11">
        <v>5000000</v>
      </c>
    </row>
    <row r="43" spans="1:7" ht="19.5" customHeight="1">
      <c r="A43" s="10">
        <v>42</v>
      </c>
      <c r="B43" s="12" t="s">
        <v>178</v>
      </c>
      <c r="C43" s="14" t="s">
        <v>23</v>
      </c>
      <c r="D43" s="10">
        <v>4000000</v>
      </c>
      <c r="E43" s="10">
        <v>4250000</v>
      </c>
      <c r="F43" s="10">
        <v>4500000</v>
      </c>
      <c r="G43" s="10">
        <v>5000000</v>
      </c>
    </row>
    <row r="44" spans="1:7" ht="19.5" customHeight="1">
      <c r="A44" s="11">
        <v>43</v>
      </c>
      <c r="B44" s="13" t="s">
        <v>185</v>
      </c>
      <c r="C44" s="17" t="s">
        <v>23</v>
      </c>
      <c r="D44" s="11">
        <v>4000000</v>
      </c>
      <c r="E44" s="11">
        <v>4250000</v>
      </c>
      <c r="F44" s="11">
        <v>4500000</v>
      </c>
      <c r="G44" s="11">
        <v>5000000</v>
      </c>
    </row>
    <row r="45" spans="1:7" ht="19.5" customHeight="1">
      <c r="A45" s="10">
        <v>44</v>
      </c>
      <c r="B45" s="12" t="s">
        <v>166</v>
      </c>
      <c r="C45" s="14" t="s">
        <v>23</v>
      </c>
      <c r="D45" s="10">
        <v>4000000</v>
      </c>
      <c r="E45" s="10">
        <v>4250000</v>
      </c>
      <c r="F45" s="10">
        <v>4500000</v>
      </c>
      <c r="G45" s="10">
        <v>5000000</v>
      </c>
    </row>
    <row r="46" spans="1:7" ht="19.5" customHeight="1">
      <c r="A46" s="11">
        <v>45</v>
      </c>
      <c r="B46" s="13" t="s">
        <v>151</v>
      </c>
      <c r="C46" s="17" t="s">
        <v>23</v>
      </c>
      <c r="D46" s="11">
        <v>4000000</v>
      </c>
      <c r="E46" s="11">
        <v>4250000</v>
      </c>
      <c r="F46" s="11">
        <v>4500000</v>
      </c>
      <c r="G46" s="11">
        <v>5000000</v>
      </c>
    </row>
    <row r="47" spans="1:7" ht="19.5" customHeight="1">
      <c r="A47" s="10">
        <v>46</v>
      </c>
      <c r="B47" s="12" t="s">
        <v>408</v>
      </c>
      <c r="C47" s="14" t="s">
        <v>23</v>
      </c>
      <c r="D47" s="10">
        <v>0</v>
      </c>
      <c r="E47" s="10">
        <v>0</v>
      </c>
      <c r="F47" s="10">
        <v>0</v>
      </c>
      <c r="G47" s="10">
        <v>0</v>
      </c>
    </row>
    <row r="48" spans="1:7" ht="19.5" customHeight="1">
      <c r="A48" s="11">
        <v>47</v>
      </c>
      <c r="B48" s="13" t="s">
        <v>194</v>
      </c>
      <c r="C48" s="17" t="s">
        <v>23</v>
      </c>
      <c r="D48" s="11">
        <v>76617000</v>
      </c>
      <c r="E48" s="11">
        <v>153234000</v>
      </c>
      <c r="F48" s="11">
        <v>229851000</v>
      </c>
      <c r="G48" s="11">
        <v>250000000</v>
      </c>
    </row>
    <row r="49" spans="1:7" ht="19.5" customHeight="1">
      <c r="A49" s="10">
        <v>48</v>
      </c>
      <c r="B49" s="12" t="s">
        <v>195</v>
      </c>
      <c r="C49" s="14" t="s">
        <v>23</v>
      </c>
      <c r="D49" s="10">
        <v>14708000</v>
      </c>
      <c r="E49" s="10">
        <v>29416000</v>
      </c>
      <c r="F49" s="10">
        <v>30000000</v>
      </c>
      <c r="G49" s="10">
        <v>30000000</v>
      </c>
    </row>
    <row r="50" spans="1:7" ht="19.5" customHeight="1">
      <c r="A50" s="11">
        <v>49</v>
      </c>
      <c r="B50" s="13" t="s">
        <v>206</v>
      </c>
      <c r="C50" s="17" t="s">
        <v>23</v>
      </c>
      <c r="D50" s="11">
        <v>4000000</v>
      </c>
      <c r="E50" s="11">
        <v>4250000</v>
      </c>
      <c r="F50" s="11">
        <v>4500000</v>
      </c>
      <c r="G50" s="11">
        <v>5000000</v>
      </c>
    </row>
    <row r="51" spans="1:7" ht="19.5" customHeight="1">
      <c r="A51" s="10">
        <v>50</v>
      </c>
      <c r="B51" s="12" t="s">
        <v>203</v>
      </c>
      <c r="C51" s="14" t="s">
        <v>23</v>
      </c>
      <c r="D51" s="10">
        <v>4000000</v>
      </c>
      <c r="E51" s="10">
        <v>4250000</v>
      </c>
      <c r="F51" s="10">
        <v>4500000</v>
      </c>
      <c r="G51" s="10">
        <v>5000000</v>
      </c>
    </row>
    <row r="52" spans="1:7" ht="19.5" customHeight="1">
      <c r="A52" s="11">
        <v>51</v>
      </c>
      <c r="B52" s="13" t="s">
        <v>204</v>
      </c>
      <c r="C52" s="17" t="s">
        <v>23</v>
      </c>
      <c r="D52" s="11">
        <v>4000000</v>
      </c>
      <c r="E52" s="11">
        <v>4250000</v>
      </c>
      <c r="F52" s="11">
        <v>4500000</v>
      </c>
      <c r="G52" s="11">
        <v>5000000</v>
      </c>
    </row>
    <row r="53" spans="1:7" ht="19.5" customHeight="1">
      <c r="A53" s="10">
        <v>52</v>
      </c>
      <c r="B53" s="12" t="s">
        <v>28</v>
      </c>
      <c r="C53" s="14" t="s">
        <v>23</v>
      </c>
      <c r="D53" s="10">
        <v>4000000</v>
      </c>
      <c r="E53" s="10">
        <v>4250000</v>
      </c>
      <c r="F53" s="10">
        <v>4500000</v>
      </c>
      <c r="G53" s="10">
        <v>5000000</v>
      </c>
    </row>
    <row r="54" spans="1:7" ht="19.5" customHeight="1">
      <c r="A54" s="11">
        <v>53</v>
      </c>
      <c r="B54" s="13" t="s">
        <v>209</v>
      </c>
      <c r="C54" s="17" t="s">
        <v>23</v>
      </c>
      <c r="D54" s="11">
        <v>20000000</v>
      </c>
      <c r="E54" s="11">
        <v>21250000</v>
      </c>
      <c r="F54" s="11">
        <v>22500000</v>
      </c>
      <c r="G54" s="11">
        <v>25000000</v>
      </c>
    </row>
    <row r="55" spans="1:7" ht="19.5" customHeight="1">
      <c r="A55" s="10">
        <v>54</v>
      </c>
      <c r="B55" s="12" t="s">
        <v>208</v>
      </c>
      <c r="C55" s="14" t="s">
        <v>23</v>
      </c>
      <c r="D55" s="10">
        <v>8000000</v>
      </c>
      <c r="E55" s="10">
        <v>8500000</v>
      </c>
      <c r="F55" s="10">
        <v>9000000</v>
      </c>
      <c r="G55" s="10">
        <v>10000000</v>
      </c>
    </row>
    <row r="56" spans="1:7" ht="19.5" customHeight="1">
      <c r="A56" s="11">
        <v>55</v>
      </c>
      <c r="B56" s="13" t="s">
        <v>202</v>
      </c>
      <c r="C56" s="17" t="s">
        <v>23</v>
      </c>
      <c r="D56" s="11">
        <v>24000000</v>
      </c>
      <c r="E56" s="11">
        <v>25500000</v>
      </c>
      <c r="F56" s="11">
        <v>27000000</v>
      </c>
      <c r="G56" s="11">
        <v>30000000</v>
      </c>
    </row>
    <row r="57" spans="1:7" ht="19.5" customHeight="1">
      <c r="A57" s="10">
        <v>56</v>
      </c>
      <c r="B57" s="12" t="s">
        <v>218</v>
      </c>
      <c r="C57" s="14" t="s">
        <v>23</v>
      </c>
      <c r="D57" s="10">
        <v>4000000</v>
      </c>
      <c r="E57" s="10">
        <v>4250000</v>
      </c>
      <c r="F57" s="10">
        <v>4500000</v>
      </c>
      <c r="G57" s="10">
        <v>5000000</v>
      </c>
    </row>
    <row r="58" spans="1:7" ht="19.5" customHeight="1">
      <c r="A58" s="11">
        <v>57</v>
      </c>
      <c r="B58" s="13" t="s">
        <v>211</v>
      </c>
      <c r="C58" s="17" t="s">
        <v>23</v>
      </c>
      <c r="D58" s="11">
        <v>4000000</v>
      </c>
      <c r="E58" s="11">
        <v>4250000</v>
      </c>
      <c r="F58" s="11">
        <v>4500000</v>
      </c>
      <c r="G58" s="11">
        <v>5000000</v>
      </c>
    </row>
    <row r="59" spans="1:7" ht="19.5" customHeight="1">
      <c r="A59" s="10">
        <v>58</v>
      </c>
      <c r="B59" s="12" t="s">
        <v>214</v>
      </c>
      <c r="C59" s="14" t="s">
        <v>23</v>
      </c>
      <c r="D59" s="10">
        <v>4000000</v>
      </c>
      <c r="E59" s="10">
        <v>4250000</v>
      </c>
      <c r="F59" s="10">
        <v>4500000</v>
      </c>
      <c r="G59" s="10">
        <v>5000000</v>
      </c>
    </row>
    <row r="60" spans="1:7" ht="19.5" customHeight="1">
      <c r="A60" s="11">
        <v>59</v>
      </c>
      <c r="B60" s="13" t="s">
        <v>212</v>
      </c>
      <c r="C60" s="17" t="s">
        <v>23</v>
      </c>
      <c r="D60" s="11">
        <v>4000000</v>
      </c>
      <c r="E60" s="11">
        <v>4250000</v>
      </c>
      <c r="F60" s="11">
        <v>4500000</v>
      </c>
      <c r="G60" s="11">
        <v>5000000</v>
      </c>
    </row>
    <row r="61" spans="1:7" ht="19.5" customHeight="1">
      <c r="A61" s="10">
        <v>60</v>
      </c>
      <c r="B61" s="12" t="s">
        <v>27</v>
      </c>
      <c r="C61" s="14" t="s">
        <v>23</v>
      </c>
      <c r="D61" s="10">
        <v>15348000</v>
      </c>
      <c r="E61" s="10">
        <v>30696000</v>
      </c>
      <c r="F61" s="10">
        <v>40000000</v>
      </c>
      <c r="G61" s="10">
        <v>40000000</v>
      </c>
    </row>
    <row r="62" spans="1:7" ht="19.5" customHeight="1">
      <c r="A62" s="11">
        <v>61</v>
      </c>
      <c r="B62" s="13" t="s">
        <v>233</v>
      </c>
      <c r="C62" s="17" t="s">
        <v>23</v>
      </c>
      <c r="D62" s="11">
        <v>76618000</v>
      </c>
      <c r="E62" s="11">
        <v>153236000</v>
      </c>
      <c r="F62" s="11">
        <v>229854000</v>
      </c>
      <c r="G62" s="11">
        <v>250000000</v>
      </c>
    </row>
    <row r="63" spans="1:7" ht="19.5" customHeight="1">
      <c r="A63" s="10">
        <v>62</v>
      </c>
      <c r="B63" s="12" t="s">
        <v>226</v>
      </c>
      <c r="C63" s="14" t="s">
        <v>23</v>
      </c>
      <c r="D63" s="10">
        <v>4800000</v>
      </c>
      <c r="E63" s="10">
        <v>5100000</v>
      </c>
      <c r="F63" s="10">
        <v>5400000</v>
      </c>
      <c r="G63" s="10">
        <v>6000000</v>
      </c>
    </row>
    <row r="64" spans="1:7" ht="19.5" customHeight="1">
      <c r="A64" s="11">
        <v>63</v>
      </c>
      <c r="B64" s="13" t="s">
        <v>308</v>
      </c>
      <c r="C64" s="17" t="s">
        <v>23</v>
      </c>
      <c r="D64" s="11">
        <v>4800000</v>
      </c>
      <c r="E64" s="11">
        <v>5100000</v>
      </c>
      <c r="F64" s="11">
        <v>5400000</v>
      </c>
      <c r="G64" s="11">
        <v>6000000</v>
      </c>
    </row>
    <row r="65" spans="1:7" ht="19.5" customHeight="1">
      <c r="A65" s="10">
        <v>64</v>
      </c>
      <c r="B65" s="12" t="s">
        <v>230</v>
      </c>
      <c r="C65" s="14" t="s">
        <v>23</v>
      </c>
      <c r="D65" s="10">
        <v>4800000</v>
      </c>
      <c r="E65" s="10">
        <v>5100000</v>
      </c>
      <c r="F65" s="10">
        <v>5400000</v>
      </c>
      <c r="G65" s="10">
        <v>6000000</v>
      </c>
    </row>
    <row r="66" spans="1:7" ht="19.5" customHeight="1">
      <c r="A66" s="11">
        <v>65</v>
      </c>
      <c r="B66" s="13" t="s">
        <v>399</v>
      </c>
      <c r="C66" s="17" t="s">
        <v>23</v>
      </c>
      <c r="D66" s="11">
        <v>0</v>
      </c>
      <c r="E66" s="11">
        <v>0</v>
      </c>
      <c r="F66" s="11">
        <v>0</v>
      </c>
      <c r="G66" s="11">
        <v>0</v>
      </c>
    </row>
    <row r="67" spans="1:7" ht="19.5" customHeight="1">
      <c r="A67" s="10">
        <v>66</v>
      </c>
      <c r="B67" s="12" t="s">
        <v>400</v>
      </c>
      <c r="C67" s="14" t="s">
        <v>23</v>
      </c>
      <c r="D67" s="10">
        <v>0</v>
      </c>
      <c r="E67" s="10">
        <v>0</v>
      </c>
      <c r="F67" s="10">
        <v>0</v>
      </c>
      <c r="G67" s="10">
        <v>0</v>
      </c>
    </row>
    <row r="68" spans="1:7" ht="19.5" customHeight="1">
      <c r="A68" s="11">
        <v>67</v>
      </c>
      <c r="B68" s="13" t="s">
        <v>401</v>
      </c>
      <c r="C68" s="17" t="s">
        <v>23</v>
      </c>
      <c r="D68" s="11">
        <v>0</v>
      </c>
      <c r="E68" s="11">
        <v>0</v>
      </c>
      <c r="F68" s="11">
        <v>0</v>
      </c>
      <c r="G68" s="11">
        <v>0</v>
      </c>
    </row>
    <row r="69" spans="1:7" ht="19.5" customHeight="1">
      <c r="A69" s="10">
        <v>68</v>
      </c>
      <c r="B69" s="12" t="s">
        <v>403</v>
      </c>
      <c r="C69" s="14" t="s">
        <v>23</v>
      </c>
      <c r="D69" s="10">
        <v>4800000</v>
      </c>
      <c r="E69" s="10">
        <v>5100000</v>
      </c>
      <c r="F69" s="10">
        <v>5400000</v>
      </c>
      <c r="G69" s="10">
        <v>6000000</v>
      </c>
    </row>
    <row r="70" spans="1:7" ht="19.5" customHeight="1">
      <c r="A70" s="11">
        <v>69</v>
      </c>
      <c r="B70" s="13" t="s">
        <v>281</v>
      </c>
      <c r="C70" s="17" t="s">
        <v>282</v>
      </c>
      <c r="D70" s="11">
        <v>12000000</v>
      </c>
      <c r="E70" s="11">
        <v>12750000</v>
      </c>
      <c r="F70" s="11">
        <v>13500000</v>
      </c>
      <c r="G70" s="11">
        <v>15000000</v>
      </c>
    </row>
    <row r="71" spans="1:7" ht="19.5" customHeight="1">
      <c r="A71" s="10">
        <v>70</v>
      </c>
      <c r="B71" s="12" t="s">
        <v>250</v>
      </c>
      <c r="C71" s="14" t="s">
        <v>240</v>
      </c>
      <c r="D71" s="10">
        <v>0</v>
      </c>
      <c r="E71" s="10">
        <v>0</v>
      </c>
      <c r="F71" s="10">
        <v>0</v>
      </c>
      <c r="G71" s="10">
        <v>0</v>
      </c>
    </row>
    <row r="72" spans="1:7" ht="19.5" customHeight="1">
      <c r="A72" s="11">
        <v>71</v>
      </c>
      <c r="B72" s="13" t="s">
        <v>255</v>
      </c>
      <c r="C72" s="17" t="s">
        <v>240</v>
      </c>
      <c r="D72" s="11">
        <v>0</v>
      </c>
      <c r="E72" s="11">
        <v>0</v>
      </c>
      <c r="F72" s="11">
        <v>0</v>
      </c>
      <c r="G72" s="11">
        <v>0</v>
      </c>
    </row>
    <row r="73" spans="1:7" ht="19.5" customHeight="1">
      <c r="A73" s="10">
        <v>72</v>
      </c>
      <c r="B73" s="12" t="s">
        <v>254</v>
      </c>
      <c r="C73" s="14" t="s">
        <v>240</v>
      </c>
      <c r="D73" s="10">
        <v>0</v>
      </c>
      <c r="E73" s="10">
        <v>0</v>
      </c>
      <c r="F73" s="10">
        <v>0</v>
      </c>
      <c r="G73" s="10">
        <v>0</v>
      </c>
    </row>
    <row r="74" spans="1:7" ht="19.5" customHeight="1">
      <c r="A74" s="11">
        <v>73</v>
      </c>
      <c r="B74" s="13" t="s">
        <v>22</v>
      </c>
      <c r="C74" s="17" t="s">
        <v>240</v>
      </c>
      <c r="D74" s="11">
        <v>0</v>
      </c>
      <c r="E74" s="11">
        <v>0</v>
      </c>
      <c r="F74" s="11">
        <v>0</v>
      </c>
      <c r="G74" s="11">
        <v>0</v>
      </c>
    </row>
    <row r="75" spans="1:7" ht="19.5" customHeight="1">
      <c r="A75" s="10">
        <v>74</v>
      </c>
      <c r="B75" s="12" t="s">
        <v>264</v>
      </c>
      <c r="C75" s="14" t="s">
        <v>240</v>
      </c>
      <c r="D75" s="10">
        <v>0</v>
      </c>
      <c r="E75" s="10">
        <v>0</v>
      </c>
      <c r="F75" s="10">
        <v>0</v>
      </c>
      <c r="G75" s="10">
        <v>0</v>
      </c>
    </row>
    <row r="76" spans="1:7" ht="19.5" customHeight="1">
      <c r="A76" s="11">
        <v>75</v>
      </c>
      <c r="B76" s="13" t="s">
        <v>112</v>
      </c>
      <c r="C76" s="17" t="s">
        <v>240</v>
      </c>
      <c r="D76" s="11">
        <v>0</v>
      </c>
      <c r="E76" s="11">
        <v>0</v>
      </c>
      <c r="F76" s="11">
        <v>0</v>
      </c>
      <c r="G76" s="11">
        <v>0</v>
      </c>
    </row>
    <row r="77" spans="1:7" ht="19.5" customHeight="1">
      <c r="A77" s="10">
        <v>76</v>
      </c>
      <c r="B77" s="12" t="s">
        <v>105</v>
      </c>
      <c r="C77" s="14" t="s">
        <v>240</v>
      </c>
      <c r="D77" s="10">
        <v>0</v>
      </c>
      <c r="E77" s="10">
        <v>0</v>
      </c>
      <c r="F77" s="10">
        <v>0</v>
      </c>
      <c r="G77" s="10">
        <v>0</v>
      </c>
    </row>
    <row r="78" spans="1:7" ht="19.5" customHeight="1">
      <c r="A78" s="11">
        <v>77</v>
      </c>
      <c r="B78" s="13" t="s">
        <v>260</v>
      </c>
      <c r="C78" s="17" t="s">
        <v>240</v>
      </c>
      <c r="D78" s="11">
        <v>0</v>
      </c>
      <c r="E78" s="11">
        <v>0</v>
      </c>
      <c r="F78" s="11">
        <v>0</v>
      </c>
      <c r="G78" s="11">
        <v>0</v>
      </c>
    </row>
    <row r="79" spans="1:7" ht="19.5" customHeight="1">
      <c r="A79" s="10">
        <v>78</v>
      </c>
      <c r="B79" s="12" t="s">
        <v>257</v>
      </c>
      <c r="C79" s="14" t="s">
        <v>240</v>
      </c>
      <c r="D79" s="10">
        <v>0</v>
      </c>
      <c r="E79" s="10">
        <v>0</v>
      </c>
      <c r="F79" s="10">
        <v>0</v>
      </c>
      <c r="G79" s="10">
        <v>0</v>
      </c>
    </row>
    <row r="80" spans="1:7" ht="19.5" customHeight="1">
      <c r="A80" s="11">
        <v>79</v>
      </c>
      <c r="B80" s="13" t="s">
        <v>261</v>
      </c>
      <c r="C80" s="17" t="s">
        <v>240</v>
      </c>
      <c r="D80" s="11">
        <v>0</v>
      </c>
      <c r="E80" s="11">
        <v>0</v>
      </c>
      <c r="F80" s="11">
        <v>0</v>
      </c>
      <c r="G80" s="11">
        <v>0</v>
      </c>
    </row>
    <row r="81" spans="1:7" ht="19.5" customHeight="1">
      <c r="A81" s="10">
        <v>80</v>
      </c>
      <c r="B81" s="12" t="s">
        <v>262</v>
      </c>
      <c r="C81" s="14" t="s">
        <v>240</v>
      </c>
      <c r="D81" s="10">
        <v>0</v>
      </c>
      <c r="E81" s="10">
        <v>0</v>
      </c>
      <c r="F81" s="10">
        <v>0</v>
      </c>
      <c r="G81" s="10">
        <v>0</v>
      </c>
    </row>
    <row r="82" spans="1:7" ht="15.75" customHeight="1"/>
    <row r="83" spans="1:7" ht="15.75" customHeight="1"/>
    <row r="84" spans="1:7" ht="15.75" customHeight="1"/>
    <row r="85" spans="1:7" ht="15.75" customHeight="1"/>
    <row r="86" spans="1:7" ht="15.75" customHeight="1"/>
    <row r="87" spans="1:7" ht="15.75" customHeight="1"/>
    <row r="88" spans="1:7" ht="15.75" customHeight="1"/>
    <row r="89" spans="1:7" ht="15.75" customHeight="1"/>
    <row r="90" spans="1:7" ht="15.75" customHeight="1"/>
    <row r="91" spans="1:7" ht="15.75" customHeight="1"/>
    <row r="92" spans="1:7" ht="15.75" customHeight="1"/>
    <row r="93" spans="1:7" ht="15.75" customHeight="1"/>
    <row r="94" spans="1:7" ht="15.75" customHeight="1"/>
    <row r="95" spans="1:7" ht="15.75" customHeight="1"/>
    <row r="96" spans="1:7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1000"/>
  <sheetViews>
    <sheetView workbookViewId="0"/>
  </sheetViews>
  <sheetFormatPr baseColWidth="10" defaultColWidth="12.6640625" defaultRowHeight="15" customHeight="1"/>
  <cols>
    <col min="1" max="1" width="10.5" customWidth="1"/>
    <col min="2" max="2" width="38.5" customWidth="1"/>
    <col min="3" max="3" width="10.5" customWidth="1"/>
    <col min="4" max="11" width="19.1640625" customWidth="1"/>
    <col min="12" max="22" width="7.6640625" customWidth="1"/>
  </cols>
  <sheetData>
    <row r="1" spans="1:11" ht="27.75" customHeight="1">
      <c r="A1" s="73" t="s">
        <v>0</v>
      </c>
      <c r="B1" s="73" t="s">
        <v>3</v>
      </c>
      <c r="C1" s="73" t="s">
        <v>4</v>
      </c>
      <c r="D1" s="73" t="s">
        <v>378</v>
      </c>
      <c r="E1" s="73" t="s">
        <v>379</v>
      </c>
      <c r="F1" s="73" t="s">
        <v>380</v>
      </c>
      <c r="G1" s="73" t="s">
        <v>381</v>
      </c>
      <c r="H1" s="73" t="s">
        <v>382</v>
      </c>
      <c r="I1" s="73" t="s">
        <v>383</v>
      </c>
      <c r="J1" s="73" t="s">
        <v>384</v>
      </c>
      <c r="K1" s="73" t="s">
        <v>385</v>
      </c>
    </row>
    <row r="2" spans="1:11" ht="19.5" customHeight="1">
      <c r="A2" s="11">
        <v>1</v>
      </c>
      <c r="B2" s="13" t="s">
        <v>116</v>
      </c>
      <c r="C2" s="17" t="s">
        <v>23</v>
      </c>
      <c r="D2" s="11">
        <v>500000</v>
      </c>
      <c r="E2" s="11">
        <v>1000000</v>
      </c>
      <c r="F2" s="11">
        <v>3940000</v>
      </c>
      <c r="G2" s="11">
        <v>4728000</v>
      </c>
      <c r="H2" s="11">
        <v>5674000</v>
      </c>
      <c r="I2" s="11">
        <v>6808000</v>
      </c>
      <c r="J2" s="11">
        <v>8170000</v>
      </c>
      <c r="K2" s="11">
        <v>9804000</v>
      </c>
    </row>
    <row r="3" spans="1:11" ht="19.5" customHeight="1">
      <c r="A3" s="10">
        <v>2</v>
      </c>
      <c r="B3" s="12" t="s">
        <v>120</v>
      </c>
      <c r="C3" s="14" t="s">
        <v>23</v>
      </c>
      <c r="D3" s="10">
        <v>500000</v>
      </c>
      <c r="E3" s="10">
        <v>1000000</v>
      </c>
      <c r="F3" s="10">
        <v>3940000</v>
      </c>
      <c r="G3" s="10">
        <v>4728000</v>
      </c>
      <c r="H3" s="10">
        <v>5674000</v>
      </c>
      <c r="I3" s="10">
        <v>6808000</v>
      </c>
      <c r="J3" s="10">
        <v>8170000</v>
      </c>
      <c r="K3" s="10">
        <v>9804000</v>
      </c>
    </row>
    <row r="4" spans="1:11" ht="19.5" customHeight="1">
      <c r="A4" s="11">
        <v>3</v>
      </c>
      <c r="B4" s="13" t="s">
        <v>22</v>
      </c>
      <c r="C4" s="17" t="s">
        <v>23</v>
      </c>
      <c r="D4" s="11">
        <v>500000</v>
      </c>
      <c r="E4" s="11">
        <v>1000000</v>
      </c>
      <c r="F4" s="11">
        <v>2980000</v>
      </c>
      <c r="G4" s="11">
        <v>3576000</v>
      </c>
      <c r="H4" s="11">
        <v>4291000</v>
      </c>
      <c r="I4" s="11">
        <v>5149000</v>
      </c>
      <c r="J4" s="11">
        <v>6179000</v>
      </c>
      <c r="K4" s="11">
        <v>7415000</v>
      </c>
    </row>
    <row r="5" spans="1:11" ht="19.5" customHeight="1">
      <c r="A5" s="10">
        <v>4</v>
      </c>
      <c r="B5" s="12" t="s">
        <v>68</v>
      </c>
      <c r="C5" s="14" t="s">
        <v>23</v>
      </c>
      <c r="D5" s="10">
        <v>500000</v>
      </c>
      <c r="E5" s="10">
        <v>1000000</v>
      </c>
      <c r="F5" s="10">
        <v>4440000</v>
      </c>
      <c r="G5" s="10">
        <v>5328000</v>
      </c>
      <c r="H5" s="10">
        <v>6394000</v>
      </c>
      <c r="I5" s="10">
        <v>7672000</v>
      </c>
      <c r="J5" s="10">
        <v>9207000</v>
      </c>
      <c r="K5" s="10">
        <v>11048000</v>
      </c>
    </row>
    <row r="6" spans="1:11" ht="19.5" customHeight="1">
      <c r="A6" s="11">
        <v>5</v>
      </c>
      <c r="B6" s="13" t="s">
        <v>151</v>
      </c>
      <c r="C6" s="17" t="s">
        <v>23</v>
      </c>
      <c r="D6" s="11">
        <v>500000</v>
      </c>
      <c r="E6" s="11">
        <v>1000000</v>
      </c>
      <c r="F6" s="11">
        <v>2660000</v>
      </c>
      <c r="G6" s="11">
        <v>3192000</v>
      </c>
      <c r="H6" s="11">
        <v>3830000</v>
      </c>
      <c r="I6" s="11">
        <v>4596000</v>
      </c>
      <c r="J6" s="11">
        <v>5516000</v>
      </c>
      <c r="K6" s="11">
        <v>6619000</v>
      </c>
    </row>
    <row r="7" spans="1:11" ht="19.5" customHeight="1">
      <c r="A7" s="10">
        <v>6</v>
      </c>
      <c r="B7" s="12" t="s">
        <v>28</v>
      </c>
      <c r="C7" s="14" t="s">
        <v>23</v>
      </c>
      <c r="D7" s="10">
        <v>500000</v>
      </c>
      <c r="E7" s="10">
        <v>1000000</v>
      </c>
      <c r="F7" s="10">
        <v>4430000</v>
      </c>
      <c r="G7" s="10">
        <v>5316000</v>
      </c>
      <c r="H7" s="10">
        <v>6379000</v>
      </c>
      <c r="I7" s="10">
        <v>7655000</v>
      </c>
      <c r="J7" s="10">
        <v>9186000</v>
      </c>
      <c r="K7" s="10">
        <v>11023000</v>
      </c>
    </row>
    <row r="8" spans="1:11" ht="19.5" customHeight="1">
      <c r="A8" s="11">
        <v>7</v>
      </c>
      <c r="B8" s="13" t="s">
        <v>308</v>
      </c>
      <c r="C8" s="17" t="s">
        <v>23</v>
      </c>
      <c r="D8" s="11">
        <v>500000</v>
      </c>
      <c r="E8" s="11">
        <v>1000000</v>
      </c>
      <c r="F8" s="11">
        <v>4160000</v>
      </c>
      <c r="G8" s="11">
        <v>4992000</v>
      </c>
      <c r="H8" s="11">
        <v>5990000</v>
      </c>
      <c r="I8" s="11">
        <v>7188000</v>
      </c>
      <c r="J8" s="11">
        <v>8626000</v>
      </c>
      <c r="K8" s="11">
        <v>10351000</v>
      </c>
    </row>
    <row r="9" spans="1:11" ht="19.5" customHeight="1">
      <c r="A9" s="10">
        <v>8</v>
      </c>
      <c r="B9" s="12" t="s">
        <v>29</v>
      </c>
      <c r="C9" s="14" t="s">
        <v>23</v>
      </c>
      <c r="D9" s="10">
        <v>500000</v>
      </c>
      <c r="E9" s="10">
        <v>1000000</v>
      </c>
      <c r="F9" s="10">
        <v>2660000</v>
      </c>
      <c r="G9" s="10">
        <v>3192000</v>
      </c>
      <c r="H9" s="10">
        <v>3830000</v>
      </c>
      <c r="I9" s="10">
        <v>4596000</v>
      </c>
      <c r="J9" s="10">
        <v>5516000</v>
      </c>
      <c r="K9" s="10">
        <v>6619000</v>
      </c>
    </row>
    <row r="10" spans="1:11" ht="19.5" customHeight="1">
      <c r="A10" s="11">
        <v>9</v>
      </c>
      <c r="B10" s="13" t="s">
        <v>38</v>
      </c>
      <c r="C10" s="17" t="s">
        <v>23</v>
      </c>
      <c r="D10" s="11">
        <v>500000</v>
      </c>
      <c r="E10" s="11">
        <v>1000000</v>
      </c>
      <c r="F10" s="11">
        <v>2770000</v>
      </c>
      <c r="G10" s="11">
        <v>3324000</v>
      </c>
      <c r="H10" s="11">
        <v>3989000</v>
      </c>
      <c r="I10" s="11">
        <v>4787000</v>
      </c>
      <c r="J10" s="11">
        <v>5744000</v>
      </c>
      <c r="K10" s="11">
        <v>6893000</v>
      </c>
    </row>
    <row r="11" spans="1:11" ht="19.5" customHeight="1">
      <c r="A11" s="10">
        <v>10</v>
      </c>
      <c r="B11" s="12" t="s">
        <v>202</v>
      </c>
      <c r="C11" s="14" t="s">
        <v>23</v>
      </c>
      <c r="D11" s="10">
        <v>500000</v>
      </c>
      <c r="E11" s="10">
        <v>1000000</v>
      </c>
      <c r="F11" s="10">
        <v>5000000</v>
      </c>
      <c r="G11" s="10">
        <v>9000000</v>
      </c>
      <c r="H11" s="10">
        <v>11000000</v>
      </c>
      <c r="I11" s="10">
        <v>13000000</v>
      </c>
      <c r="J11" s="10">
        <v>15000000</v>
      </c>
      <c r="K11" s="10">
        <v>17000000</v>
      </c>
    </row>
    <row r="12" spans="1:11" ht="19.5" customHeight="1">
      <c r="A12" s="11">
        <v>11</v>
      </c>
      <c r="B12" s="13" t="s">
        <v>203</v>
      </c>
      <c r="C12" s="17" t="s">
        <v>23</v>
      </c>
      <c r="D12" s="11">
        <v>500000</v>
      </c>
      <c r="E12" s="11">
        <v>1000000</v>
      </c>
      <c r="F12" s="11">
        <v>4430000</v>
      </c>
      <c r="G12" s="11">
        <v>5316000</v>
      </c>
      <c r="H12" s="11">
        <v>6379000</v>
      </c>
      <c r="I12" s="11">
        <v>7655000</v>
      </c>
      <c r="J12" s="11">
        <v>9186000</v>
      </c>
      <c r="K12" s="11">
        <v>11023000</v>
      </c>
    </row>
    <row r="13" spans="1:11" ht="19.5" customHeight="1">
      <c r="A13" s="10">
        <v>12</v>
      </c>
      <c r="B13" s="12" t="s">
        <v>64</v>
      </c>
      <c r="C13" s="14" t="s">
        <v>23</v>
      </c>
      <c r="D13" s="10">
        <v>500000</v>
      </c>
      <c r="E13" s="10">
        <v>1000000</v>
      </c>
      <c r="F13" s="10">
        <v>2770000</v>
      </c>
      <c r="G13" s="10">
        <v>3324000</v>
      </c>
      <c r="H13" s="10">
        <v>3989000</v>
      </c>
      <c r="I13" s="10">
        <v>4787000</v>
      </c>
      <c r="J13" s="10">
        <v>5744000</v>
      </c>
      <c r="K13" s="10">
        <v>6893000</v>
      </c>
    </row>
    <row r="14" spans="1:11" ht="19.5" customHeight="1">
      <c r="A14" s="11">
        <v>13</v>
      </c>
      <c r="B14" s="13" t="s">
        <v>226</v>
      </c>
      <c r="C14" s="17" t="s">
        <v>23</v>
      </c>
      <c r="D14" s="11">
        <v>500000</v>
      </c>
      <c r="E14" s="11">
        <v>1000000</v>
      </c>
      <c r="F14" s="11">
        <v>4160000</v>
      </c>
      <c r="G14" s="11">
        <v>4992000</v>
      </c>
      <c r="H14" s="11">
        <v>5990000</v>
      </c>
      <c r="I14" s="11">
        <v>7188000</v>
      </c>
      <c r="J14" s="11">
        <v>8626000</v>
      </c>
      <c r="K14" s="11">
        <v>10351000</v>
      </c>
    </row>
    <row r="15" spans="1:11" ht="19.5" customHeight="1">
      <c r="A15" s="10">
        <v>14</v>
      </c>
      <c r="B15" s="12" t="s">
        <v>27</v>
      </c>
      <c r="C15" s="14" t="s">
        <v>23</v>
      </c>
      <c r="D15" s="10">
        <v>500000</v>
      </c>
      <c r="E15" s="10">
        <v>1000000</v>
      </c>
      <c r="F15" s="10">
        <v>4500000</v>
      </c>
      <c r="G15" s="10">
        <v>7500000</v>
      </c>
      <c r="H15" s="10">
        <v>10500000</v>
      </c>
      <c r="I15" s="10">
        <v>13500000</v>
      </c>
      <c r="J15" s="10">
        <v>16500000</v>
      </c>
      <c r="K15" s="10">
        <v>19500000</v>
      </c>
    </row>
    <row r="16" spans="1:11" ht="19.5" customHeight="1">
      <c r="A16" s="11">
        <v>15</v>
      </c>
      <c r="B16" s="13" t="s">
        <v>211</v>
      </c>
      <c r="C16" s="17" t="s">
        <v>23</v>
      </c>
      <c r="D16" s="11">
        <v>500000</v>
      </c>
      <c r="E16" s="11">
        <v>1000000</v>
      </c>
      <c r="F16" s="11">
        <v>2660000</v>
      </c>
      <c r="G16" s="11">
        <v>3192000</v>
      </c>
      <c r="H16" s="11">
        <v>3830000</v>
      </c>
      <c r="I16" s="11">
        <v>4596000</v>
      </c>
      <c r="J16" s="11">
        <v>5516000</v>
      </c>
      <c r="K16" s="11">
        <v>6619000</v>
      </c>
    </row>
    <row r="17" spans="1:11" ht="19.5" customHeight="1">
      <c r="A17" s="10">
        <v>16</v>
      </c>
      <c r="B17" s="12" t="s">
        <v>212</v>
      </c>
      <c r="C17" s="14" t="s">
        <v>23</v>
      </c>
      <c r="D17" s="10">
        <v>500000</v>
      </c>
      <c r="E17" s="10">
        <v>1000000</v>
      </c>
      <c r="F17" s="10">
        <v>2660000</v>
      </c>
      <c r="G17" s="10">
        <v>3192000</v>
      </c>
      <c r="H17" s="10">
        <v>3830000</v>
      </c>
      <c r="I17" s="10">
        <v>4596000</v>
      </c>
      <c r="J17" s="10">
        <v>5516000</v>
      </c>
      <c r="K17" s="10">
        <v>6619000</v>
      </c>
    </row>
    <row r="18" spans="1:11" ht="19.5" customHeight="1">
      <c r="A18" s="11">
        <v>17</v>
      </c>
      <c r="B18" s="13" t="s">
        <v>214</v>
      </c>
      <c r="C18" s="17" t="s">
        <v>23</v>
      </c>
      <c r="D18" s="11">
        <v>500000</v>
      </c>
      <c r="E18" s="11">
        <v>1000000</v>
      </c>
      <c r="F18" s="11">
        <v>2660000</v>
      </c>
      <c r="G18" s="11">
        <v>3192000</v>
      </c>
      <c r="H18" s="11">
        <v>3830000</v>
      </c>
      <c r="I18" s="11">
        <v>4596000</v>
      </c>
      <c r="J18" s="11">
        <v>5516000</v>
      </c>
      <c r="K18" s="11">
        <v>6619000</v>
      </c>
    </row>
    <row r="19" spans="1:11" ht="19.5" customHeight="1">
      <c r="A19" s="10">
        <v>18</v>
      </c>
      <c r="B19" s="12" t="s">
        <v>127</v>
      </c>
      <c r="C19" s="14" t="s">
        <v>23</v>
      </c>
      <c r="D19" s="10">
        <v>500000</v>
      </c>
      <c r="E19" s="10">
        <v>1000000</v>
      </c>
      <c r="F19" s="10">
        <v>3940000</v>
      </c>
      <c r="G19" s="10">
        <v>4728000</v>
      </c>
      <c r="H19" s="10">
        <v>5674000</v>
      </c>
      <c r="I19" s="10">
        <v>6808000</v>
      </c>
      <c r="J19" s="10">
        <v>8170000</v>
      </c>
      <c r="K19" s="10">
        <v>9804000</v>
      </c>
    </row>
    <row r="20" spans="1:11" ht="19.5" customHeight="1">
      <c r="A20" s="11">
        <v>19</v>
      </c>
      <c r="B20" s="13" t="s">
        <v>54</v>
      </c>
      <c r="C20" s="17" t="s">
        <v>23</v>
      </c>
      <c r="D20" s="11">
        <v>500000</v>
      </c>
      <c r="E20" s="11">
        <v>1000000</v>
      </c>
      <c r="F20" s="11">
        <v>4000000</v>
      </c>
      <c r="G20" s="11">
        <v>7000000</v>
      </c>
      <c r="H20" s="11">
        <v>10000000</v>
      </c>
      <c r="I20" s="11">
        <v>13000000</v>
      </c>
      <c r="J20" s="11">
        <v>15000000</v>
      </c>
      <c r="K20" s="11">
        <v>18000000</v>
      </c>
    </row>
    <row r="21" spans="1:11" ht="19.5" customHeight="1">
      <c r="A21" s="10">
        <v>20</v>
      </c>
      <c r="B21" s="12" t="s">
        <v>204</v>
      </c>
      <c r="C21" s="14" t="s">
        <v>23</v>
      </c>
      <c r="D21" s="10">
        <v>500000</v>
      </c>
      <c r="E21" s="10">
        <v>1000000</v>
      </c>
      <c r="F21" s="10">
        <v>4430000</v>
      </c>
      <c r="G21" s="10">
        <v>5316000</v>
      </c>
      <c r="H21" s="10">
        <v>6379000</v>
      </c>
      <c r="I21" s="10">
        <v>7655000</v>
      </c>
      <c r="J21" s="10">
        <v>9186000</v>
      </c>
      <c r="K21" s="10">
        <v>11023000</v>
      </c>
    </row>
    <row r="22" spans="1:11" ht="19.5" customHeight="1">
      <c r="A22" s="11">
        <v>21</v>
      </c>
      <c r="B22" s="13" t="s">
        <v>43</v>
      </c>
      <c r="C22" s="17" t="s">
        <v>23</v>
      </c>
      <c r="D22" s="11">
        <v>500000</v>
      </c>
      <c r="E22" s="11">
        <v>1000000</v>
      </c>
      <c r="F22" s="11">
        <v>2770000</v>
      </c>
      <c r="G22" s="11">
        <v>3324000</v>
      </c>
      <c r="H22" s="11">
        <v>3989000</v>
      </c>
      <c r="I22" s="11">
        <v>4787000</v>
      </c>
      <c r="J22" s="11">
        <v>5744000</v>
      </c>
      <c r="K22" s="11">
        <v>6893000</v>
      </c>
    </row>
    <row r="23" spans="1:11" ht="19.5" customHeight="1">
      <c r="A23" s="10">
        <v>22</v>
      </c>
      <c r="B23" s="12" t="s">
        <v>206</v>
      </c>
      <c r="C23" s="14" t="s">
        <v>23</v>
      </c>
      <c r="D23" s="10">
        <v>500000</v>
      </c>
      <c r="E23" s="10">
        <v>1000000</v>
      </c>
      <c r="F23" s="10">
        <v>3940000</v>
      </c>
      <c r="G23" s="10">
        <v>4728000</v>
      </c>
      <c r="H23" s="10">
        <v>5674000</v>
      </c>
      <c r="I23" s="10">
        <v>6808000</v>
      </c>
      <c r="J23" s="10">
        <v>8170000</v>
      </c>
      <c r="K23" s="10">
        <v>9804000</v>
      </c>
    </row>
    <row r="24" spans="1:11" ht="19.5" customHeight="1">
      <c r="A24" s="11">
        <v>23</v>
      </c>
      <c r="B24" s="13" t="s">
        <v>230</v>
      </c>
      <c r="C24" s="17" t="s">
        <v>23</v>
      </c>
      <c r="D24" s="11">
        <v>500000</v>
      </c>
      <c r="E24" s="11">
        <v>1000000</v>
      </c>
      <c r="F24" s="11">
        <v>4790000</v>
      </c>
      <c r="G24" s="11">
        <v>6095000</v>
      </c>
      <c r="H24" s="11">
        <v>7400000</v>
      </c>
      <c r="I24" s="11">
        <v>8705000</v>
      </c>
      <c r="J24" s="11">
        <v>10010000</v>
      </c>
      <c r="K24" s="11">
        <v>11022000</v>
      </c>
    </row>
    <row r="25" spans="1:11" ht="19.5" customHeight="1">
      <c r="A25" s="10">
        <v>24</v>
      </c>
      <c r="B25" s="12" t="s">
        <v>293</v>
      </c>
      <c r="C25" s="14" t="s">
        <v>23</v>
      </c>
      <c r="D25" s="10">
        <v>500000</v>
      </c>
      <c r="E25" s="10">
        <v>1000000</v>
      </c>
      <c r="F25" s="10">
        <v>2660000</v>
      </c>
      <c r="G25" s="10">
        <v>3192000</v>
      </c>
      <c r="H25" s="10">
        <v>3830000</v>
      </c>
      <c r="I25" s="10">
        <v>4596000</v>
      </c>
      <c r="J25" s="10">
        <v>5516000</v>
      </c>
      <c r="K25" s="10">
        <v>6619000</v>
      </c>
    </row>
    <row r="26" spans="1:11" ht="19.5" customHeight="1">
      <c r="A26" s="11">
        <v>25</v>
      </c>
      <c r="B26" s="13" t="s">
        <v>153</v>
      </c>
      <c r="C26" s="17" t="s">
        <v>23</v>
      </c>
      <c r="D26" s="11">
        <v>500000</v>
      </c>
      <c r="E26" s="11">
        <v>1000000</v>
      </c>
      <c r="F26" s="11">
        <v>2660000</v>
      </c>
      <c r="G26" s="11">
        <v>3192000</v>
      </c>
      <c r="H26" s="11">
        <v>3830000</v>
      </c>
      <c r="I26" s="11">
        <v>4596000</v>
      </c>
      <c r="J26" s="11">
        <v>5516000</v>
      </c>
      <c r="K26" s="11">
        <v>6619000</v>
      </c>
    </row>
    <row r="27" spans="1:11" ht="19.5" customHeight="1">
      <c r="A27" s="10">
        <v>26</v>
      </c>
      <c r="B27" s="12" t="s">
        <v>155</v>
      </c>
      <c r="C27" s="14" t="s">
        <v>23</v>
      </c>
      <c r="D27" s="10">
        <v>500000</v>
      </c>
      <c r="E27" s="10">
        <v>1000000</v>
      </c>
      <c r="F27" s="10">
        <v>3940000</v>
      </c>
      <c r="G27" s="10">
        <v>4728000</v>
      </c>
      <c r="H27" s="10">
        <v>5674000</v>
      </c>
      <c r="I27" s="10">
        <v>6808000</v>
      </c>
      <c r="J27" s="10">
        <v>8170000</v>
      </c>
      <c r="K27" s="10">
        <v>9804000</v>
      </c>
    </row>
    <row r="28" spans="1:11" ht="19.5" customHeight="1">
      <c r="A28" s="11">
        <v>27</v>
      </c>
      <c r="B28" s="13" t="s">
        <v>194</v>
      </c>
      <c r="C28" s="17" t="s">
        <v>23</v>
      </c>
      <c r="D28" s="11">
        <v>500000</v>
      </c>
      <c r="E28" s="11">
        <v>1000000</v>
      </c>
      <c r="F28" s="11">
        <v>5500000</v>
      </c>
      <c r="G28" s="11">
        <v>8500000</v>
      </c>
      <c r="H28" s="11">
        <v>11500000</v>
      </c>
      <c r="I28" s="11">
        <v>14500000</v>
      </c>
      <c r="J28" s="11">
        <v>17500000</v>
      </c>
      <c r="K28" s="11">
        <v>21000000</v>
      </c>
    </row>
    <row r="29" spans="1:11" ht="19.5" customHeight="1">
      <c r="A29" s="10">
        <v>28</v>
      </c>
      <c r="B29" s="12" t="s">
        <v>233</v>
      </c>
      <c r="C29" s="14" t="s">
        <v>23</v>
      </c>
      <c r="D29" s="10">
        <v>500000</v>
      </c>
      <c r="E29" s="10">
        <v>1000000</v>
      </c>
      <c r="F29" s="10">
        <v>5000000</v>
      </c>
      <c r="G29" s="10">
        <v>8000000</v>
      </c>
      <c r="H29" s="10">
        <v>11000000</v>
      </c>
      <c r="I29" s="10">
        <v>14000000</v>
      </c>
      <c r="J29" s="10">
        <v>17000000</v>
      </c>
      <c r="K29" s="10">
        <v>20000000</v>
      </c>
    </row>
    <row r="30" spans="1:11" ht="19.5" customHeight="1">
      <c r="A30" s="11">
        <v>29</v>
      </c>
      <c r="B30" s="13" t="s">
        <v>160</v>
      </c>
      <c r="C30" s="17" t="s">
        <v>23</v>
      </c>
      <c r="D30" s="11">
        <v>500000</v>
      </c>
      <c r="E30" s="11">
        <v>1000000</v>
      </c>
      <c r="F30" s="11">
        <v>2660000</v>
      </c>
      <c r="G30" s="11">
        <v>3192000</v>
      </c>
      <c r="H30" s="11">
        <v>3830000</v>
      </c>
      <c r="I30" s="11">
        <v>4596000</v>
      </c>
      <c r="J30" s="11">
        <v>5516000</v>
      </c>
      <c r="K30" s="11">
        <v>6619000</v>
      </c>
    </row>
    <row r="31" spans="1:11" ht="19.5" customHeight="1">
      <c r="A31" s="10">
        <v>30</v>
      </c>
      <c r="B31" s="12" t="s">
        <v>164</v>
      </c>
      <c r="C31" s="14" t="s">
        <v>23</v>
      </c>
      <c r="D31" s="10">
        <v>500000</v>
      </c>
      <c r="E31" s="10">
        <v>1000000</v>
      </c>
      <c r="F31" s="10">
        <v>4160000</v>
      </c>
      <c r="G31" s="10">
        <v>4992000</v>
      </c>
      <c r="H31" s="10">
        <v>5990000</v>
      </c>
      <c r="I31" s="10">
        <v>7188000</v>
      </c>
      <c r="J31" s="10">
        <v>8626000</v>
      </c>
      <c r="K31" s="10">
        <v>10351000</v>
      </c>
    </row>
    <row r="32" spans="1:11" ht="19.5" customHeight="1">
      <c r="A32" s="11">
        <v>31</v>
      </c>
      <c r="B32" s="13" t="s">
        <v>166</v>
      </c>
      <c r="C32" s="17" t="s">
        <v>23</v>
      </c>
      <c r="D32" s="11">
        <v>500000</v>
      </c>
      <c r="E32" s="11">
        <v>1000000</v>
      </c>
      <c r="F32" s="11">
        <v>3060000</v>
      </c>
      <c r="G32" s="11">
        <v>3672000</v>
      </c>
      <c r="H32" s="11">
        <v>4406000</v>
      </c>
      <c r="I32" s="11">
        <v>5288000</v>
      </c>
      <c r="J32" s="11">
        <v>6345000</v>
      </c>
      <c r="K32" s="11">
        <v>7614000</v>
      </c>
    </row>
    <row r="33" spans="1:11" ht="19.5" customHeight="1">
      <c r="A33" s="10">
        <v>32</v>
      </c>
      <c r="B33" s="12" t="s">
        <v>392</v>
      </c>
      <c r="C33" s="14" t="s">
        <v>23</v>
      </c>
      <c r="D33" s="10">
        <v>500000</v>
      </c>
      <c r="E33" s="10">
        <v>1000000</v>
      </c>
      <c r="F33" s="10">
        <v>3460000</v>
      </c>
      <c r="G33" s="10">
        <v>4152000</v>
      </c>
      <c r="H33" s="10">
        <v>4982000</v>
      </c>
      <c r="I33" s="10">
        <v>5979000</v>
      </c>
      <c r="J33" s="10">
        <v>7175000</v>
      </c>
      <c r="K33" s="10">
        <v>8610000</v>
      </c>
    </row>
    <row r="34" spans="1:11" ht="19.5" customHeight="1">
      <c r="A34" s="11">
        <v>33</v>
      </c>
      <c r="B34" s="13" t="s">
        <v>297</v>
      </c>
      <c r="C34" s="17" t="s">
        <v>23</v>
      </c>
      <c r="D34" s="11">
        <v>500000</v>
      </c>
      <c r="E34" s="11">
        <v>1000000</v>
      </c>
      <c r="F34" s="11">
        <v>3460000</v>
      </c>
      <c r="G34" s="11">
        <v>4152000</v>
      </c>
      <c r="H34" s="11">
        <v>4982000</v>
      </c>
      <c r="I34" s="11">
        <v>5979000</v>
      </c>
      <c r="J34" s="11">
        <v>7175000</v>
      </c>
      <c r="K34" s="11">
        <v>8610000</v>
      </c>
    </row>
    <row r="35" spans="1:11" ht="19.5" customHeight="1">
      <c r="A35" s="10">
        <v>34</v>
      </c>
      <c r="B35" s="12" t="s">
        <v>393</v>
      </c>
      <c r="C35" s="14" t="s">
        <v>23</v>
      </c>
      <c r="D35" s="10">
        <v>500000</v>
      </c>
      <c r="E35" s="10">
        <v>1000000</v>
      </c>
      <c r="F35" s="10">
        <v>4430000</v>
      </c>
      <c r="G35" s="10">
        <v>5316000</v>
      </c>
      <c r="H35" s="10">
        <v>6379000</v>
      </c>
      <c r="I35" s="10">
        <v>7655000</v>
      </c>
      <c r="J35" s="10">
        <v>9186000</v>
      </c>
      <c r="K35" s="10">
        <v>11023000</v>
      </c>
    </row>
    <row r="36" spans="1:11" ht="19.5" customHeight="1">
      <c r="A36" s="11">
        <v>35</v>
      </c>
      <c r="B36" s="13" t="s">
        <v>178</v>
      </c>
      <c r="C36" s="17" t="s">
        <v>23</v>
      </c>
      <c r="D36" s="11">
        <v>500000</v>
      </c>
      <c r="E36" s="11">
        <v>1000000</v>
      </c>
      <c r="F36" s="11">
        <v>4160000</v>
      </c>
      <c r="G36" s="11">
        <v>4992000</v>
      </c>
      <c r="H36" s="11">
        <v>5990000</v>
      </c>
      <c r="I36" s="11">
        <v>7188000</v>
      </c>
      <c r="J36" s="11">
        <v>8626000</v>
      </c>
      <c r="K36" s="11">
        <v>10351000</v>
      </c>
    </row>
    <row r="37" spans="1:11" ht="19.5" customHeight="1">
      <c r="A37" s="10">
        <v>36</v>
      </c>
      <c r="B37" s="12" t="s">
        <v>182</v>
      </c>
      <c r="C37" s="14" t="s">
        <v>23</v>
      </c>
      <c r="D37" s="10">
        <v>500000</v>
      </c>
      <c r="E37" s="10">
        <v>1000000</v>
      </c>
      <c r="F37" s="10">
        <v>4160000</v>
      </c>
      <c r="G37" s="10">
        <v>4992000</v>
      </c>
      <c r="H37" s="10">
        <v>5990000</v>
      </c>
      <c r="I37" s="10">
        <v>7188000</v>
      </c>
      <c r="J37" s="10">
        <v>8626000</v>
      </c>
      <c r="K37" s="10">
        <v>10351000</v>
      </c>
    </row>
    <row r="38" spans="1:11" ht="19.5" customHeight="1">
      <c r="A38" s="11">
        <v>37</v>
      </c>
      <c r="B38" s="13" t="s">
        <v>185</v>
      </c>
      <c r="C38" s="17" t="s">
        <v>23</v>
      </c>
      <c r="D38" s="11">
        <v>500000</v>
      </c>
      <c r="E38" s="11">
        <v>1000000</v>
      </c>
      <c r="F38" s="11">
        <v>3780000</v>
      </c>
      <c r="G38" s="11">
        <v>4536000</v>
      </c>
      <c r="H38" s="11">
        <v>5443000</v>
      </c>
      <c r="I38" s="11">
        <v>6532000</v>
      </c>
      <c r="J38" s="11">
        <v>7838000</v>
      </c>
      <c r="K38" s="11">
        <v>9406000</v>
      </c>
    </row>
    <row r="39" spans="1:11" ht="19.5" customHeight="1">
      <c r="A39" s="10">
        <v>38</v>
      </c>
      <c r="B39" s="12" t="s">
        <v>345</v>
      </c>
      <c r="C39" s="14" t="s">
        <v>23</v>
      </c>
      <c r="D39" s="10">
        <v>500000</v>
      </c>
      <c r="E39" s="10">
        <v>1000000</v>
      </c>
      <c r="F39" s="10">
        <v>2770000</v>
      </c>
      <c r="G39" s="10">
        <v>3324000</v>
      </c>
      <c r="H39" s="10">
        <v>3989000</v>
      </c>
      <c r="I39" s="10">
        <v>4787000</v>
      </c>
      <c r="J39" s="10">
        <v>5744000</v>
      </c>
      <c r="K39" s="10">
        <v>6893000</v>
      </c>
    </row>
    <row r="40" spans="1:11" ht="19.5" customHeight="1">
      <c r="A40" s="11">
        <v>39</v>
      </c>
      <c r="B40" s="13" t="s">
        <v>190</v>
      </c>
      <c r="C40" s="17" t="s">
        <v>23</v>
      </c>
      <c r="D40" s="11">
        <v>500000</v>
      </c>
      <c r="E40" s="11">
        <v>1000000</v>
      </c>
      <c r="F40" s="11">
        <v>2660000</v>
      </c>
      <c r="G40" s="11">
        <v>3192000</v>
      </c>
      <c r="H40" s="11">
        <v>3830000</v>
      </c>
      <c r="I40" s="11">
        <v>4596000</v>
      </c>
      <c r="J40" s="11">
        <v>5516000</v>
      </c>
      <c r="K40" s="11">
        <v>6619000</v>
      </c>
    </row>
    <row r="41" spans="1:11" ht="19.5" customHeight="1">
      <c r="A41" s="10">
        <v>40</v>
      </c>
      <c r="B41" s="12" t="s">
        <v>192</v>
      </c>
      <c r="C41" s="14" t="s">
        <v>23</v>
      </c>
      <c r="D41" s="10">
        <v>500000</v>
      </c>
      <c r="E41" s="10">
        <v>1000000</v>
      </c>
      <c r="F41" s="10">
        <v>3060000</v>
      </c>
      <c r="G41" s="10">
        <v>3672000</v>
      </c>
      <c r="H41" s="10">
        <v>4406000</v>
      </c>
      <c r="I41" s="10">
        <v>5288000</v>
      </c>
      <c r="J41" s="10">
        <v>6345000</v>
      </c>
      <c r="K41" s="10">
        <v>7614000</v>
      </c>
    </row>
    <row r="42" spans="1:11" ht="19.5" customHeight="1">
      <c r="A42" s="11">
        <v>41</v>
      </c>
      <c r="B42" s="13" t="s">
        <v>144</v>
      </c>
      <c r="C42" s="17" t="s">
        <v>23</v>
      </c>
      <c r="D42" s="11">
        <v>500000</v>
      </c>
      <c r="E42" s="11">
        <v>1000000</v>
      </c>
      <c r="F42" s="11">
        <v>4160000</v>
      </c>
      <c r="G42" s="11">
        <v>4992000</v>
      </c>
      <c r="H42" s="11">
        <v>5990000</v>
      </c>
      <c r="I42" s="11">
        <v>7188000</v>
      </c>
      <c r="J42" s="11">
        <v>8626000</v>
      </c>
      <c r="K42" s="11">
        <v>10351000</v>
      </c>
    </row>
    <row r="43" spans="1:11" ht="19.5" customHeight="1">
      <c r="A43" s="10">
        <v>42</v>
      </c>
      <c r="B43" s="12" t="s">
        <v>195</v>
      </c>
      <c r="C43" s="14" t="s">
        <v>23</v>
      </c>
      <c r="D43" s="10">
        <v>500000</v>
      </c>
      <c r="E43" s="10">
        <v>1000000</v>
      </c>
      <c r="F43" s="10">
        <v>3550000</v>
      </c>
      <c r="G43" s="10">
        <v>4170000</v>
      </c>
      <c r="H43" s="10">
        <v>4913000</v>
      </c>
      <c r="I43" s="10">
        <v>5780000</v>
      </c>
      <c r="J43" s="10">
        <v>6800000</v>
      </c>
      <c r="K43" s="10">
        <v>8000000</v>
      </c>
    </row>
    <row r="44" spans="1:11" ht="19.5" customHeight="1">
      <c r="A44" s="11">
        <v>43</v>
      </c>
      <c r="B44" s="13" t="s">
        <v>218</v>
      </c>
      <c r="C44" s="17" t="s">
        <v>23</v>
      </c>
      <c r="D44" s="11">
        <v>500000</v>
      </c>
      <c r="E44" s="11">
        <v>1000000</v>
      </c>
      <c r="F44" s="11">
        <v>2660000</v>
      </c>
      <c r="G44" s="11">
        <v>3192000</v>
      </c>
      <c r="H44" s="11">
        <v>3830000</v>
      </c>
      <c r="I44" s="11">
        <v>4596000</v>
      </c>
      <c r="J44" s="11">
        <v>5516000</v>
      </c>
      <c r="K44" s="11">
        <v>6619000</v>
      </c>
    </row>
    <row r="45" spans="1:11" ht="19.5" customHeight="1">
      <c r="A45" s="10">
        <v>44</v>
      </c>
      <c r="B45" s="12" t="s">
        <v>208</v>
      </c>
      <c r="C45" s="14" t="s">
        <v>23</v>
      </c>
      <c r="D45" s="10">
        <v>500000</v>
      </c>
      <c r="E45" s="10">
        <v>1000000</v>
      </c>
      <c r="F45" s="10">
        <v>3940000</v>
      </c>
      <c r="G45" s="10">
        <v>4728000</v>
      </c>
      <c r="H45" s="10">
        <v>5674000</v>
      </c>
      <c r="I45" s="10">
        <v>6808000</v>
      </c>
      <c r="J45" s="10">
        <v>8170000</v>
      </c>
      <c r="K45" s="10">
        <v>9804000</v>
      </c>
    </row>
    <row r="46" spans="1:11" ht="19.5" customHeight="1">
      <c r="A46" s="11">
        <v>45</v>
      </c>
      <c r="B46" s="13" t="s">
        <v>79</v>
      </c>
      <c r="C46" s="17" t="s">
        <v>23</v>
      </c>
      <c r="D46" s="11">
        <v>500000</v>
      </c>
      <c r="E46" s="11">
        <v>1000000</v>
      </c>
      <c r="F46" s="11">
        <v>4950000</v>
      </c>
      <c r="G46" s="11">
        <v>5940000</v>
      </c>
      <c r="H46" s="11">
        <v>7128000</v>
      </c>
      <c r="I46" s="11">
        <v>8554000</v>
      </c>
      <c r="J46" s="11">
        <v>10264000</v>
      </c>
      <c r="K46" s="11">
        <v>12317000</v>
      </c>
    </row>
    <row r="47" spans="1:11" ht="19.5" customHeight="1">
      <c r="A47" s="10">
        <v>46</v>
      </c>
      <c r="B47" s="12" t="s">
        <v>87</v>
      </c>
      <c r="C47" s="14" t="s">
        <v>23</v>
      </c>
      <c r="D47" s="10">
        <v>500000</v>
      </c>
      <c r="E47" s="10">
        <v>1000000</v>
      </c>
      <c r="F47" s="10">
        <v>4950000</v>
      </c>
      <c r="G47" s="10">
        <v>5940000</v>
      </c>
      <c r="H47" s="10">
        <v>7128000</v>
      </c>
      <c r="I47" s="10">
        <v>8554000</v>
      </c>
      <c r="J47" s="10">
        <v>10264000</v>
      </c>
      <c r="K47" s="10">
        <v>12317000</v>
      </c>
    </row>
    <row r="48" spans="1:11" ht="19.5" customHeight="1">
      <c r="A48" s="11">
        <v>47</v>
      </c>
      <c r="B48" s="13" t="s">
        <v>90</v>
      </c>
      <c r="C48" s="17" t="s">
        <v>23</v>
      </c>
      <c r="D48" s="11">
        <v>500000</v>
      </c>
      <c r="E48" s="11">
        <v>1000000</v>
      </c>
      <c r="F48" s="11">
        <v>4610000</v>
      </c>
      <c r="G48" s="11">
        <v>5532000</v>
      </c>
      <c r="H48" s="11">
        <v>6638000</v>
      </c>
      <c r="I48" s="11">
        <v>7966000</v>
      </c>
      <c r="J48" s="11">
        <v>9559000</v>
      </c>
      <c r="K48" s="11">
        <v>11471000</v>
      </c>
    </row>
    <row r="49" spans="1:11" ht="19.5" customHeight="1">
      <c r="A49" s="10">
        <v>48</v>
      </c>
      <c r="B49" s="12" t="s">
        <v>13</v>
      </c>
      <c r="C49" s="14" t="s">
        <v>23</v>
      </c>
      <c r="D49" s="10">
        <v>500000</v>
      </c>
      <c r="E49" s="10">
        <v>1000000</v>
      </c>
      <c r="F49" s="10">
        <v>4270000</v>
      </c>
      <c r="G49" s="10">
        <v>5124000</v>
      </c>
      <c r="H49" s="10">
        <v>6149000</v>
      </c>
      <c r="I49" s="10">
        <v>7379000</v>
      </c>
      <c r="J49" s="10">
        <v>8854000</v>
      </c>
      <c r="K49" s="10">
        <v>10625000</v>
      </c>
    </row>
    <row r="50" spans="1:11" ht="19.5" customHeight="1">
      <c r="A50" s="11">
        <v>49</v>
      </c>
      <c r="B50" s="13" t="s">
        <v>209</v>
      </c>
      <c r="C50" s="17" t="s">
        <v>23</v>
      </c>
      <c r="D50" s="11">
        <v>500000</v>
      </c>
      <c r="E50" s="11">
        <v>1000000</v>
      </c>
      <c r="F50" s="11">
        <v>3940000</v>
      </c>
      <c r="G50" s="11">
        <v>4728000</v>
      </c>
      <c r="H50" s="11">
        <v>5674000</v>
      </c>
      <c r="I50" s="11">
        <v>6808000</v>
      </c>
      <c r="J50" s="11">
        <v>8170000</v>
      </c>
      <c r="K50" s="11">
        <v>9804000</v>
      </c>
    </row>
    <row r="51" spans="1:11" ht="19.5" customHeight="1">
      <c r="A51" s="10">
        <v>50</v>
      </c>
      <c r="B51" s="12" t="s">
        <v>95</v>
      </c>
      <c r="C51" s="14" t="s">
        <v>23</v>
      </c>
      <c r="D51" s="10">
        <v>500000</v>
      </c>
      <c r="E51" s="10">
        <v>1000000</v>
      </c>
      <c r="F51" s="10">
        <v>5560000</v>
      </c>
      <c r="G51" s="10">
        <v>6672000</v>
      </c>
      <c r="H51" s="10">
        <v>8006000</v>
      </c>
      <c r="I51" s="10">
        <v>9608000</v>
      </c>
      <c r="J51" s="10">
        <v>11529000</v>
      </c>
      <c r="K51" s="10">
        <v>13835000</v>
      </c>
    </row>
    <row r="52" spans="1:11" ht="19.5" customHeight="1">
      <c r="A52" s="11">
        <v>51</v>
      </c>
      <c r="B52" s="13" t="s">
        <v>105</v>
      </c>
      <c r="C52" s="17" t="s">
        <v>23</v>
      </c>
      <c r="D52" s="11">
        <v>500000</v>
      </c>
      <c r="E52" s="11">
        <v>1000000</v>
      </c>
      <c r="F52" s="11">
        <v>4950000</v>
      </c>
      <c r="G52" s="11">
        <v>5940000</v>
      </c>
      <c r="H52" s="11">
        <v>7128000</v>
      </c>
      <c r="I52" s="11">
        <v>8554000</v>
      </c>
      <c r="J52" s="11">
        <v>10264000</v>
      </c>
      <c r="K52" s="11">
        <v>12317000</v>
      </c>
    </row>
    <row r="53" spans="1:11" ht="19.5" customHeight="1">
      <c r="A53" s="10">
        <v>52</v>
      </c>
      <c r="B53" s="12" t="s">
        <v>110</v>
      </c>
      <c r="C53" s="14" t="s">
        <v>23</v>
      </c>
      <c r="D53" s="10">
        <v>500000</v>
      </c>
      <c r="E53" s="10">
        <v>1000000</v>
      </c>
      <c r="F53" s="10">
        <v>4270000</v>
      </c>
      <c r="G53" s="10">
        <v>5124000</v>
      </c>
      <c r="H53" s="10">
        <v>6149000</v>
      </c>
      <c r="I53" s="10">
        <v>7379000</v>
      </c>
      <c r="J53" s="10">
        <v>8854000</v>
      </c>
      <c r="K53" s="10">
        <v>10625000</v>
      </c>
    </row>
    <row r="54" spans="1:11" ht="19.5" customHeight="1">
      <c r="A54" s="11">
        <v>53</v>
      </c>
      <c r="B54" s="13" t="s">
        <v>147</v>
      </c>
      <c r="C54" s="17" t="s">
        <v>23</v>
      </c>
      <c r="D54" s="11">
        <v>500000</v>
      </c>
      <c r="E54" s="11">
        <v>1000000</v>
      </c>
      <c r="F54" s="11">
        <v>3940000</v>
      </c>
      <c r="G54" s="11">
        <v>4728000</v>
      </c>
      <c r="H54" s="11">
        <v>5674000</v>
      </c>
      <c r="I54" s="11">
        <v>6808000</v>
      </c>
      <c r="J54" s="11">
        <v>8170000</v>
      </c>
      <c r="K54" s="11">
        <v>9804000</v>
      </c>
    </row>
    <row r="55" spans="1:11" ht="19.5" customHeight="1">
      <c r="A55" s="10">
        <v>54</v>
      </c>
      <c r="B55" s="12" t="s">
        <v>112</v>
      </c>
      <c r="C55" s="14" t="s">
        <v>23</v>
      </c>
      <c r="D55" s="10">
        <v>500000</v>
      </c>
      <c r="E55" s="10">
        <v>1000000</v>
      </c>
      <c r="F55" s="10">
        <v>4950000</v>
      </c>
      <c r="G55" s="10">
        <v>5940000</v>
      </c>
      <c r="H55" s="10">
        <v>7128000</v>
      </c>
      <c r="I55" s="10">
        <v>8554000</v>
      </c>
      <c r="J55" s="10">
        <v>10264000</v>
      </c>
      <c r="K55" s="10">
        <v>12317000</v>
      </c>
    </row>
    <row r="56" spans="1:11" ht="19.5" customHeight="1">
      <c r="A56" s="11">
        <v>55</v>
      </c>
      <c r="B56" s="13" t="s">
        <v>146</v>
      </c>
      <c r="C56" s="17" t="s">
        <v>23</v>
      </c>
      <c r="D56" s="11">
        <v>500000</v>
      </c>
      <c r="E56" s="11">
        <v>1000000</v>
      </c>
      <c r="F56" s="11">
        <v>3940000</v>
      </c>
      <c r="G56" s="11">
        <v>4728000</v>
      </c>
      <c r="H56" s="11">
        <v>5674000</v>
      </c>
      <c r="I56" s="11">
        <v>6808000</v>
      </c>
      <c r="J56" s="11">
        <v>8170000</v>
      </c>
      <c r="K56" s="11">
        <v>9804000</v>
      </c>
    </row>
    <row r="57" spans="1:11" ht="19.5" customHeight="1">
      <c r="A57" s="10">
        <v>56</v>
      </c>
      <c r="B57" s="12" t="s">
        <v>131</v>
      </c>
      <c r="C57" s="14" t="s">
        <v>23</v>
      </c>
      <c r="D57" s="10">
        <v>500000</v>
      </c>
      <c r="E57" s="10">
        <v>1000000</v>
      </c>
      <c r="F57" s="10">
        <v>3940000</v>
      </c>
      <c r="G57" s="10">
        <v>4728000</v>
      </c>
      <c r="H57" s="10">
        <v>5674000</v>
      </c>
      <c r="I57" s="10">
        <v>6808000</v>
      </c>
      <c r="J57" s="10">
        <v>8170000</v>
      </c>
      <c r="K57" s="10">
        <v>9804000</v>
      </c>
    </row>
    <row r="58" spans="1:11" ht="19.5" customHeight="1">
      <c r="A58" s="11">
        <v>57</v>
      </c>
      <c r="B58" s="13" t="s">
        <v>137</v>
      </c>
      <c r="C58" s="17" t="s">
        <v>23</v>
      </c>
      <c r="D58" s="11">
        <v>500000</v>
      </c>
      <c r="E58" s="11">
        <v>1000000</v>
      </c>
      <c r="F58" s="11">
        <v>3940000</v>
      </c>
      <c r="G58" s="11">
        <v>4728000</v>
      </c>
      <c r="H58" s="11">
        <v>5674000</v>
      </c>
      <c r="I58" s="11">
        <v>6808000</v>
      </c>
      <c r="J58" s="11">
        <v>8170000</v>
      </c>
      <c r="K58" s="11">
        <v>9804000</v>
      </c>
    </row>
    <row r="59" spans="1:11" ht="19.5" customHeight="1">
      <c r="A59" s="10">
        <v>58</v>
      </c>
      <c r="B59" s="12" t="s">
        <v>74</v>
      </c>
      <c r="C59" s="14" t="s">
        <v>23</v>
      </c>
      <c r="D59" s="10">
        <v>500000</v>
      </c>
      <c r="E59" s="10">
        <v>1000000</v>
      </c>
      <c r="F59" s="10">
        <v>4270000</v>
      </c>
      <c r="G59" s="10">
        <v>5124000</v>
      </c>
      <c r="H59" s="10">
        <v>6149000</v>
      </c>
      <c r="I59" s="10">
        <v>7379000</v>
      </c>
      <c r="J59" s="10">
        <v>8854000</v>
      </c>
      <c r="K59" s="10">
        <v>10625000</v>
      </c>
    </row>
    <row r="60" spans="1:11" ht="19.5" customHeight="1">
      <c r="A60" s="11">
        <v>59</v>
      </c>
      <c r="B60" s="13" t="s">
        <v>103</v>
      </c>
      <c r="C60" s="17" t="s">
        <v>23</v>
      </c>
      <c r="D60" s="11">
        <v>500000</v>
      </c>
      <c r="E60" s="11">
        <v>1000000</v>
      </c>
      <c r="F60" s="11">
        <v>4270000</v>
      </c>
      <c r="G60" s="11">
        <v>5124000</v>
      </c>
      <c r="H60" s="11">
        <v>6149000</v>
      </c>
      <c r="I60" s="11">
        <v>7379000</v>
      </c>
      <c r="J60" s="11">
        <v>8854000</v>
      </c>
      <c r="K60" s="11">
        <v>10625000</v>
      </c>
    </row>
    <row r="61" spans="1:11" ht="19.5" customHeight="1">
      <c r="A61" s="10">
        <v>60</v>
      </c>
      <c r="B61" s="12" t="s">
        <v>396</v>
      </c>
      <c r="C61" s="14" t="s">
        <v>23</v>
      </c>
      <c r="D61" s="10">
        <v>500000</v>
      </c>
      <c r="E61" s="10">
        <v>1000000</v>
      </c>
      <c r="F61" s="10">
        <v>2770000</v>
      </c>
      <c r="G61" s="10">
        <v>3324000</v>
      </c>
      <c r="H61" s="10">
        <v>3989000</v>
      </c>
      <c r="I61" s="12" t="s">
        <v>319</v>
      </c>
      <c r="J61" s="12" t="s">
        <v>319</v>
      </c>
      <c r="K61" s="12" t="s">
        <v>319</v>
      </c>
    </row>
    <row r="62" spans="1:11" ht="19.5" customHeight="1">
      <c r="A62" s="11">
        <v>61</v>
      </c>
      <c r="B62" s="13" t="s">
        <v>386</v>
      </c>
      <c r="C62" s="17" t="s">
        <v>23</v>
      </c>
      <c r="D62" s="11">
        <v>500000</v>
      </c>
      <c r="E62" s="11">
        <v>1000000</v>
      </c>
      <c r="F62" s="11">
        <v>3940000</v>
      </c>
      <c r="G62" s="11">
        <v>4728000</v>
      </c>
      <c r="H62" s="11">
        <v>5674000</v>
      </c>
      <c r="I62" s="13" t="s">
        <v>319</v>
      </c>
      <c r="J62" s="13" t="s">
        <v>319</v>
      </c>
      <c r="K62" s="13" t="s">
        <v>319</v>
      </c>
    </row>
    <row r="63" spans="1:11" ht="19.5" customHeight="1">
      <c r="A63" s="10">
        <v>62</v>
      </c>
      <c r="B63" s="12" t="s">
        <v>374</v>
      </c>
      <c r="C63" s="14" t="s">
        <v>23</v>
      </c>
      <c r="D63" s="10">
        <v>500000</v>
      </c>
      <c r="E63" s="10">
        <v>1000000</v>
      </c>
      <c r="F63" s="10">
        <v>4010000</v>
      </c>
      <c r="G63" s="10">
        <v>4812000</v>
      </c>
      <c r="H63" s="10">
        <v>5774000</v>
      </c>
      <c r="I63" s="12" t="s">
        <v>319</v>
      </c>
      <c r="J63" s="12" t="s">
        <v>319</v>
      </c>
      <c r="K63" s="12" t="s">
        <v>319</v>
      </c>
    </row>
    <row r="64" spans="1:11" ht="19.5" customHeight="1">
      <c r="A64" s="11">
        <v>63</v>
      </c>
      <c r="B64" s="13" t="s">
        <v>368</v>
      </c>
      <c r="C64" s="17" t="s">
        <v>23</v>
      </c>
      <c r="D64" s="11">
        <v>500000</v>
      </c>
      <c r="E64" s="11">
        <v>1000000</v>
      </c>
      <c r="F64" s="11">
        <v>4160000</v>
      </c>
      <c r="G64" s="11">
        <v>4992000</v>
      </c>
      <c r="H64" s="11">
        <v>5990000</v>
      </c>
      <c r="I64" s="13" t="s">
        <v>319</v>
      </c>
      <c r="J64" s="13" t="s">
        <v>319</v>
      </c>
      <c r="K64" s="13" t="s">
        <v>319</v>
      </c>
    </row>
    <row r="65" spans="1:11" ht="19.5" customHeight="1">
      <c r="A65" s="10">
        <v>64</v>
      </c>
      <c r="B65" s="12" t="s">
        <v>399</v>
      </c>
      <c r="C65" s="14" t="s">
        <v>23</v>
      </c>
      <c r="D65" s="10">
        <v>500000</v>
      </c>
      <c r="E65" s="10">
        <v>1000000</v>
      </c>
      <c r="F65" s="10">
        <v>5560000</v>
      </c>
      <c r="G65" s="10">
        <v>6672000</v>
      </c>
      <c r="H65" s="10">
        <v>8006000</v>
      </c>
      <c r="I65" s="10">
        <v>9608000</v>
      </c>
      <c r="J65" s="10">
        <v>11529000</v>
      </c>
      <c r="K65" s="10">
        <v>13835000</v>
      </c>
    </row>
    <row r="66" spans="1:11" ht="19.5" customHeight="1">
      <c r="A66" s="11">
        <v>65</v>
      </c>
      <c r="B66" s="13" t="s">
        <v>400</v>
      </c>
      <c r="C66" s="17" t="s">
        <v>23</v>
      </c>
      <c r="D66" s="11">
        <v>500000</v>
      </c>
      <c r="E66" s="11">
        <v>1000000</v>
      </c>
      <c r="F66" s="11">
        <v>4950000</v>
      </c>
      <c r="G66" s="11">
        <v>5940000</v>
      </c>
      <c r="H66" s="11">
        <v>7125000</v>
      </c>
      <c r="I66" s="11">
        <v>8554000</v>
      </c>
      <c r="J66" s="11">
        <v>10264000</v>
      </c>
      <c r="K66" s="11">
        <v>12317000</v>
      </c>
    </row>
    <row r="67" spans="1:11" ht="19.5" customHeight="1">
      <c r="A67" s="10">
        <v>66</v>
      </c>
      <c r="B67" s="12" t="s">
        <v>401</v>
      </c>
      <c r="C67" s="14" t="s">
        <v>23</v>
      </c>
      <c r="D67" s="10">
        <v>500000</v>
      </c>
      <c r="E67" s="10">
        <v>1000000</v>
      </c>
      <c r="F67" s="10">
        <v>4270000</v>
      </c>
      <c r="G67" s="10">
        <v>5124000</v>
      </c>
      <c r="H67" s="10">
        <v>6149000</v>
      </c>
      <c r="I67" s="10">
        <v>7379000</v>
      </c>
      <c r="J67" s="10">
        <v>8854000</v>
      </c>
      <c r="K67" s="10">
        <v>10625000</v>
      </c>
    </row>
    <row r="68" spans="1:11" ht="19.5" customHeight="1">
      <c r="A68" s="11">
        <v>67</v>
      </c>
      <c r="B68" s="13" t="s">
        <v>402</v>
      </c>
      <c r="C68" s="17" t="s">
        <v>23</v>
      </c>
      <c r="D68" s="11">
        <v>500000</v>
      </c>
      <c r="E68" s="11">
        <v>1000000</v>
      </c>
      <c r="F68" s="11">
        <v>2770000</v>
      </c>
      <c r="G68" s="11">
        <v>3324000</v>
      </c>
      <c r="H68" s="11">
        <v>3989400</v>
      </c>
      <c r="I68" s="11">
        <v>4787000</v>
      </c>
      <c r="J68" s="11">
        <v>5544000</v>
      </c>
      <c r="K68" s="11">
        <v>6893000</v>
      </c>
    </row>
    <row r="69" spans="1:11" ht="19.5" customHeight="1">
      <c r="A69" s="10">
        <v>68</v>
      </c>
      <c r="B69" s="12" t="s">
        <v>403</v>
      </c>
      <c r="C69" s="14" t="s">
        <v>23</v>
      </c>
      <c r="D69" s="10">
        <v>500000</v>
      </c>
      <c r="E69" s="10">
        <v>1000000</v>
      </c>
      <c r="F69" s="10">
        <v>4160000</v>
      </c>
      <c r="G69" s="10">
        <v>4992000</v>
      </c>
      <c r="H69" s="10">
        <v>5990000</v>
      </c>
      <c r="I69" s="10">
        <v>7188000</v>
      </c>
      <c r="J69" s="10">
        <v>8626000</v>
      </c>
      <c r="K69" s="10">
        <v>10351000</v>
      </c>
    </row>
    <row r="70" spans="1:11" ht="15.75" customHeight="1"/>
    <row r="71" spans="1:11" ht="15.75" customHeight="1"/>
    <row r="72" spans="1:11" ht="15.75" customHeight="1"/>
    <row r="73" spans="1:11" ht="15.75" customHeight="1"/>
    <row r="74" spans="1:11" ht="15.75" customHeight="1"/>
    <row r="75" spans="1:11" ht="15.75" customHeight="1"/>
    <row r="76" spans="1:11" ht="15.75" customHeight="1"/>
    <row r="77" spans="1:11" ht="15.75" customHeight="1"/>
    <row r="78" spans="1:11" ht="15.75" customHeight="1"/>
    <row r="79" spans="1:11" ht="15.75" customHeight="1"/>
    <row r="80" spans="1:11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K1000"/>
  <sheetViews>
    <sheetView workbookViewId="0"/>
  </sheetViews>
  <sheetFormatPr baseColWidth="10" defaultColWidth="12.6640625" defaultRowHeight="15" customHeight="1"/>
  <cols>
    <col min="1" max="1" width="10.5" customWidth="1"/>
    <col min="2" max="2" width="21.83203125" customWidth="1"/>
    <col min="3" max="3" width="10.5" customWidth="1"/>
    <col min="4" max="11" width="19.1640625" customWidth="1"/>
    <col min="12" max="22" width="7.6640625" customWidth="1"/>
  </cols>
  <sheetData>
    <row r="1" spans="1:11" ht="27.75" customHeight="1">
      <c r="A1" s="74" t="s">
        <v>0</v>
      </c>
      <c r="B1" s="74" t="s">
        <v>3</v>
      </c>
      <c r="C1" s="74" t="s">
        <v>4</v>
      </c>
      <c r="D1" s="74" t="s">
        <v>378</v>
      </c>
      <c r="E1" s="74" t="s">
        <v>379</v>
      </c>
      <c r="F1" s="74" t="s">
        <v>380</v>
      </c>
      <c r="G1" s="74" t="s">
        <v>381</v>
      </c>
      <c r="H1" s="74" t="s">
        <v>382</v>
      </c>
      <c r="I1" s="74" t="s">
        <v>383</v>
      </c>
      <c r="J1" s="74" t="s">
        <v>384</v>
      </c>
      <c r="K1" s="74" t="s">
        <v>385</v>
      </c>
    </row>
    <row r="2" spans="1:11" ht="19.5" customHeight="1">
      <c r="A2" s="11">
        <v>1</v>
      </c>
      <c r="B2" s="13" t="s">
        <v>281</v>
      </c>
      <c r="C2" s="17" t="s">
        <v>282</v>
      </c>
      <c r="D2" s="11">
        <v>500000</v>
      </c>
      <c r="E2" s="11">
        <v>1000000</v>
      </c>
      <c r="F2" s="11">
        <v>2980000</v>
      </c>
      <c r="G2" s="11">
        <v>3576000</v>
      </c>
      <c r="H2" s="11">
        <v>4291000</v>
      </c>
      <c r="I2" s="11">
        <v>5149000</v>
      </c>
      <c r="J2" s="11">
        <v>6179000</v>
      </c>
      <c r="K2" s="11">
        <v>7415000</v>
      </c>
    </row>
    <row r="3" spans="1:11" ht="19.5" customHeight="1">
      <c r="A3" s="10">
        <v>2</v>
      </c>
      <c r="B3" s="12" t="s">
        <v>250</v>
      </c>
      <c r="C3" s="14" t="s">
        <v>240</v>
      </c>
      <c r="D3" s="10">
        <v>500000</v>
      </c>
      <c r="E3" s="10">
        <v>1000000</v>
      </c>
      <c r="F3" s="10">
        <v>2500000</v>
      </c>
      <c r="G3" s="12" t="s">
        <v>319</v>
      </c>
      <c r="H3" s="12" t="s">
        <v>319</v>
      </c>
      <c r="I3" s="12" t="s">
        <v>319</v>
      </c>
      <c r="J3" s="12" t="s">
        <v>319</v>
      </c>
      <c r="K3" s="12" t="s">
        <v>319</v>
      </c>
    </row>
    <row r="4" spans="1:11" ht="19.5" customHeight="1">
      <c r="A4" s="11">
        <v>3</v>
      </c>
      <c r="B4" s="13" t="s">
        <v>255</v>
      </c>
      <c r="C4" s="17" t="s">
        <v>240</v>
      </c>
      <c r="D4" s="11">
        <v>500000</v>
      </c>
      <c r="E4" s="11">
        <v>1000000</v>
      </c>
      <c r="F4" s="11">
        <v>2500000</v>
      </c>
      <c r="G4" s="13" t="s">
        <v>319</v>
      </c>
      <c r="H4" s="13" t="s">
        <v>319</v>
      </c>
      <c r="I4" s="13" t="s">
        <v>319</v>
      </c>
      <c r="J4" s="13" t="s">
        <v>319</v>
      </c>
      <c r="K4" s="13" t="s">
        <v>319</v>
      </c>
    </row>
    <row r="5" spans="1:11" ht="19.5" customHeight="1">
      <c r="A5" s="10">
        <v>4</v>
      </c>
      <c r="B5" s="12" t="s">
        <v>254</v>
      </c>
      <c r="C5" s="14" t="s">
        <v>240</v>
      </c>
      <c r="D5" s="10">
        <v>500000</v>
      </c>
      <c r="E5" s="10">
        <v>1000000</v>
      </c>
      <c r="F5" s="10">
        <v>2500000</v>
      </c>
      <c r="G5" s="12" t="s">
        <v>319</v>
      </c>
      <c r="H5" s="12" t="s">
        <v>319</v>
      </c>
      <c r="I5" s="12" t="s">
        <v>319</v>
      </c>
      <c r="J5" s="12" t="s">
        <v>319</v>
      </c>
      <c r="K5" s="12" t="s">
        <v>319</v>
      </c>
    </row>
    <row r="6" spans="1:11" ht="19.5" customHeight="1">
      <c r="A6" s="11">
        <v>5</v>
      </c>
      <c r="B6" s="13" t="s">
        <v>22</v>
      </c>
      <c r="C6" s="17" t="s">
        <v>240</v>
      </c>
      <c r="D6" s="11">
        <v>500000</v>
      </c>
      <c r="E6" s="11">
        <v>1000000</v>
      </c>
      <c r="F6" s="11">
        <v>2500000</v>
      </c>
      <c r="G6" s="13" t="s">
        <v>319</v>
      </c>
      <c r="H6" s="13" t="s">
        <v>319</v>
      </c>
      <c r="I6" s="13" t="s">
        <v>319</v>
      </c>
      <c r="J6" s="13" t="s">
        <v>319</v>
      </c>
      <c r="K6" s="13" t="s">
        <v>319</v>
      </c>
    </row>
    <row r="7" spans="1:11" ht="19.5" customHeight="1">
      <c r="A7" s="10">
        <v>6</v>
      </c>
      <c r="B7" s="12" t="s">
        <v>264</v>
      </c>
      <c r="C7" s="14" t="s">
        <v>240</v>
      </c>
      <c r="D7" s="10">
        <v>500000</v>
      </c>
      <c r="E7" s="10">
        <v>1000000</v>
      </c>
      <c r="F7" s="10">
        <v>3000000</v>
      </c>
      <c r="G7" s="12" t="s">
        <v>319</v>
      </c>
      <c r="H7" s="12" t="s">
        <v>319</v>
      </c>
      <c r="I7" s="12" t="s">
        <v>319</v>
      </c>
      <c r="J7" s="12" t="s">
        <v>319</v>
      </c>
      <c r="K7" s="12" t="s">
        <v>319</v>
      </c>
    </row>
    <row r="8" spans="1:11" ht="19.5" customHeight="1">
      <c r="A8" s="11">
        <v>7</v>
      </c>
      <c r="B8" s="13" t="s">
        <v>112</v>
      </c>
      <c r="C8" s="17" t="s">
        <v>240</v>
      </c>
      <c r="D8" s="11">
        <v>500000</v>
      </c>
      <c r="E8" s="11">
        <v>1000000</v>
      </c>
      <c r="F8" s="11">
        <v>3500000</v>
      </c>
      <c r="G8" s="13" t="s">
        <v>319</v>
      </c>
      <c r="H8" s="13" t="s">
        <v>319</v>
      </c>
      <c r="I8" s="13" t="s">
        <v>319</v>
      </c>
      <c r="J8" s="13" t="s">
        <v>319</v>
      </c>
      <c r="K8" s="13" t="s">
        <v>319</v>
      </c>
    </row>
    <row r="9" spans="1:11" ht="19.5" customHeight="1">
      <c r="A9" s="10">
        <v>8</v>
      </c>
      <c r="B9" s="12" t="s">
        <v>105</v>
      </c>
      <c r="C9" s="14" t="s">
        <v>240</v>
      </c>
      <c r="D9" s="10">
        <v>500000</v>
      </c>
      <c r="E9" s="10">
        <v>1000000</v>
      </c>
      <c r="F9" s="10">
        <v>3500000</v>
      </c>
      <c r="G9" s="12" t="s">
        <v>319</v>
      </c>
      <c r="H9" s="12" t="s">
        <v>319</v>
      </c>
      <c r="I9" s="12" t="s">
        <v>319</v>
      </c>
      <c r="J9" s="12" t="s">
        <v>319</v>
      </c>
      <c r="K9" s="12" t="s">
        <v>319</v>
      </c>
    </row>
    <row r="10" spans="1:11" ht="19.5" customHeight="1">
      <c r="A10" s="11">
        <v>9</v>
      </c>
      <c r="B10" s="13" t="s">
        <v>260</v>
      </c>
      <c r="C10" s="17" t="s">
        <v>240</v>
      </c>
      <c r="D10" s="11">
        <v>500000</v>
      </c>
      <c r="E10" s="11">
        <v>1000000</v>
      </c>
      <c r="F10" s="11">
        <v>3500000</v>
      </c>
      <c r="G10" s="13" t="s">
        <v>319</v>
      </c>
      <c r="H10" s="13" t="s">
        <v>319</v>
      </c>
      <c r="I10" s="13" t="s">
        <v>319</v>
      </c>
      <c r="J10" s="13" t="s">
        <v>319</v>
      </c>
      <c r="K10" s="13" t="s">
        <v>319</v>
      </c>
    </row>
    <row r="11" spans="1:11" ht="19.5" customHeight="1">
      <c r="A11" s="10">
        <v>10</v>
      </c>
      <c r="B11" s="12" t="s">
        <v>257</v>
      </c>
      <c r="C11" s="14" t="s">
        <v>240</v>
      </c>
      <c r="D11" s="10">
        <v>500000</v>
      </c>
      <c r="E11" s="10">
        <v>1000000</v>
      </c>
      <c r="F11" s="10">
        <v>3500000</v>
      </c>
      <c r="G11" s="12" t="s">
        <v>319</v>
      </c>
      <c r="H11" s="12" t="s">
        <v>319</v>
      </c>
      <c r="I11" s="12" t="s">
        <v>319</v>
      </c>
      <c r="J11" s="12" t="s">
        <v>319</v>
      </c>
      <c r="K11" s="12" t="s">
        <v>319</v>
      </c>
    </row>
    <row r="12" spans="1:11" ht="19.5" customHeight="1">
      <c r="A12" s="11">
        <v>11</v>
      </c>
      <c r="B12" s="13" t="s">
        <v>261</v>
      </c>
      <c r="C12" s="17" t="s">
        <v>240</v>
      </c>
      <c r="D12" s="11">
        <v>500000</v>
      </c>
      <c r="E12" s="11">
        <v>1000000</v>
      </c>
      <c r="F12" s="11">
        <v>2000000</v>
      </c>
      <c r="G12" s="11">
        <v>2500000</v>
      </c>
      <c r="H12" s="11">
        <v>3000000</v>
      </c>
      <c r="I12" s="13" t="s">
        <v>319</v>
      </c>
      <c r="J12" s="13" t="s">
        <v>319</v>
      </c>
      <c r="K12" s="13" t="s">
        <v>319</v>
      </c>
    </row>
    <row r="13" spans="1:11" ht="19.5" customHeight="1">
      <c r="A13" s="10">
        <v>12</v>
      </c>
      <c r="B13" s="12" t="s">
        <v>262</v>
      </c>
      <c r="C13" s="14" t="s">
        <v>240</v>
      </c>
      <c r="D13" s="10">
        <v>500000</v>
      </c>
      <c r="E13" s="10">
        <v>1000000</v>
      </c>
      <c r="F13" s="10">
        <v>2000000</v>
      </c>
      <c r="G13" s="10">
        <v>2500000</v>
      </c>
      <c r="H13" s="10">
        <v>3000000</v>
      </c>
      <c r="I13" s="12" t="s">
        <v>319</v>
      </c>
      <c r="J13" s="12" t="s">
        <v>319</v>
      </c>
      <c r="K13" s="12" t="s">
        <v>319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000"/>
  <sheetViews>
    <sheetView workbookViewId="0"/>
  </sheetViews>
  <sheetFormatPr baseColWidth="10" defaultColWidth="12.6640625" defaultRowHeight="15" customHeight="1"/>
  <cols>
    <col min="1" max="1" width="10.5" customWidth="1"/>
    <col min="2" max="2" width="40.1640625" customWidth="1"/>
    <col min="3" max="3" width="10.5" customWidth="1"/>
    <col min="4" max="7" width="24.5" customWidth="1"/>
    <col min="8" max="26" width="7.6640625" customWidth="1"/>
  </cols>
  <sheetData>
    <row r="1" spans="1:7" ht="27.75" customHeight="1">
      <c r="A1" s="75" t="s">
        <v>0</v>
      </c>
      <c r="B1" s="75" t="s">
        <v>3</v>
      </c>
      <c r="C1" s="75" t="s">
        <v>4</v>
      </c>
      <c r="D1" s="75" t="s">
        <v>362</v>
      </c>
      <c r="E1" s="75" t="s">
        <v>364</v>
      </c>
      <c r="F1" s="75" t="s">
        <v>365</v>
      </c>
      <c r="G1" s="75" t="s">
        <v>366</v>
      </c>
    </row>
    <row r="2" spans="1:7" ht="19.5" customHeight="1">
      <c r="A2" s="11">
        <v>1</v>
      </c>
      <c r="B2" s="13" t="s">
        <v>38</v>
      </c>
      <c r="C2" s="17" t="s">
        <v>23</v>
      </c>
      <c r="D2" s="11">
        <v>12000000</v>
      </c>
      <c r="E2" s="11">
        <v>12750000</v>
      </c>
      <c r="F2" s="11">
        <v>13500000</v>
      </c>
      <c r="G2" s="11">
        <v>15000000</v>
      </c>
    </row>
    <row r="3" spans="1:7" ht="19.5" customHeight="1">
      <c r="A3" s="10">
        <v>2</v>
      </c>
      <c r="B3" s="12" t="s">
        <v>43</v>
      </c>
      <c r="C3" s="14" t="s">
        <v>23</v>
      </c>
      <c r="D3" s="10">
        <v>12000000</v>
      </c>
      <c r="E3" s="10">
        <v>12750000</v>
      </c>
      <c r="F3" s="10">
        <v>13500000</v>
      </c>
      <c r="G3" s="10">
        <v>15000000</v>
      </c>
    </row>
    <row r="4" spans="1:7" ht="19.5" customHeight="1">
      <c r="A4" s="11">
        <v>3</v>
      </c>
      <c r="B4" s="13" t="s">
        <v>22</v>
      </c>
      <c r="C4" s="17" t="s">
        <v>23</v>
      </c>
      <c r="D4" s="11">
        <v>12000000</v>
      </c>
      <c r="E4" s="11">
        <v>12750000</v>
      </c>
      <c r="F4" s="11">
        <v>13500000</v>
      </c>
      <c r="G4" s="11">
        <v>15000000</v>
      </c>
    </row>
    <row r="5" spans="1:7" ht="19.5" customHeight="1">
      <c r="A5" s="10">
        <v>4</v>
      </c>
      <c r="B5" s="12" t="s">
        <v>29</v>
      </c>
      <c r="C5" s="14" t="s">
        <v>23</v>
      </c>
      <c r="D5" s="10">
        <v>12000000</v>
      </c>
      <c r="E5" s="10">
        <v>12750000</v>
      </c>
      <c r="F5" s="10">
        <v>13500000</v>
      </c>
      <c r="G5" s="10">
        <v>15000000</v>
      </c>
    </row>
    <row r="6" spans="1:7" ht="19.5" customHeight="1">
      <c r="A6" s="11">
        <v>5</v>
      </c>
      <c r="B6" s="13" t="s">
        <v>402</v>
      </c>
      <c r="C6" s="17" t="s">
        <v>23</v>
      </c>
      <c r="D6" s="11">
        <v>12000000</v>
      </c>
      <c r="E6" s="11">
        <v>12750000</v>
      </c>
      <c r="F6" s="11">
        <v>13500000</v>
      </c>
      <c r="G6" s="11">
        <v>15000000</v>
      </c>
    </row>
    <row r="7" spans="1:7" ht="19.5" customHeight="1">
      <c r="A7" s="10">
        <v>6</v>
      </c>
      <c r="B7" s="12" t="s">
        <v>369</v>
      </c>
      <c r="C7" s="14" t="s">
        <v>23</v>
      </c>
      <c r="D7" s="10">
        <v>0</v>
      </c>
      <c r="E7" s="10">
        <v>0</v>
      </c>
      <c r="F7" s="10">
        <v>0</v>
      </c>
      <c r="G7" s="10">
        <v>0</v>
      </c>
    </row>
    <row r="8" spans="1:7" ht="19.5" customHeight="1">
      <c r="A8" s="11">
        <v>7</v>
      </c>
      <c r="B8" s="13" t="s">
        <v>54</v>
      </c>
      <c r="C8" s="17" t="s">
        <v>23</v>
      </c>
      <c r="D8" s="11">
        <v>12000000</v>
      </c>
      <c r="E8" s="11">
        <v>12750000</v>
      </c>
      <c r="F8" s="11">
        <v>13500000</v>
      </c>
      <c r="G8" s="11">
        <v>15000000</v>
      </c>
    </row>
    <row r="9" spans="1:7" ht="19.5" customHeight="1">
      <c r="A9" s="10">
        <v>8</v>
      </c>
      <c r="B9" s="12" t="s">
        <v>64</v>
      </c>
      <c r="C9" s="14" t="s">
        <v>23</v>
      </c>
      <c r="D9" s="10">
        <v>4000000</v>
      </c>
      <c r="E9" s="10">
        <v>4250000</v>
      </c>
      <c r="F9" s="10">
        <v>4500000</v>
      </c>
      <c r="G9" s="10">
        <v>5000000</v>
      </c>
    </row>
    <row r="10" spans="1:7" ht="19.5" customHeight="1">
      <c r="A10" s="11">
        <v>9</v>
      </c>
      <c r="B10" s="13" t="s">
        <v>112</v>
      </c>
      <c r="C10" s="17" t="s">
        <v>23</v>
      </c>
      <c r="D10" s="11">
        <v>40000000</v>
      </c>
      <c r="E10" s="11">
        <v>42500000</v>
      </c>
      <c r="F10" s="11">
        <v>45000000</v>
      </c>
      <c r="G10" s="11">
        <v>50000000</v>
      </c>
    </row>
    <row r="11" spans="1:7" ht="19.5" customHeight="1">
      <c r="A11" s="10">
        <v>10</v>
      </c>
      <c r="B11" s="12" t="s">
        <v>105</v>
      </c>
      <c r="C11" s="14" t="s">
        <v>23</v>
      </c>
      <c r="D11" s="10">
        <v>24000000</v>
      </c>
      <c r="E11" s="10">
        <v>25500000</v>
      </c>
      <c r="F11" s="10">
        <v>27000000</v>
      </c>
      <c r="G11" s="10">
        <v>30000000</v>
      </c>
    </row>
    <row r="12" spans="1:7" ht="19.5" customHeight="1">
      <c r="A12" s="11">
        <v>11</v>
      </c>
      <c r="B12" s="13" t="s">
        <v>95</v>
      </c>
      <c r="C12" s="17" t="s">
        <v>23</v>
      </c>
      <c r="D12" s="11">
        <v>24000000</v>
      </c>
      <c r="E12" s="11">
        <v>25500000</v>
      </c>
      <c r="F12" s="11">
        <v>27000000</v>
      </c>
      <c r="G12" s="11">
        <v>30000000</v>
      </c>
    </row>
    <row r="13" spans="1:7" ht="19.5" customHeight="1">
      <c r="A13" s="10">
        <v>12</v>
      </c>
      <c r="B13" s="12" t="s">
        <v>79</v>
      </c>
      <c r="C13" s="14" t="s">
        <v>23</v>
      </c>
      <c r="D13" s="10">
        <v>32000000</v>
      </c>
      <c r="E13" s="10">
        <v>34000000</v>
      </c>
      <c r="F13" s="10">
        <v>36000000</v>
      </c>
      <c r="G13" s="10">
        <v>40000000</v>
      </c>
    </row>
    <row r="14" spans="1:7" ht="19.5" customHeight="1">
      <c r="A14" s="11">
        <v>13</v>
      </c>
      <c r="B14" s="13" t="s">
        <v>68</v>
      </c>
      <c r="C14" s="17" t="s">
        <v>23</v>
      </c>
      <c r="D14" s="11">
        <v>24000000</v>
      </c>
      <c r="E14" s="11">
        <v>25500000</v>
      </c>
      <c r="F14" s="11">
        <v>27000000</v>
      </c>
      <c r="G14" s="11">
        <v>30000000</v>
      </c>
    </row>
    <row r="15" spans="1:7" ht="19.5" customHeight="1">
      <c r="A15" s="10">
        <v>14</v>
      </c>
      <c r="B15" s="12" t="s">
        <v>13</v>
      </c>
      <c r="C15" s="14" t="s">
        <v>23</v>
      </c>
      <c r="D15" s="10">
        <v>24000000</v>
      </c>
      <c r="E15" s="10">
        <v>25500000</v>
      </c>
      <c r="F15" s="10">
        <v>27000000</v>
      </c>
      <c r="G15" s="10">
        <v>30000000</v>
      </c>
    </row>
    <row r="16" spans="1:7" ht="19.5" customHeight="1">
      <c r="A16" s="11">
        <v>15</v>
      </c>
      <c r="B16" s="13" t="s">
        <v>87</v>
      </c>
      <c r="C16" s="17" t="s">
        <v>23</v>
      </c>
      <c r="D16" s="11">
        <v>32000000</v>
      </c>
      <c r="E16" s="11">
        <v>34000000</v>
      </c>
      <c r="F16" s="11">
        <v>36000000</v>
      </c>
      <c r="G16" s="11">
        <v>40000000</v>
      </c>
    </row>
    <row r="17" spans="1:7" ht="19.5" customHeight="1">
      <c r="A17" s="10">
        <v>16</v>
      </c>
      <c r="B17" s="12" t="s">
        <v>90</v>
      </c>
      <c r="C17" s="14" t="s">
        <v>23</v>
      </c>
      <c r="D17" s="10">
        <v>24000000</v>
      </c>
      <c r="E17" s="10">
        <v>25500000</v>
      </c>
      <c r="F17" s="10">
        <v>27000000</v>
      </c>
      <c r="G17" s="10">
        <v>30000000</v>
      </c>
    </row>
    <row r="18" spans="1:7" ht="19.5" customHeight="1">
      <c r="A18" s="11">
        <v>17</v>
      </c>
      <c r="B18" s="13" t="s">
        <v>110</v>
      </c>
      <c r="C18" s="17" t="s">
        <v>23</v>
      </c>
      <c r="D18" s="11">
        <v>40000000</v>
      </c>
      <c r="E18" s="11">
        <v>42500000</v>
      </c>
      <c r="F18" s="11">
        <v>45000000</v>
      </c>
      <c r="G18" s="11">
        <v>50000000</v>
      </c>
    </row>
    <row r="19" spans="1:7" ht="19.5" customHeight="1">
      <c r="A19" s="10">
        <v>18</v>
      </c>
      <c r="B19" s="12" t="s">
        <v>74</v>
      </c>
      <c r="C19" s="14" t="s">
        <v>23</v>
      </c>
      <c r="D19" s="10">
        <v>32000000</v>
      </c>
      <c r="E19" s="10">
        <v>34000000</v>
      </c>
      <c r="F19" s="10">
        <v>36000000</v>
      </c>
      <c r="G19" s="10">
        <v>40000000</v>
      </c>
    </row>
    <row r="20" spans="1:7" ht="19.5" customHeight="1">
      <c r="A20" s="11">
        <v>19</v>
      </c>
      <c r="B20" s="13" t="s">
        <v>103</v>
      </c>
      <c r="C20" s="17" t="s">
        <v>23</v>
      </c>
      <c r="D20" s="11">
        <v>24000000</v>
      </c>
      <c r="E20" s="11">
        <v>25500000</v>
      </c>
      <c r="F20" s="11">
        <v>27000000</v>
      </c>
      <c r="G20" s="11">
        <v>30000000</v>
      </c>
    </row>
    <row r="21" spans="1:7" ht="19.5" customHeight="1">
      <c r="A21" s="10">
        <v>20</v>
      </c>
      <c r="B21" s="12" t="s">
        <v>116</v>
      </c>
      <c r="C21" s="14" t="s">
        <v>23</v>
      </c>
      <c r="D21" s="10">
        <v>12000000</v>
      </c>
      <c r="E21" s="10">
        <v>12750000</v>
      </c>
      <c r="F21" s="10">
        <v>13500000</v>
      </c>
      <c r="G21" s="10">
        <v>15000000</v>
      </c>
    </row>
    <row r="22" spans="1:7" ht="19.5" customHeight="1">
      <c r="A22" s="11">
        <v>21</v>
      </c>
      <c r="B22" s="13" t="s">
        <v>120</v>
      </c>
      <c r="C22" s="17" t="s">
        <v>23</v>
      </c>
      <c r="D22" s="11">
        <v>12000000</v>
      </c>
      <c r="E22" s="11">
        <v>12750000</v>
      </c>
      <c r="F22" s="11">
        <v>13500000</v>
      </c>
      <c r="G22" s="11">
        <v>15000000</v>
      </c>
    </row>
    <row r="23" spans="1:7" ht="19.5" customHeight="1">
      <c r="A23" s="10">
        <v>22</v>
      </c>
      <c r="B23" s="12" t="s">
        <v>127</v>
      </c>
      <c r="C23" s="14" t="s">
        <v>23</v>
      </c>
      <c r="D23" s="10">
        <v>12000000</v>
      </c>
      <c r="E23" s="10">
        <v>12750000</v>
      </c>
      <c r="F23" s="10">
        <v>13500000</v>
      </c>
      <c r="G23" s="10">
        <v>15000000</v>
      </c>
    </row>
    <row r="24" spans="1:7" ht="19.5" customHeight="1">
      <c r="A24" s="11">
        <v>23</v>
      </c>
      <c r="B24" s="13" t="s">
        <v>131</v>
      </c>
      <c r="C24" s="17" t="s">
        <v>23</v>
      </c>
      <c r="D24" s="11">
        <v>12000000</v>
      </c>
      <c r="E24" s="11">
        <v>12750000</v>
      </c>
      <c r="F24" s="11">
        <v>13500000</v>
      </c>
      <c r="G24" s="11">
        <v>15000000</v>
      </c>
    </row>
    <row r="25" spans="1:7" ht="19.5" customHeight="1">
      <c r="A25" s="10">
        <v>24</v>
      </c>
      <c r="B25" s="12" t="s">
        <v>144</v>
      </c>
      <c r="C25" s="14" t="s">
        <v>23</v>
      </c>
      <c r="D25" s="10">
        <v>12000000</v>
      </c>
      <c r="E25" s="10">
        <v>12750000</v>
      </c>
      <c r="F25" s="10">
        <v>13500000</v>
      </c>
      <c r="G25" s="10">
        <v>15000000</v>
      </c>
    </row>
    <row r="26" spans="1:7" ht="19.5" customHeight="1">
      <c r="A26" s="11">
        <v>25</v>
      </c>
      <c r="B26" s="13" t="s">
        <v>137</v>
      </c>
      <c r="C26" s="17" t="s">
        <v>23</v>
      </c>
      <c r="D26" s="11">
        <v>12000000</v>
      </c>
      <c r="E26" s="11">
        <v>12750000</v>
      </c>
      <c r="F26" s="11">
        <v>13500000</v>
      </c>
      <c r="G26" s="11">
        <v>15000000</v>
      </c>
    </row>
    <row r="27" spans="1:7" ht="19.5" customHeight="1">
      <c r="A27" s="10">
        <v>26</v>
      </c>
      <c r="B27" s="12" t="s">
        <v>373</v>
      </c>
      <c r="C27" s="14" t="s">
        <v>23</v>
      </c>
      <c r="D27" s="10">
        <v>12000000</v>
      </c>
      <c r="E27" s="10">
        <v>12750000</v>
      </c>
      <c r="F27" s="10">
        <v>13500000</v>
      </c>
      <c r="G27" s="10">
        <v>15000000</v>
      </c>
    </row>
    <row r="28" spans="1:7" ht="19.5" customHeight="1">
      <c r="A28" s="11">
        <v>27</v>
      </c>
      <c r="B28" s="13" t="s">
        <v>147</v>
      </c>
      <c r="C28" s="17" t="s">
        <v>23</v>
      </c>
      <c r="D28" s="11">
        <v>12000000</v>
      </c>
      <c r="E28" s="11">
        <v>12750000</v>
      </c>
      <c r="F28" s="11">
        <v>13500000</v>
      </c>
      <c r="G28" s="11">
        <v>15000000</v>
      </c>
    </row>
    <row r="29" spans="1:7" ht="19.5" customHeight="1">
      <c r="A29" s="10">
        <v>28</v>
      </c>
      <c r="B29" s="12" t="s">
        <v>374</v>
      </c>
      <c r="C29" s="14" t="s">
        <v>23</v>
      </c>
      <c r="D29" s="10">
        <v>0</v>
      </c>
      <c r="E29" s="10">
        <v>0</v>
      </c>
      <c r="F29" s="10">
        <v>0</v>
      </c>
      <c r="G29" s="10">
        <v>0</v>
      </c>
    </row>
    <row r="30" spans="1:7" ht="19.5" customHeight="1">
      <c r="A30" s="11">
        <v>29</v>
      </c>
      <c r="B30" s="13" t="s">
        <v>368</v>
      </c>
      <c r="C30" s="17" t="s">
        <v>23</v>
      </c>
      <c r="D30" s="11">
        <v>0</v>
      </c>
      <c r="E30" s="11">
        <v>0</v>
      </c>
      <c r="F30" s="11">
        <v>0</v>
      </c>
      <c r="G30" s="11">
        <v>0</v>
      </c>
    </row>
    <row r="31" spans="1:7" ht="19.5" customHeight="1">
      <c r="A31" s="10">
        <v>30</v>
      </c>
      <c r="B31" s="12" t="s">
        <v>375</v>
      </c>
      <c r="C31" s="14" t="s">
        <v>23</v>
      </c>
      <c r="D31" s="10">
        <v>4000000</v>
      </c>
      <c r="E31" s="10">
        <v>4250000</v>
      </c>
      <c r="F31" s="10">
        <v>4500000</v>
      </c>
      <c r="G31" s="10">
        <v>5000000</v>
      </c>
    </row>
    <row r="32" spans="1:7" ht="19.5" customHeight="1">
      <c r="A32" s="11">
        <v>31</v>
      </c>
      <c r="B32" s="13" t="s">
        <v>160</v>
      </c>
      <c r="C32" s="17" t="s">
        <v>23</v>
      </c>
      <c r="D32" s="11">
        <v>4000000</v>
      </c>
      <c r="E32" s="11">
        <v>4250000</v>
      </c>
      <c r="F32" s="11">
        <v>4500000</v>
      </c>
      <c r="G32" s="11">
        <v>5000000</v>
      </c>
    </row>
    <row r="33" spans="1:7" ht="19.5" customHeight="1">
      <c r="A33" s="10">
        <v>32</v>
      </c>
      <c r="B33" s="12" t="s">
        <v>376</v>
      </c>
      <c r="C33" s="14" t="s">
        <v>23</v>
      </c>
      <c r="D33" s="10">
        <v>4000000</v>
      </c>
      <c r="E33" s="10">
        <v>4250000</v>
      </c>
      <c r="F33" s="10">
        <v>4500000</v>
      </c>
      <c r="G33" s="10">
        <v>5000000</v>
      </c>
    </row>
    <row r="34" spans="1:7" ht="19.5" customHeight="1">
      <c r="A34" s="11">
        <v>33</v>
      </c>
      <c r="B34" s="13" t="s">
        <v>190</v>
      </c>
      <c r="C34" s="17" t="s">
        <v>23</v>
      </c>
      <c r="D34" s="11">
        <v>4000000</v>
      </c>
      <c r="E34" s="11">
        <v>4250000</v>
      </c>
      <c r="F34" s="11">
        <v>4500000</v>
      </c>
      <c r="G34" s="11">
        <v>5000000</v>
      </c>
    </row>
    <row r="35" spans="1:7" ht="19.5" customHeight="1">
      <c r="A35" s="10">
        <v>34</v>
      </c>
      <c r="B35" s="12" t="s">
        <v>297</v>
      </c>
      <c r="C35" s="14" t="s">
        <v>23</v>
      </c>
      <c r="D35" s="10">
        <v>4000000</v>
      </c>
      <c r="E35" s="10">
        <v>4250000</v>
      </c>
      <c r="F35" s="10">
        <v>4500000</v>
      </c>
      <c r="G35" s="10">
        <v>5000000</v>
      </c>
    </row>
    <row r="36" spans="1:7" ht="19.5" customHeight="1">
      <c r="A36" s="11">
        <v>35</v>
      </c>
      <c r="B36" s="13" t="s">
        <v>377</v>
      </c>
      <c r="C36" s="17" t="s">
        <v>23</v>
      </c>
      <c r="D36" s="11">
        <v>4000000</v>
      </c>
      <c r="E36" s="11">
        <v>4250000</v>
      </c>
      <c r="F36" s="11">
        <v>4500000</v>
      </c>
      <c r="G36" s="11">
        <v>5000000</v>
      </c>
    </row>
    <row r="37" spans="1:7" ht="19.5" customHeight="1">
      <c r="A37" s="10">
        <v>36</v>
      </c>
      <c r="B37" s="12" t="s">
        <v>153</v>
      </c>
      <c r="C37" s="14" t="s">
        <v>23</v>
      </c>
      <c r="D37" s="10">
        <v>4000000</v>
      </c>
      <c r="E37" s="10">
        <v>4250000</v>
      </c>
      <c r="F37" s="10">
        <v>4500000</v>
      </c>
      <c r="G37" s="10">
        <v>5000000</v>
      </c>
    </row>
    <row r="38" spans="1:7" ht="19.5" customHeight="1">
      <c r="A38" s="11">
        <v>37</v>
      </c>
      <c r="B38" s="13" t="s">
        <v>293</v>
      </c>
      <c r="C38" s="17" t="s">
        <v>23</v>
      </c>
      <c r="D38" s="11">
        <v>4000000</v>
      </c>
      <c r="E38" s="11">
        <v>4250000</v>
      </c>
      <c r="F38" s="11">
        <v>4500000</v>
      </c>
      <c r="G38" s="11">
        <v>5000000</v>
      </c>
    </row>
    <row r="39" spans="1:7" ht="19.5" customHeight="1">
      <c r="A39" s="10">
        <v>38</v>
      </c>
      <c r="B39" s="12" t="s">
        <v>345</v>
      </c>
      <c r="C39" s="14" t="s">
        <v>23</v>
      </c>
      <c r="D39" s="10">
        <v>4000000</v>
      </c>
      <c r="E39" s="10">
        <v>4250000</v>
      </c>
      <c r="F39" s="10">
        <v>4500000</v>
      </c>
      <c r="G39" s="10">
        <v>5000000</v>
      </c>
    </row>
    <row r="40" spans="1:7" ht="19.5" customHeight="1">
      <c r="A40" s="11">
        <v>39</v>
      </c>
      <c r="B40" s="13" t="s">
        <v>164</v>
      </c>
      <c r="C40" s="17" t="s">
        <v>23</v>
      </c>
      <c r="D40" s="11">
        <v>4000000</v>
      </c>
      <c r="E40" s="11">
        <v>4250000</v>
      </c>
      <c r="F40" s="11">
        <v>4500000</v>
      </c>
      <c r="G40" s="11">
        <v>5000000</v>
      </c>
    </row>
    <row r="41" spans="1:7" ht="19.5" customHeight="1">
      <c r="A41" s="10">
        <v>40</v>
      </c>
      <c r="B41" s="12" t="s">
        <v>182</v>
      </c>
      <c r="C41" s="14" t="s">
        <v>23</v>
      </c>
      <c r="D41" s="10">
        <v>4000000</v>
      </c>
      <c r="E41" s="10">
        <v>4250000</v>
      </c>
      <c r="F41" s="10">
        <v>4500000</v>
      </c>
      <c r="G41" s="10">
        <v>5000000</v>
      </c>
    </row>
    <row r="42" spans="1:7" ht="19.5" customHeight="1">
      <c r="A42" s="11">
        <v>41</v>
      </c>
      <c r="B42" s="13" t="s">
        <v>155</v>
      </c>
      <c r="C42" s="17" t="s">
        <v>23</v>
      </c>
      <c r="D42" s="11">
        <v>4000000</v>
      </c>
      <c r="E42" s="11">
        <v>4250000</v>
      </c>
      <c r="F42" s="11">
        <v>4500000</v>
      </c>
      <c r="G42" s="11">
        <v>5000000</v>
      </c>
    </row>
    <row r="43" spans="1:7" ht="19.5" customHeight="1">
      <c r="A43" s="10">
        <v>42</v>
      </c>
      <c r="B43" s="12" t="s">
        <v>178</v>
      </c>
      <c r="C43" s="14" t="s">
        <v>23</v>
      </c>
      <c r="D43" s="10">
        <v>4000000</v>
      </c>
      <c r="E43" s="10">
        <v>4250000</v>
      </c>
      <c r="F43" s="10">
        <v>4500000</v>
      </c>
      <c r="G43" s="10">
        <v>5000000</v>
      </c>
    </row>
    <row r="44" spans="1:7" ht="19.5" customHeight="1">
      <c r="A44" s="11">
        <v>43</v>
      </c>
      <c r="B44" s="13" t="s">
        <v>185</v>
      </c>
      <c r="C44" s="17" t="s">
        <v>23</v>
      </c>
      <c r="D44" s="11">
        <v>4000000</v>
      </c>
      <c r="E44" s="11">
        <v>4250000</v>
      </c>
      <c r="F44" s="11">
        <v>4500000</v>
      </c>
      <c r="G44" s="11">
        <v>5000000</v>
      </c>
    </row>
    <row r="45" spans="1:7" ht="19.5" customHeight="1">
      <c r="A45" s="10">
        <v>44</v>
      </c>
      <c r="B45" s="12" t="s">
        <v>166</v>
      </c>
      <c r="C45" s="14" t="s">
        <v>23</v>
      </c>
      <c r="D45" s="10">
        <v>4000000</v>
      </c>
      <c r="E45" s="10">
        <v>4250000</v>
      </c>
      <c r="F45" s="10">
        <v>4500000</v>
      </c>
      <c r="G45" s="10">
        <v>5000000</v>
      </c>
    </row>
    <row r="46" spans="1:7" ht="19.5" customHeight="1">
      <c r="A46" s="11">
        <v>45</v>
      </c>
      <c r="B46" s="13" t="s">
        <v>151</v>
      </c>
      <c r="C46" s="17" t="s">
        <v>23</v>
      </c>
      <c r="D46" s="11">
        <v>4000000</v>
      </c>
      <c r="E46" s="11">
        <v>4250000</v>
      </c>
      <c r="F46" s="11">
        <v>4500000</v>
      </c>
      <c r="G46" s="11">
        <v>5000000</v>
      </c>
    </row>
    <row r="47" spans="1:7" ht="19.5" customHeight="1">
      <c r="A47" s="10">
        <v>46</v>
      </c>
      <c r="B47" s="12" t="s">
        <v>408</v>
      </c>
      <c r="C47" s="14" t="s">
        <v>23</v>
      </c>
      <c r="D47" s="10">
        <v>0</v>
      </c>
      <c r="E47" s="10">
        <v>0</v>
      </c>
      <c r="F47" s="10">
        <v>0</v>
      </c>
      <c r="G47" s="10">
        <v>0</v>
      </c>
    </row>
    <row r="48" spans="1:7" ht="19.5" customHeight="1">
      <c r="A48" s="11">
        <v>47</v>
      </c>
      <c r="B48" s="13" t="s">
        <v>194</v>
      </c>
      <c r="C48" s="17" t="s">
        <v>23</v>
      </c>
      <c r="D48" s="11">
        <v>76617000</v>
      </c>
      <c r="E48" s="11">
        <v>153234000</v>
      </c>
      <c r="F48" s="11">
        <v>229851000</v>
      </c>
      <c r="G48" s="11">
        <v>250000000</v>
      </c>
    </row>
    <row r="49" spans="1:7" ht="19.5" customHeight="1">
      <c r="A49" s="10">
        <v>48</v>
      </c>
      <c r="B49" s="12" t="s">
        <v>195</v>
      </c>
      <c r="C49" s="14" t="s">
        <v>23</v>
      </c>
      <c r="D49" s="10">
        <v>14708000</v>
      </c>
      <c r="E49" s="10">
        <v>29416000</v>
      </c>
      <c r="F49" s="10">
        <v>30000000</v>
      </c>
      <c r="G49" s="10">
        <v>30000000</v>
      </c>
    </row>
    <row r="50" spans="1:7" ht="19.5" customHeight="1">
      <c r="A50" s="11">
        <v>49</v>
      </c>
      <c r="B50" s="13" t="s">
        <v>206</v>
      </c>
      <c r="C50" s="17" t="s">
        <v>23</v>
      </c>
      <c r="D50" s="11">
        <v>4000000</v>
      </c>
      <c r="E50" s="11">
        <v>4250000</v>
      </c>
      <c r="F50" s="11">
        <v>4500000</v>
      </c>
      <c r="G50" s="11">
        <v>5000000</v>
      </c>
    </row>
    <row r="51" spans="1:7" ht="19.5" customHeight="1">
      <c r="A51" s="10">
        <v>50</v>
      </c>
      <c r="B51" s="12" t="s">
        <v>203</v>
      </c>
      <c r="C51" s="14" t="s">
        <v>23</v>
      </c>
      <c r="D51" s="10">
        <v>4000000</v>
      </c>
      <c r="E51" s="10">
        <v>4250000</v>
      </c>
      <c r="F51" s="10">
        <v>4500000</v>
      </c>
      <c r="G51" s="10">
        <v>5000000</v>
      </c>
    </row>
    <row r="52" spans="1:7" ht="19.5" customHeight="1">
      <c r="A52" s="11">
        <v>51</v>
      </c>
      <c r="B52" s="13" t="s">
        <v>204</v>
      </c>
      <c r="C52" s="17" t="s">
        <v>23</v>
      </c>
      <c r="D52" s="11">
        <v>4000000</v>
      </c>
      <c r="E52" s="11">
        <v>4250000</v>
      </c>
      <c r="F52" s="11">
        <v>4500000</v>
      </c>
      <c r="G52" s="11">
        <v>5000000</v>
      </c>
    </row>
    <row r="53" spans="1:7" ht="19.5" customHeight="1">
      <c r="A53" s="10">
        <v>52</v>
      </c>
      <c r="B53" s="12" t="s">
        <v>28</v>
      </c>
      <c r="C53" s="14" t="s">
        <v>23</v>
      </c>
      <c r="D53" s="10">
        <v>4000000</v>
      </c>
      <c r="E53" s="10">
        <v>4250000</v>
      </c>
      <c r="F53" s="10">
        <v>4500000</v>
      </c>
      <c r="G53" s="10">
        <v>5000000</v>
      </c>
    </row>
    <row r="54" spans="1:7" ht="19.5" customHeight="1">
      <c r="A54" s="11">
        <v>53</v>
      </c>
      <c r="B54" s="13" t="s">
        <v>209</v>
      </c>
      <c r="C54" s="17" t="s">
        <v>23</v>
      </c>
      <c r="D54" s="11">
        <v>20000000</v>
      </c>
      <c r="E54" s="11">
        <v>21250000</v>
      </c>
      <c r="F54" s="11">
        <v>22500000</v>
      </c>
      <c r="G54" s="11">
        <v>25000000</v>
      </c>
    </row>
    <row r="55" spans="1:7" ht="19.5" customHeight="1">
      <c r="A55" s="10">
        <v>54</v>
      </c>
      <c r="B55" s="12" t="s">
        <v>208</v>
      </c>
      <c r="C55" s="14" t="s">
        <v>23</v>
      </c>
      <c r="D55" s="10">
        <v>8000000</v>
      </c>
      <c r="E55" s="10">
        <v>8500000</v>
      </c>
      <c r="F55" s="10">
        <v>9000000</v>
      </c>
      <c r="G55" s="10">
        <v>10000000</v>
      </c>
    </row>
    <row r="56" spans="1:7" ht="19.5" customHeight="1">
      <c r="A56" s="11">
        <v>55</v>
      </c>
      <c r="B56" s="13" t="s">
        <v>202</v>
      </c>
      <c r="C56" s="17" t="s">
        <v>23</v>
      </c>
      <c r="D56" s="11">
        <v>24000000</v>
      </c>
      <c r="E56" s="11">
        <v>25500000</v>
      </c>
      <c r="F56" s="11">
        <v>27000000</v>
      </c>
      <c r="G56" s="11">
        <v>30000000</v>
      </c>
    </row>
    <row r="57" spans="1:7" ht="19.5" customHeight="1">
      <c r="A57" s="10">
        <v>56</v>
      </c>
      <c r="B57" s="12" t="s">
        <v>218</v>
      </c>
      <c r="C57" s="14" t="s">
        <v>23</v>
      </c>
      <c r="D57" s="10">
        <v>4000000</v>
      </c>
      <c r="E57" s="10">
        <v>4250000</v>
      </c>
      <c r="F57" s="10">
        <v>4500000</v>
      </c>
      <c r="G57" s="10">
        <v>5000000</v>
      </c>
    </row>
    <row r="58" spans="1:7" ht="19.5" customHeight="1">
      <c r="A58" s="11">
        <v>57</v>
      </c>
      <c r="B58" s="13" t="s">
        <v>211</v>
      </c>
      <c r="C58" s="17" t="s">
        <v>23</v>
      </c>
      <c r="D58" s="11">
        <v>4000000</v>
      </c>
      <c r="E58" s="11">
        <v>4250000</v>
      </c>
      <c r="F58" s="11">
        <v>4500000</v>
      </c>
      <c r="G58" s="11">
        <v>5000000</v>
      </c>
    </row>
    <row r="59" spans="1:7" ht="19.5" customHeight="1">
      <c r="A59" s="10">
        <v>58</v>
      </c>
      <c r="B59" s="12" t="s">
        <v>214</v>
      </c>
      <c r="C59" s="14" t="s">
        <v>23</v>
      </c>
      <c r="D59" s="10">
        <v>4000000</v>
      </c>
      <c r="E59" s="10">
        <v>4250000</v>
      </c>
      <c r="F59" s="10">
        <v>4500000</v>
      </c>
      <c r="G59" s="10">
        <v>5000000</v>
      </c>
    </row>
    <row r="60" spans="1:7" ht="19.5" customHeight="1">
      <c r="A60" s="11">
        <v>59</v>
      </c>
      <c r="B60" s="13" t="s">
        <v>212</v>
      </c>
      <c r="C60" s="17" t="s">
        <v>23</v>
      </c>
      <c r="D60" s="11">
        <v>4000000</v>
      </c>
      <c r="E60" s="11">
        <v>4250000</v>
      </c>
      <c r="F60" s="11">
        <v>4500000</v>
      </c>
      <c r="G60" s="11">
        <v>5000000</v>
      </c>
    </row>
    <row r="61" spans="1:7" ht="19.5" customHeight="1">
      <c r="A61" s="10">
        <v>60</v>
      </c>
      <c r="B61" s="12" t="s">
        <v>27</v>
      </c>
      <c r="C61" s="14" t="s">
        <v>23</v>
      </c>
      <c r="D61" s="10">
        <v>15348000</v>
      </c>
      <c r="E61" s="10">
        <v>30696000</v>
      </c>
      <c r="F61" s="10">
        <v>40000000</v>
      </c>
      <c r="G61" s="10">
        <v>40000000</v>
      </c>
    </row>
    <row r="62" spans="1:7" ht="19.5" customHeight="1">
      <c r="A62" s="11">
        <v>61</v>
      </c>
      <c r="B62" s="13" t="s">
        <v>233</v>
      </c>
      <c r="C62" s="17" t="s">
        <v>23</v>
      </c>
      <c r="D62" s="11">
        <v>76618000</v>
      </c>
      <c r="E62" s="11">
        <v>153236000</v>
      </c>
      <c r="F62" s="11">
        <v>229854000</v>
      </c>
      <c r="G62" s="11">
        <v>250000000</v>
      </c>
    </row>
    <row r="63" spans="1:7" ht="19.5" customHeight="1">
      <c r="A63" s="10">
        <v>62</v>
      </c>
      <c r="B63" s="12" t="s">
        <v>226</v>
      </c>
      <c r="C63" s="14" t="s">
        <v>23</v>
      </c>
      <c r="D63" s="10">
        <v>4800000</v>
      </c>
      <c r="E63" s="10">
        <v>5100000</v>
      </c>
      <c r="F63" s="10">
        <v>5400000</v>
      </c>
      <c r="G63" s="10">
        <v>6000000</v>
      </c>
    </row>
    <row r="64" spans="1:7" ht="19.5" customHeight="1">
      <c r="A64" s="11">
        <v>63</v>
      </c>
      <c r="B64" s="13" t="s">
        <v>308</v>
      </c>
      <c r="C64" s="17" t="s">
        <v>23</v>
      </c>
      <c r="D64" s="11">
        <v>4800000</v>
      </c>
      <c r="E64" s="11">
        <v>5100000</v>
      </c>
      <c r="F64" s="11">
        <v>5400000</v>
      </c>
      <c r="G64" s="11">
        <v>6000000</v>
      </c>
    </row>
    <row r="65" spans="1:7" ht="19.5" customHeight="1">
      <c r="A65" s="10">
        <v>64</v>
      </c>
      <c r="B65" s="12" t="s">
        <v>230</v>
      </c>
      <c r="C65" s="14" t="s">
        <v>23</v>
      </c>
      <c r="D65" s="10">
        <v>4800000</v>
      </c>
      <c r="E65" s="10">
        <v>5100000</v>
      </c>
      <c r="F65" s="10">
        <v>5400000</v>
      </c>
      <c r="G65" s="10">
        <v>6000000</v>
      </c>
    </row>
    <row r="66" spans="1:7" ht="19.5" customHeight="1">
      <c r="A66" s="11">
        <v>65</v>
      </c>
      <c r="B66" s="13" t="s">
        <v>399</v>
      </c>
      <c r="C66" s="17" t="s">
        <v>23</v>
      </c>
      <c r="D66" s="11">
        <v>0</v>
      </c>
      <c r="E66" s="11">
        <v>0</v>
      </c>
      <c r="F66" s="11">
        <v>0</v>
      </c>
      <c r="G66" s="11">
        <v>0</v>
      </c>
    </row>
    <row r="67" spans="1:7" ht="19.5" customHeight="1">
      <c r="A67" s="10">
        <v>66</v>
      </c>
      <c r="B67" s="12" t="s">
        <v>400</v>
      </c>
      <c r="C67" s="14" t="s">
        <v>23</v>
      </c>
      <c r="D67" s="10">
        <v>0</v>
      </c>
      <c r="E67" s="10">
        <v>0</v>
      </c>
      <c r="F67" s="10">
        <v>0</v>
      </c>
      <c r="G67" s="10">
        <v>0</v>
      </c>
    </row>
    <row r="68" spans="1:7" ht="19.5" customHeight="1">
      <c r="A68" s="11">
        <v>67</v>
      </c>
      <c r="B68" s="13" t="s">
        <v>401</v>
      </c>
      <c r="C68" s="17" t="s">
        <v>23</v>
      </c>
      <c r="D68" s="11">
        <v>0</v>
      </c>
      <c r="E68" s="11">
        <v>0</v>
      </c>
      <c r="F68" s="11">
        <v>0</v>
      </c>
      <c r="G68" s="11">
        <v>0</v>
      </c>
    </row>
    <row r="69" spans="1:7" ht="19.5" customHeight="1">
      <c r="A69" s="10">
        <v>68</v>
      </c>
      <c r="B69" s="12" t="s">
        <v>403</v>
      </c>
      <c r="C69" s="14" t="s">
        <v>23</v>
      </c>
      <c r="D69" s="10">
        <v>4800000</v>
      </c>
      <c r="E69" s="10">
        <v>5100000</v>
      </c>
      <c r="F69" s="10">
        <v>5400000</v>
      </c>
      <c r="G69" s="10">
        <v>6000000</v>
      </c>
    </row>
    <row r="70" spans="1:7" ht="19.5" customHeight="1">
      <c r="A70" s="11">
        <v>69</v>
      </c>
      <c r="B70" s="13" t="s">
        <v>281</v>
      </c>
      <c r="C70" s="17" t="s">
        <v>282</v>
      </c>
      <c r="D70" s="11">
        <v>12000000</v>
      </c>
      <c r="E70" s="11">
        <v>12750000</v>
      </c>
      <c r="F70" s="11">
        <v>13500000</v>
      </c>
      <c r="G70" s="11">
        <v>15000000</v>
      </c>
    </row>
    <row r="71" spans="1:7" ht="19.5" customHeight="1">
      <c r="A71" s="10">
        <v>70</v>
      </c>
      <c r="B71" s="12" t="s">
        <v>250</v>
      </c>
      <c r="C71" s="14" t="s">
        <v>240</v>
      </c>
      <c r="D71" s="10">
        <v>0</v>
      </c>
      <c r="E71" s="10">
        <v>0</v>
      </c>
      <c r="F71" s="10">
        <v>0</v>
      </c>
      <c r="G71" s="10">
        <v>0</v>
      </c>
    </row>
    <row r="72" spans="1:7" ht="19.5" customHeight="1">
      <c r="A72" s="11">
        <v>71</v>
      </c>
      <c r="B72" s="13" t="s">
        <v>255</v>
      </c>
      <c r="C72" s="17" t="s">
        <v>240</v>
      </c>
      <c r="D72" s="11">
        <v>0</v>
      </c>
      <c r="E72" s="11">
        <v>0</v>
      </c>
      <c r="F72" s="11">
        <v>0</v>
      </c>
      <c r="G72" s="11">
        <v>0</v>
      </c>
    </row>
    <row r="73" spans="1:7" ht="19.5" customHeight="1">
      <c r="A73" s="10">
        <v>72</v>
      </c>
      <c r="B73" s="12" t="s">
        <v>254</v>
      </c>
      <c r="C73" s="14" t="s">
        <v>240</v>
      </c>
      <c r="D73" s="10">
        <v>0</v>
      </c>
      <c r="E73" s="10">
        <v>0</v>
      </c>
      <c r="F73" s="10">
        <v>0</v>
      </c>
      <c r="G73" s="10">
        <v>0</v>
      </c>
    </row>
    <row r="74" spans="1:7" ht="19.5" customHeight="1">
      <c r="A74" s="11">
        <v>73</v>
      </c>
      <c r="B74" s="13" t="s">
        <v>22</v>
      </c>
      <c r="C74" s="17" t="s">
        <v>240</v>
      </c>
      <c r="D74" s="11">
        <v>0</v>
      </c>
      <c r="E74" s="11">
        <v>0</v>
      </c>
      <c r="F74" s="11">
        <v>0</v>
      </c>
      <c r="G74" s="11">
        <v>0</v>
      </c>
    </row>
    <row r="75" spans="1:7" ht="19.5" customHeight="1">
      <c r="A75" s="10">
        <v>74</v>
      </c>
      <c r="B75" s="12" t="s">
        <v>264</v>
      </c>
      <c r="C75" s="14" t="s">
        <v>240</v>
      </c>
      <c r="D75" s="10">
        <v>0</v>
      </c>
      <c r="E75" s="10">
        <v>0</v>
      </c>
      <c r="F75" s="10">
        <v>0</v>
      </c>
      <c r="G75" s="10">
        <v>0</v>
      </c>
    </row>
    <row r="76" spans="1:7" ht="19.5" customHeight="1">
      <c r="A76" s="11">
        <v>75</v>
      </c>
      <c r="B76" s="13" t="s">
        <v>112</v>
      </c>
      <c r="C76" s="17" t="s">
        <v>240</v>
      </c>
      <c r="D76" s="11">
        <v>0</v>
      </c>
      <c r="E76" s="11">
        <v>0</v>
      </c>
      <c r="F76" s="11">
        <v>0</v>
      </c>
      <c r="G76" s="11">
        <v>0</v>
      </c>
    </row>
    <row r="77" spans="1:7" ht="19.5" customHeight="1">
      <c r="A77" s="10">
        <v>76</v>
      </c>
      <c r="B77" s="12" t="s">
        <v>105</v>
      </c>
      <c r="C77" s="14" t="s">
        <v>240</v>
      </c>
      <c r="D77" s="10">
        <v>0</v>
      </c>
      <c r="E77" s="10">
        <v>0</v>
      </c>
      <c r="F77" s="10">
        <v>0</v>
      </c>
      <c r="G77" s="10">
        <v>0</v>
      </c>
    </row>
    <row r="78" spans="1:7" ht="19.5" customHeight="1">
      <c r="A78" s="11">
        <v>77</v>
      </c>
      <c r="B78" s="13" t="s">
        <v>260</v>
      </c>
      <c r="C78" s="17" t="s">
        <v>240</v>
      </c>
      <c r="D78" s="11">
        <v>0</v>
      </c>
      <c r="E78" s="11">
        <v>0</v>
      </c>
      <c r="F78" s="11">
        <v>0</v>
      </c>
      <c r="G78" s="11">
        <v>0</v>
      </c>
    </row>
    <row r="79" spans="1:7" ht="19.5" customHeight="1">
      <c r="A79" s="10">
        <v>78</v>
      </c>
      <c r="B79" s="12" t="s">
        <v>257</v>
      </c>
      <c r="C79" s="14" t="s">
        <v>240</v>
      </c>
      <c r="D79" s="10">
        <v>0</v>
      </c>
      <c r="E79" s="10">
        <v>0</v>
      </c>
      <c r="F79" s="10">
        <v>0</v>
      </c>
      <c r="G79" s="10">
        <v>0</v>
      </c>
    </row>
    <row r="80" spans="1:7" ht="19.5" customHeight="1">
      <c r="A80" s="11">
        <v>79</v>
      </c>
      <c r="B80" s="13" t="s">
        <v>261</v>
      </c>
      <c r="C80" s="17" t="s">
        <v>240</v>
      </c>
      <c r="D80" s="11">
        <v>0</v>
      </c>
      <c r="E80" s="11">
        <v>0</v>
      </c>
      <c r="F80" s="11">
        <v>0</v>
      </c>
      <c r="G80" s="11">
        <v>0</v>
      </c>
    </row>
    <row r="81" spans="1:7" ht="19.5" customHeight="1">
      <c r="A81" s="10">
        <v>80</v>
      </c>
      <c r="B81" s="12" t="s">
        <v>262</v>
      </c>
      <c r="C81" s="14" t="s">
        <v>240</v>
      </c>
      <c r="D81" s="10">
        <v>0</v>
      </c>
      <c r="E81" s="10">
        <v>0</v>
      </c>
      <c r="F81" s="10">
        <v>0</v>
      </c>
      <c r="G81" s="10">
        <v>0</v>
      </c>
    </row>
    <row r="82" spans="1:7" ht="15.75" customHeight="1"/>
    <row r="83" spans="1:7" ht="15.75" customHeight="1"/>
    <row r="84" spans="1:7" ht="15.75" customHeight="1"/>
    <row r="85" spans="1:7" ht="15.75" customHeight="1"/>
    <row r="86" spans="1:7" ht="15.75" customHeight="1"/>
    <row r="87" spans="1:7" ht="15.75" customHeight="1"/>
    <row r="88" spans="1:7" ht="15.75" customHeight="1"/>
    <row r="89" spans="1:7" ht="15.75" customHeight="1"/>
    <row r="90" spans="1:7" ht="15.75" customHeight="1"/>
    <row r="91" spans="1:7" ht="15.75" customHeight="1"/>
    <row r="92" spans="1:7" ht="15.75" customHeight="1"/>
    <row r="93" spans="1:7" ht="15.75" customHeight="1"/>
    <row r="94" spans="1:7" ht="15.75" customHeight="1"/>
    <row r="95" spans="1:7" ht="15.75" customHeight="1"/>
    <row r="96" spans="1:7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Rekapitulasi Data</vt:lpstr>
      <vt:lpstr>Sheet4</vt:lpstr>
      <vt:lpstr>UKT_S1_2022 (Maba)</vt:lpstr>
      <vt:lpstr>UKT_S1_2022 (Mandiri)</vt:lpstr>
      <vt:lpstr>UKT_D3_2022 (Reguler)</vt:lpstr>
      <vt:lpstr>UKT_D3_2022 (Mandiri)</vt:lpstr>
      <vt:lpstr>UKT_S1_2022 (Maba) (1)</vt:lpstr>
      <vt:lpstr>UKT_S1_2022 (Mandiri) (1)</vt:lpstr>
      <vt:lpstr>UKT_D3_2022 (Reguler) (1)</vt:lpstr>
      <vt:lpstr>UKT_D3_2022 (Mandiri) (1)</vt:lpstr>
      <vt:lpstr>UKT_S1_2023 (SNBP_SNBT)</vt:lpstr>
      <vt:lpstr>UKT_S1_2023 (Mandiri)</vt:lpstr>
      <vt:lpstr>UKT_D3_2023 (Reguler)</vt:lpstr>
      <vt:lpstr>UKT_D3_2023 (Mandiri)</vt:lpstr>
      <vt:lpstr>UKT_S1_2024 (SNBP_SNBT_Mandiri)</vt:lpstr>
      <vt:lpstr>UKT_Diploma_2024</vt:lpstr>
      <vt:lpstr>Tarif_IPI_2024 (Lampiran IV)</vt:lpstr>
      <vt:lpstr>UKT_S1_2025_April</vt:lpstr>
      <vt:lpstr>UKT_Diploma_2025_April</vt:lpstr>
      <vt:lpstr>Tarif_IPI_2025_April</vt:lpstr>
      <vt:lpstr>UKT_S1_2026</vt:lpstr>
      <vt:lpstr>UKT_Diploma_2026</vt:lpstr>
      <vt:lpstr>Tarif_IPI_2026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aulia muzhaffar</cp:lastModifiedBy>
  <dcterms:modified xsi:type="dcterms:W3CDTF">2026-09-30T04:11:13Z</dcterms:modified>
</cp:coreProperties>
</file>