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ksekutif" sheetId="1" state="visible" r:id="rId1"/>
    <sheet xmlns:r="http://schemas.openxmlformats.org/officeDocument/2006/relationships" name="Rincian_Per_Pro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&quot;%&quot;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b val="1"/>
      <color rgb="00FDE68A"/>
      <sz val="10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FFFFFF"/>
      <sz val="9.5"/>
    </font>
    <font>
      <name val="Segoe UI"/>
      <b val="1"/>
      <color rgb="00FDE68A"/>
      <sz val="9.5"/>
    </font>
    <font>
      <name val="Segoe UI"/>
      <b val="1"/>
      <color rgb="0064748B"/>
      <sz val="8.5"/>
    </font>
    <font>
      <name val="Segoe UI"/>
      <b val="1"/>
      <color rgb="001E3A8A"/>
      <sz val="16"/>
    </font>
    <font>
      <name val="Segoe UI"/>
      <i val="1"/>
      <color rgb="00475569"/>
      <sz val="8"/>
    </font>
    <font>
      <name val="Segoe UI"/>
      <b val="1"/>
      <color rgb="00166534"/>
      <sz val="16"/>
    </font>
    <font>
      <name val="Segoe UI"/>
      <b val="1"/>
      <color rgb="00991B1B"/>
      <sz val="16"/>
    </font>
    <font>
      <name val="Segoe UI"/>
      <b val="1"/>
      <color rgb="00B45309"/>
      <sz val="16"/>
    </font>
    <font>
      <name val="Segoe UI"/>
      <b val="1"/>
      <color rgb="000D233A"/>
      <sz val="10.5"/>
    </font>
    <font>
      <name val="Segoe UI"/>
      <b val="1"/>
      <color rgb="000F172A"/>
      <sz val="9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2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15803D"/>
        <bgColor rgb="0015803D"/>
      </patternFill>
    </fill>
    <fill>
      <patternFill patternType="solid">
        <fgColor rgb="000369A1"/>
        <bgColor rgb="000369A1"/>
      </patternFill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0284C7"/>
        <bgColor rgb="000284C7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991B1B"/>
        <bgColor rgb="00991B1B"/>
      </patternFill>
    </fill>
    <fill>
      <patternFill patternType="solid">
        <fgColor rgb="00166534"/>
        <bgColor rgb="00166534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94A3B8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FFFFFF"/>
      </top>
      <bottom style="double">
        <color rgb="00FFFFFF"/>
      </bottom>
    </border>
    <border>
      <left style="thin">
        <color rgb="00E2E8F0"/>
      </left>
      <right style="medium">
        <color rgb="00FFFFFF"/>
      </right>
      <top style="thin">
        <color rgb="00FFFFFF"/>
      </top>
      <bottom style="double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11" fillId="20" borderId="5" applyAlignment="1" pivotButton="0" quotePrefix="0" xfId="0">
      <alignment horizontal="center" vertical="center"/>
    </xf>
    <xf numFmtId="0" fontId="0" fillId="20" borderId="5" pivotButton="0" quotePrefix="0" xfId="0"/>
    <xf numFmtId="0" fontId="11" fillId="21" borderId="5" applyAlignment="1" pivotButton="0" quotePrefix="0" xfId="0">
      <alignment horizontal="center" vertical="center"/>
    </xf>
    <xf numFmtId="0" fontId="0" fillId="21" borderId="5" pivotButton="0" quotePrefix="0" xfId="0"/>
    <xf numFmtId="0" fontId="11" fillId="22" borderId="5" applyAlignment="1" pivotButton="0" quotePrefix="0" xfId="0">
      <alignment horizontal="center" vertical="center"/>
    </xf>
    <xf numFmtId="0" fontId="0" fillId="22" borderId="5" pivotButton="0" quotePrefix="0" xfId="0"/>
    <xf numFmtId="0" fontId="11" fillId="23" borderId="5" applyAlignment="1" pivotButton="0" quotePrefix="0" xfId="0">
      <alignment horizontal="center" vertical="center"/>
    </xf>
    <xf numFmtId="0" fontId="0" fillId="23" borderId="5" pivotButton="0" quotePrefix="0" xfId="0"/>
    <xf numFmtId="164" fontId="12" fillId="20" borderId="5" applyAlignment="1" pivotButton="0" quotePrefix="0" xfId="0">
      <alignment horizontal="center" vertical="center"/>
    </xf>
    <xf numFmtId="164" fontId="14" fillId="21" borderId="5" applyAlignment="1" pivotButton="0" quotePrefix="0" xfId="0">
      <alignment horizontal="center" vertical="center"/>
    </xf>
    <xf numFmtId="164" fontId="15" fillId="22" borderId="5" applyAlignment="1" pivotButton="0" quotePrefix="0" xfId="0">
      <alignment horizontal="center" vertical="center"/>
    </xf>
    <xf numFmtId="165" fontId="16" fillId="23" borderId="5" applyAlignment="1" pivotButton="0" quotePrefix="0" xfId="0">
      <alignment horizontal="center" vertical="center"/>
    </xf>
    <xf numFmtId="0" fontId="13" fillId="20" borderId="5" applyAlignment="1" pivotButton="0" quotePrefix="0" xfId="0">
      <alignment horizontal="center" vertical="center"/>
    </xf>
    <xf numFmtId="0" fontId="13" fillId="21" borderId="5" applyAlignment="1" pivotButton="0" quotePrefix="0" xfId="0">
      <alignment horizontal="center" vertical="center"/>
    </xf>
    <xf numFmtId="0" fontId="13" fillId="22" borderId="5" applyAlignment="1" pivotButton="0" quotePrefix="0" xfId="0">
      <alignment horizontal="center" vertical="center"/>
    </xf>
    <xf numFmtId="0" fontId="13" fillId="23" borderId="5" applyAlignment="1" pivotButton="0" quotePrefix="0" xfId="0">
      <alignment horizontal="center" vertical="center"/>
    </xf>
    <xf numFmtId="0" fontId="17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right" vertical="center"/>
    </xf>
    <xf numFmtId="165" fontId="6" fillId="16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right" vertical="center"/>
    </xf>
    <xf numFmtId="165" fontId="6" fillId="17" borderId="1" applyAlignment="1" pivotButton="0" quotePrefix="0" xfId="0">
      <alignment horizontal="right" vertical="center"/>
    </xf>
    <xf numFmtId="0" fontId="9" fillId="10" borderId="3" applyAlignment="1" pivotButton="0" quotePrefix="0" xfId="0">
      <alignment horizontal="center" vertical="center"/>
    </xf>
    <xf numFmtId="164" fontId="9" fillId="10" borderId="3" applyAlignment="1" pivotButton="0" quotePrefix="0" xfId="0">
      <alignment horizontal="right" vertical="center"/>
    </xf>
    <xf numFmtId="165" fontId="10" fillId="10" borderId="3" applyAlignment="1" pivotButton="0" quotePrefix="0" xfId="0">
      <alignment horizontal="right" vertical="center"/>
    </xf>
    <xf numFmtId="165" fontId="9" fillId="10" borderId="3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pivotButton="0" quotePrefix="0" xfId="0"/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right" vertical="center"/>
    </xf>
    <xf numFmtId="165" fontId="8" fillId="19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2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5" borderId="2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2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2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8" borderId="2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9" borderId="2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6" fillId="16" borderId="2" applyAlignment="1" pivotButton="0" quotePrefix="0" xfId="0">
      <alignment horizontal="right" vertical="center"/>
    </xf>
    <xf numFmtId="0" fontId="6" fillId="17" borderId="2" applyAlignment="1" pivotButton="0" quotePrefix="0" xfId="0">
      <alignment horizontal="center" vertical="center"/>
    </xf>
    <xf numFmtId="165" fontId="6" fillId="17" borderId="2" applyAlignment="1" pivotButton="0" quotePrefix="0" xfId="0">
      <alignment horizontal="right" vertical="center"/>
    </xf>
    <xf numFmtId="0" fontId="0" fillId="10" borderId="3" pivotButton="0" quotePrefix="0" xfId="0"/>
    <xf numFmtId="0" fontId="0" fillId="10" borderId="4" pivotButton="0" quotePrefix="0" xfId="0"/>
    <xf numFmtId="165" fontId="9" fillId="1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5" customWidth="1" min="4" max="4"/>
    <col width="14" customWidth="1" min="5" max="5"/>
    <col width="14" customWidth="1" min="6" max="6"/>
    <col width="6" customWidth="1" min="7" max="7"/>
    <col width="30" customWidth="1" min="8" max="8"/>
    <col width="16" customWidth="1" min="9" max="9"/>
    <col width="15" customWidth="1" min="10" max="10"/>
    <col width="14" customWidth="1" min="11" max="11"/>
  </cols>
  <sheetData>
    <row r="1" ht="28" customHeight="1">
      <c r="A1" s="1" t="inlineStr">
        <is>
          <t>UNIVERSITAS SYIAH KUALA — DASHBOARD EKSEKUTIF KEBOCORAN KELULUSAN PMB (2022–2026)</t>
        </is>
      </c>
    </row>
    <row r="2" ht="20" customHeight="1">
      <c r="A2" s="2" t="inlineStr">
        <is>
          <t>Sintesis Longitudinal Disparitas Kelulusan Seleksi vs Registrasi Ulang Riil Mahasiswa Baru (Seluruh Jalur Masuk)</t>
        </is>
      </c>
    </row>
    <row r="3" ht="10" customHeight="1"/>
    <row r="4" ht="18" customHeight="1">
      <c r="A4" s="3" t="inlineStr">
        <is>
          <t>TOTAL LULUS SELEKSI (5 TAHUN)</t>
        </is>
      </c>
      <c r="B4" s="4" t="n"/>
      <c r="C4" s="4" t="n"/>
      <c r="D4" s="5" t="inlineStr">
        <is>
          <t>TOTAL REGISTRASI ULANG (DU)</t>
        </is>
      </c>
      <c r="E4" s="6" t="n"/>
      <c r="F4" s="6" t="n"/>
      <c r="G4" s="7" t="inlineStr">
        <is>
          <t>TOTAL GUGUR / TIDAK REGISTRASI</t>
        </is>
      </c>
      <c r="H4" s="8" t="n"/>
      <c r="I4" s="8" t="n"/>
      <c r="J4" s="9" t="inlineStr">
        <is>
          <t>RATA-RATA % GUGUR USK</t>
        </is>
      </c>
      <c r="K4" s="10" t="n"/>
    </row>
    <row r="5" ht="28" customHeight="1">
      <c r="A5" s="11">
        <f>Rincian_Per_Prodi!Y87</f>
        <v/>
      </c>
      <c r="B5" s="4" t="n"/>
      <c r="C5" s="4" t="n"/>
      <c r="D5" s="12">
        <f>Rincian_Per_Prodi!Z87</f>
        <v/>
      </c>
      <c r="E5" s="6" t="n"/>
      <c r="F5" s="6" t="n"/>
      <c r="G5" s="13">
        <f>Rincian_Per_Prodi!AA87</f>
        <v/>
      </c>
      <c r="H5" s="8" t="n"/>
      <c r="I5" s="8" t="n"/>
      <c r="J5" s="14">
        <f>Rincian_Per_Prodi!AB87</f>
        <v/>
      </c>
      <c r="K5" s="10" t="n"/>
    </row>
    <row r="6" ht="18" customHeight="1">
      <c r="A6" s="15" t="inlineStr">
        <is>
          <t>Calon Mahasiswa Dinyatakan Lulus</t>
        </is>
      </c>
      <c r="B6" s="4" t="n"/>
      <c r="C6" s="4" t="n"/>
      <c r="D6" s="16">
        <f>"Tingkat Konversi: " &amp; TEXT(Rincian_Per_Prodi!Z87/Rincian_Per_Prodi!Y87*100, "0.0") &amp; "%"</f>
        <v/>
      </c>
      <c r="E6" s="6" t="n"/>
      <c r="F6" s="6" t="n"/>
      <c r="G6" s="17" t="inlineStr">
        <is>
          <t>Kursi Ditinggalkan / Menolak Lolos</t>
        </is>
      </c>
      <c r="H6" s="8" t="n"/>
      <c r="I6" s="8" t="n"/>
      <c r="J6" s="18" t="inlineStr">
        <is>
          <t>Defisit Konversi Calon Mahasiswa</t>
        </is>
      </c>
      <c r="K6" s="10" t="n"/>
    </row>
    <row r="7" ht="14" customHeight="1"/>
    <row r="8" ht="22" customHeight="1">
      <c r="A8" s="19" t="inlineStr">
        <is>
          <t>Tabel 1: Rekapitulasi Tahunan Dinamika Kelulusan vs Registrasi Ulang (2022–2026)</t>
        </is>
      </c>
    </row>
    <row r="9" ht="22" customHeight="1">
      <c r="A9" s="20" t="inlineStr">
        <is>
          <t>Tahun Akademik</t>
        </is>
      </c>
      <c r="B9" s="20" t="inlineStr">
        <is>
          <t>Total Lulus Seleksi</t>
        </is>
      </c>
      <c r="C9" s="20" t="inlineStr">
        <is>
          <t>Daftar Ulang (DU)</t>
        </is>
      </c>
      <c r="D9" s="20" t="inlineStr">
        <is>
          <t>Selisih Gugur</t>
        </is>
      </c>
      <c r="E9" s="20" t="inlineStr">
        <is>
          <t>% Gugur (Bocor)</t>
        </is>
      </c>
      <c r="F9" s="20" t="inlineStr">
        <is>
          <t>% Yield Rate</t>
        </is>
      </c>
      <c r="G9" s="20" t="inlineStr">
        <is>
          <t>Status Efisiensi</t>
        </is>
      </c>
    </row>
    <row r="10" ht="20" customHeight="1">
      <c r="A10" s="21" t="n">
        <v>2022</v>
      </c>
      <c r="B10" s="22">
        <f>Rincian_Per_Prodi!U87</f>
        <v/>
      </c>
      <c r="C10" s="22">
        <f>Rincian_Per_Prodi!V87</f>
        <v/>
      </c>
      <c r="D10" s="22">
        <f>Rincian_Per_Prodi!W87</f>
        <v/>
      </c>
      <c r="E10" s="23">
        <f>Rincian_Per_Prodi!X87</f>
        <v/>
      </c>
      <c r="F10" s="23">
        <f>IF(B10&gt;0, (C10/B10)*100, 0)</f>
        <v/>
      </c>
      <c r="G10" s="21">
        <f>IF(E10&lt;=16.5, "Optimal", IF(E10&lt;=18.0, "Moderat", "Waspada"))</f>
        <v/>
      </c>
    </row>
    <row r="11" ht="20" customHeight="1">
      <c r="A11" s="24" t="n">
        <v>2023</v>
      </c>
      <c r="B11" s="25">
        <f>Rincian_Per_Prodi!Q87</f>
        <v/>
      </c>
      <c r="C11" s="25">
        <f>Rincian_Per_Prodi!R87</f>
        <v/>
      </c>
      <c r="D11" s="25">
        <f>Rincian_Per_Prodi!S87</f>
        <v/>
      </c>
      <c r="E11" s="26">
        <f>Rincian_Per_Prodi!T87</f>
        <v/>
      </c>
      <c r="F11" s="26">
        <f>IF(B11&gt;0, (C11/B11)*100, 0)</f>
        <v/>
      </c>
      <c r="G11" s="24">
        <f>IF(E11&lt;=16.5, "Optimal", IF(E11&lt;=18.0, "Moderat", "Waspada"))</f>
        <v/>
      </c>
    </row>
    <row r="12" ht="20" customHeight="1">
      <c r="A12" s="21" t="n">
        <v>2024</v>
      </c>
      <c r="B12" s="22">
        <f>Rincian_Per_Prodi!M87</f>
        <v/>
      </c>
      <c r="C12" s="22">
        <f>Rincian_Per_Prodi!N87</f>
        <v/>
      </c>
      <c r="D12" s="22">
        <f>Rincian_Per_Prodi!O87</f>
        <v/>
      </c>
      <c r="E12" s="23">
        <f>Rincian_Per_Prodi!P87</f>
        <v/>
      </c>
      <c r="F12" s="23">
        <f>IF(B12&gt;0, (C12/B12)*100, 0)</f>
        <v/>
      </c>
      <c r="G12" s="21">
        <f>IF(E12&lt;=16.5, "Optimal", IF(E12&lt;=18.0, "Moderat", "Waspada"))</f>
        <v/>
      </c>
    </row>
    <row r="13" ht="20" customHeight="1">
      <c r="A13" s="24" t="n">
        <v>2025</v>
      </c>
      <c r="B13" s="25">
        <f>Rincian_Per_Prodi!I87</f>
        <v/>
      </c>
      <c r="C13" s="25">
        <f>Rincian_Per_Prodi!J87</f>
        <v/>
      </c>
      <c r="D13" s="25">
        <f>Rincian_Per_Prodi!K87</f>
        <v/>
      </c>
      <c r="E13" s="26">
        <f>Rincian_Per_Prodi!L87</f>
        <v/>
      </c>
      <c r="F13" s="26">
        <f>IF(B13&gt;0, (C13/B13)*100, 0)</f>
        <v/>
      </c>
      <c r="G13" s="24">
        <f>IF(E13&lt;=16.5, "Optimal", IF(E13&lt;=18.0, "Moderat", "Waspada"))</f>
        <v/>
      </c>
    </row>
    <row r="14" ht="20" customHeight="1">
      <c r="A14" s="21" t="n">
        <v>2026</v>
      </c>
      <c r="B14" s="22">
        <f>Rincian_Per_Prodi!E87</f>
        <v/>
      </c>
      <c r="C14" s="22">
        <f>Rincian_Per_Prodi!F87</f>
        <v/>
      </c>
      <c r="D14" s="22">
        <f>Rincian_Per_Prodi!G87</f>
        <v/>
      </c>
      <c r="E14" s="23">
        <f>Rincian_Per_Prodi!H87</f>
        <v/>
      </c>
      <c r="F14" s="23">
        <f>IF(B14&gt;0, (C14/B14)*100, 0)</f>
        <v/>
      </c>
      <c r="G14" s="21">
        <f>IF(E14&lt;=16.5, "Optimal", IF(E14&lt;=18.0, "Moderat", "Waspada"))</f>
        <v/>
      </c>
    </row>
    <row r="15" ht="22" customHeight="1">
      <c r="A15" s="27" t="inlineStr">
        <is>
          <t>TOTAL 5 TAHUN</t>
        </is>
      </c>
      <c r="B15" s="28">
        <f>Rincian_Per_Prodi!Y87</f>
        <v/>
      </c>
      <c r="C15" s="28">
        <f>Rincian_Per_Prodi!Z87</f>
        <v/>
      </c>
      <c r="D15" s="28">
        <f>Rincian_Per_Prodi!AA87</f>
        <v/>
      </c>
      <c r="E15" s="29">
        <f>Rincian_Per_Prodi!AB87</f>
        <v/>
      </c>
      <c r="F15" s="30">
        <f>IF(B15&gt;0, (C15/B15)*100, 0)</f>
        <v/>
      </c>
      <c r="G15" s="27" t="inlineStr">
        <is>
          <t>16.7% Rata-rata</t>
        </is>
      </c>
    </row>
    <row r="16" ht="14" customHeight="1"/>
    <row r="17" ht="22" customHeight="1">
      <c r="A17" s="19" t="inlineStr">
        <is>
          <t>Tabel 2: Peringkat Disparitas Kelulusan vs Registrasi Ulang per Fakultas (Formula Dinamis SUMIF)</t>
        </is>
      </c>
    </row>
    <row r="18" ht="22" customHeight="1">
      <c r="A18" s="31" t="inlineStr">
        <is>
          <t>Peringkat</t>
        </is>
      </c>
      <c r="B18" s="31" t="inlineStr">
        <is>
          <t>Fakultas / Unit</t>
        </is>
      </c>
      <c r="C18" s="31" t="inlineStr">
        <is>
          <t>Jumlah Prodi</t>
        </is>
      </c>
      <c r="D18" s="31" t="inlineStr">
        <is>
          <t>Total Lulus</t>
        </is>
      </c>
      <c r="E18" s="31" t="inlineStr">
        <is>
          <t>Total DU</t>
        </is>
      </c>
      <c r="F18" s="31" t="inlineStr">
        <is>
          <t>Total Gugur</t>
        </is>
      </c>
      <c r="G18" s="31" t="inlineStr">
        <is>
          <t>% Gugur (Bocor)</t>
        </is>
      </c>
    </row>
    <row r="19" ht="20" customHeight="1">
      <c r="A19" s="21" t="n">
        <v>1</v>
      </c>
      <c r="B19" s="32" t="inlineStr">
        <is>
          <t>PSDKU Gayo Lues</t>
        </is>
      </c>
      <c r="C19" s="21">
        <f>COUNTIF(Rincian_Per_Prodi!$B$6:$B$86, B19)</f>
        <v/>
      </c>
      <c r="D19" s="22">
        <f>SUMIF(Rincian_Per_Prodi!$B$6:$B$86, B19, Rincian_Per_Prodi!$Y$6:$Y$86)</f>
        <v/>
      </c>
      <c r="E19" s="22">
        <f>SUMIF(Rincian_Per_Prodi!$B$6:$B$86, B19, Rincian_Per_Prodi!$Z$6:$Z$86)</f>
        <v/>
      </c>
      <c r="F19" s="22">
        <f>SUMIF(Rincian_Per_Prodi!$B$6:$B$86, B19, Rincian_Per_Prodi!$AA$6:$AA$86)</f>
        <v/>
      </c>
      <c r="G19" s="23">
        <f>IF(D19&gt;0, (F19/D19)*100, 0)</f>
        <v/>
      </c>
    </row>
    <row r="20" ht="20" customHeight="1">
      <c r="A20" s="24" t="n">
        <v>2</v>
      </c>
      <c r="B20" s="33" t="inlineStr">
        <is>
          <t>Keperawatan</t>
        </is>
      </c>
      <c r="C20" s="24">
        <f>COUNTIF(Rincian_Per_Prodi!$B$6:$B$86, B20)</f>
        <v/>
      </c>
      <c r="D20" s="25">
        <f>SUMIF(Rincian_Per_Prodi!$B$6:$B$86, B20, Rincian_Per_Prodi!$Y$6:$Y$86)</f>
        <v/>
      </c>
      <c r="E20" s="25">
        <f>SUMIF(Rincian_Per_Prodi!$B$6:$B$86, B20, Rincian_Per_Prodi!$Z$6:$Z$86)</f>
        <v/>
      </c>
      <c r="F20" s="25">
        <f>SUMIF(Rincian_Per_Prodi!$B$6:$B$86, B20, Rincian_Per_Prodi!$AA$6:$AA$86)</f>
        <v/>
      </c>
      <c r="G20" s="26">
        <f>IF(D20&gt;0, (F20/D20)*100, 0)</f>
        <v/>
      </c>
    </row>
    <row r="21" ht="20" customHeight="1">
      <c r="A21" s="21" t="n">
        <v>3</v>
      </c>
      <c r="B21" s="32" t="inlineStr">
        <is>
          <t>Pertanian</t>
        </is>
      </c>
      <c r="C21" s="21">
        <f>COUNTIF(Rincian_Per_Prodi!$B$6:$B$86, B21)</f>
        <v/>
      </c>
      <c r="D21" s="22">
        <f>SUMIF(Rincian_Per_Prodi!$B$6:$B$86, B21, Rincian_Per_Prodi!$Y$6:$Y$86)</f>
        <v/>
      </c>
      <c r="E21" s="22">
        <f>SUMIF(Rincian_Per_Prodi!$B$6:$B$86, B21, Rincian_Per_Prodi!$Z$6:$Z$86)</f>
        <v/>
      </c>
      <c r="F21" s="22">
        <f>SUMIF(Rincian_Per_Prodi!$B$6:$B$86, B21, Rincian_Per_Prodi!$AA$6:$AA$86)</f>
        <v/>
      </c>
      <c r="G21" s="23">
        <f>IF(D21&gt;0, (F21/D21)*100, 0)</f>
        <v/>
      </c>
    </row>
    <row r="22" ht="20" customHeight="1">
      <c r="A22" s="24" t="n">
        <v>4</v>
      </c>
      <c r="B22" s="33" t="inlineStr">
        <is>
          <t>Kelautan dan Perikanan</t>
        </is>
      </c>
      <c r="C22" s="24">
        <f>COUNTIF(Rincian_Per_Prodi!$B$6:$B$86, B22)</f>
        <v/>
      </c>
      <c r="D22" s="25">
        <f>SUMIF(Rincian_Per_Prodi!$B$6:$B$86, B22, Rincian_Per_Prodi!$Y$6:$Y$86)</f>
        <v/>
      </c>
      <c r="E22" s="25">
        <f>SUMIF(Rincian_Per_Prodi!$B$6:$B$86, B22, Rincian_Per_Prodi!$Z$6:$Z$86)</f>
        <v/>
      </c>
      <c r="F22" s="25">
        <f>SUMIF(Rincian_Per_Prodi!$B$6:$B$86, B22, Rincian_Per_Prodi!$AA$6:$AA$86)</f>
        <v/>
      </c>
      <c r="G22" s="26">
        <f>IF(D22&gt;0, (F22/D22)*100, 0)</f>
        <v/>
      </c>
    </row>
    <row r="23" ht="20" customHeight="1">
      <c r="A23" s="21" t="n">
        <v>5</v>
      </c>
      <c r="B23" s="32" t="inlineStr">
        <is>
          <t>Kedokteran Hewan</t>
        </is>
      </c>
      <c r="C23" s="21">
        <f>COUNTIF(Rincian_Per_Prodi!$B$6:$B$86, B23)</f>
        <v/>
      </c>
      <c r="D23" s="22">
        <f>SUMIF(Rincian_Per_Prodi!$B$6:$B$86, B23, Rincian_Per_Prodi!$Y$6:$Y$86)</f>
        <v/>
      </c>
      <c r="E23" s="22">
        <f>SUMIF(Rincian_Per_Prodi!$B$6:$B$86, B23, Rincian_Per_Prodi!$Z$6:$Z$86)</f>
        <v/>
      </c>
      <c r="F23" s="22">
        <f>SUMIF(Rincian_Per_Prodi!$B$6:$B$86, B23, Rincian_Per_Prodi!$AA$6:$AA$86)</f>
        <v/>
      </c>
      <c r="G23" s="23">
        <f>IF(D23&gt;0, (F23/D23)*100, 0)</f>
        <v/>
      </c>
    </row>
    <row r="24" ht="20" customHeight="1">
      <c r="A24" s="24" t="n">
        <v>6</v>
      </c>
      <c r="B24" s="33" t="inlineStr">
        <is>
          <t>Teknik</t>
        </is>
      </c>
      <c r="C24" s="24">
        <f>COUNTIF(Rincian_Per_Prodi!$B$6:$B$86, B24)</f>
        <v/>
      </c>
      <c r="D24" s="25">
        <f>SUMIF(Rincian_Per_Prodi!$B$6:$B$86, B24, Rincian_Per_Prodi!$Y$6:$Y$86)</f>
        <v/>
      </c>
      <c r="E24" s="25">
        <f>SUMIF(Rincian_Per_Prodi!$B$6:$B$86, B24, Rincian_Per_Prodi!$Z$6:$Z$86)</f>
        <v/>
      </c>
      <c r="F24" s="25">
        <f>SUMIF(Rincian_Per_Prodi!$B$6:$B$86, B24, Rincian_Per_Prodi!$AA$6:$AA$86)</f>
        <v/>
      </c>
      <c r="G24" s="26">
        <f>IF(D24&gt;0, (F24/D24)*100, 0)</f>
        <v/>
      </c>
    </row>
    <row r="25" ht="20" customHeight="1">
      <c r="A25" s="21" t="n">
        <v>7</v>
      </c>
      <c r="B25" s="32" t="inlineStr">
        <is>
          <t>MIPA</t>
        </is>
      </c>
      <c r="C25" s="21">
        <f>COUNTIF(Rincian_Per_Prodi!$B$6:$B$86, B25)</f>
        <v/>
      </c>
      <c r="D25" s="22">
        <f>SUMIF(Rincian_Per_Prodi!$B$6:$B$86, B25, Rincian_Per_Prodi!$Y$6:$Y$86)</f>
        <v/>
      </c>
      <c r="E25" s="22">
        <f>SUMIF(Rincian_Per_Prodi!$B$6:$B$86, B25, Rincian_Per_Prodi!$Z$6:$Z$86)</f>
        <v/>
      </c>
      <c r="F25" s="22">
        <f>SUMIF(Rincian_Per_Prodi!$B$6:$B$86, B25, Rincian_Per_Prodi!$AA$6:$AA$86)</f>
        <v/>
      </c>
      <c r="G25" s="23">
        <f>IF(D25&gt;0, (F25/D25)*100, 0)</f>
        <v/>
      </c>
    </row>
    <row r="26" ht="20" customHeight="1">
      <c r="A26" s="24" t="n">
        <v>8</v>
      </c>
      <c r="B26" s="33" t="inlineStr">
        <is>
          <t>Ekonomi dan Bisnis</t>
        </is>
      </c>
      <c r="C26" s="24">
        <f>COUNTIF(Rincian_Per_Prodi!$B$6:$B$86, B26)</f>
        <v/>
      </c>
      <c r="D26" s="25">
        <f>SUMIF(Rincian_Per_Prodi!$B$6:$B$86, B26, Rincian_Per_Prodi!$Y$6:$Y$86)</f>
        <v/>
      </c>
      <c r="E26" s="25">
        <f>SUMIF(Rincian_Per_Prodi!$B$6:$B$86, B26, Rincian_Per_Prodi!$Z$6:$Z$86)</f>
        <v/>
      </c>
      <c r="F26" s="25">
        <f>SUMIF(Rincian_Per_Prodi!$B$6:$B$86, B26, Rincian_Per_Prodi!$AA$6:$AA$86)</f>
        <v/>
      </c>
      <c r="G26" s="26">
        <f>IF(D26&gt;0, (F26/D26)*100, 0)</f>
        <v/>
      </c>
    </row>
    <row r="27" ht="20" customHeight="1">
      <c r="A27" s="21" t="n">
        <v>9</v>
      </c>
      <c r="B27" s="32" t="inlineStr">
        <is>
          <t>FISIP</t>
        </is>
      </c>
      <c r="C27" s="21">
        <f>COUNTIF(Rincian_Per_Prodi!$B$6:$B$86, B27)</f>
        <v/>
      </c>
      <c r="D27" s="22">
        <f>SUMIF(Rincian_Per_Prodi!$B$6:$B$86, B27, Rincian_Per_Prodi!$Y$6:$Y$86)</f>
        <v/>
      </c>
      <c r="E27" s="22">
        <f>SUMIF(Rincian_Per_Prodi!$B$6:$B$86, B27, Rincian_Per_Prodi!$Z$6:$Z$86)</f>
        <v/>
      </c>
      <c r="F27" s="22">
        <f>SUMIF(Rincian_Per_Prodi!$B$6:$B$86, B27, Rincian_Per_Prodi!$AA$6:$AA$86)</f>
        <v/>
      </c>
      <c r="G27" s="23">
        <f>IF(D27&gt;0, (F27/D27)*100, 0)</f>
        <v/>
      </c>
    </row>
    <row r="28" ht="20" customHeight="1">
      <c r="A28" s="24" t="n">
        <v>10</v>
      </c>
      <c r="B28" s="33" t="inlineStr">
        <is>
          <t>FKIP</t>
        </is>
      </c>
      <c r="C28" s="24">
        <f>COUNTIF(Rincian_Per_Prodi!$B$6:$B$86, B28)</f>
        <v/>
      </c>
      <c r="D28" s="25">
        <f>SUMIF(Rincian_Per_Prodi!$B$6:$B$86, B28, Rincian_Per_Prodi!$Y$6:$Y$86)</f>
        <v/>
      </c>
      <c r="E28" s="25">
        <f>SUMIF(Rincian_Per_Prodi!$B$6:$B$86, B28, Rincian_Per_Prodi!$Z$6:$Z$86)</f>
        <v/>
      </c>
      <c r="F28" s="25">
        <f>SUMIF(Rincian_Per_Prodi!$B$6:$B$86, B28, Rincian_Per_Prodi!$AA$6:$AA$86)</f>
        <v/>
      </c>
      <c r="G28" s="26">
        <f>IF(D28&gt;0, (F28/D28)*100, 0)</f>
        <v/>
      </c>
    </row>
    <row r="29" ht="20" customHeight="1">
      <c r="A29" s="21" t="n">
        <v>11</v>
      </c>
      <c r="B29" s="32" t="inlineStr">
        <is>
          <t>Kedokteran</t>
        </is>
      </c>
      <c r="C29" s="21">
        <f>COUNTIF(Rincian_Per_Prodi!$B$6:$B$86, B29)</f>
        <v/>
      </c>
      <c r="D29" s="22">
        <f>SUMIF(Rincian_Per_Prodi!$B$6:$B$86, B29, Rincian_Per_Prodi!$Y$6:$Y$86)</f>
        <v/>
      </c>
      <c r="E29" s="22">
        <f>SUMIF(Rincian_Per_Prodi!$B$6:$B$86, B29, Rincian_Per_Prodi!$Z$6:$Z$86)</f>
        <v/>
      </c>
      <c r="F29" s="22">
        <f>SUMIF(Rincian_Per_Prodi!$B$6:$B$86, B29, Rincian_Per_Prodi!$AA$6:$AA$86)</f>
        <v/>
      </c>
      <c r="G29" s="23">
        <f>IF(D29&gt;0, (F29/D29)*100, 0)</f>
        <v/>
      </c>
    </row>
    <row r="30" ht="20" customHeight="1">
      <c r="A30" s="24" t="n">
        <v>12</v>
      </c>
      <c r="B30" s="33" t="inlineStr">
        <is>
          <t>Kedokteran Gigi</t>
        </is>
      </c>
      <c r="C30" s="24">
        <f>COUNTIF(Rincian_Per_Prodi!$B$6:$B$86, B30)</f>
        <v/>
      </c>
      <c r="D30" s="25">
        <f>SUMIF(Rincian_Per_Prodi!$B$6:$B$86, B30, Rincian_Per_Prodi!$Y$6:$Y$86)</f>
        <v/>
      </c>
      <c r="E30" s="25">
        <f>SUMIF(Rincian_Per_Prodi!$B$6:$B$86, B30, Rincian_Per_Prodi!$Z$6:$Z$86)</f>
        <v/>
      </c>
      <c r="F30" s="25">
        <f>SUMIF(Rincian_Per_Prodi!$B$6:$B$86, B30, Rincian_Per_Prodi!$AA$6:$AA$86)</f>
        <v/>
      </c>
      <c r="G30" s="26">
        <f>IF(D30&gt;0, (F30/D30)*100, 0)</f>
        <v/>
      </c>
    </row>
    <row r="31" ht="20" customHeight="1">
      <c r="A31" s="21" t="n">
        <v>13</v>
      </c>
      <c r="B31" s="32" t="inlineStr">
        <is>
          <t>Hukum</t>
        </is>
      </c>
      <c r="C31" s="21">
        <f>COUNTIF(Rincian_Per_Prodi!$B$6:$B$86, B31)</f>
        <v/>
      </c>
      <c r="D31" s="22">
        <f>SUMIF(Rincian_Per_Prodi!$B$6:$B$86, B31, Rincian_Per_Prodi!$Y$6:$Y$86)</f>
        <v/>
      </c>
      <c r="E31" s="22">
        <f>SUMIF(Rincian_Per_Prodi!$B$6:$B$86, B31, Rincian_Per_Prodi!$Z$6:$Z$86)</f>
        <v/>
      </c>
      <c r="F31" s="22">
        <f>SUMIF(Rincian_Per_Prodi!$B$6:$B$86, B31, Rincian_Per_Prodi!$AA$6:$AA$86)</f>
        <v/>
      </c>
      <c r="G31" s="23">
        <f>IF(D31&gt;0, (F31/D31)*100, 0)</f>
        <v/>
      </c>
    </row>
    <row r="32" ht="14" customHeight="1"/>
    <row r="33" ht="22" customHeight="1">
      <c r="A33" s="34" t="inlineStr">
        <is>
          <t>⚠️ Top 10 Program Studi Kebocoran Tertinggi (% Gugur)</t>
        </is>
      </c>
      <c r="G33" s="35" t="inlineStr">
        <is>
          <t>🏆 Top 10 Program Studi Paling Loyal / Setia (Terendah Gugur)</t>
        </is>
      </c>
    </row>
    <row r="34" ht="20" customHeight="1">
      <c r="A34" s="36" t="inlineStr">
        <is>
          <t>No</t>
        </is>
      </c>
      <c r="B34" s="36" t="inlineStr">
        <is>
          <t>Program Studi</t>
        </is>
      </c>
      <c r="C34" s="36" t="inlineStr">
        <is>
          <t>Fakultas</t>
        </is>
      </c>
      <c r="D34" s="36" t="inlineStr">
        <is>
          <t>Total Gugur</t>
        </is>
      </c>
      <c r="E34" s="36" t="inlineStr">
        <is>
          <t>% Gugur</t>
        </is>
      </c>
      <c r="G34" s="37" t="inlineStr">
        <is>
          <t>No</t>
        </is>
      </c>
      <c r="H34" s="37" t="inlineStr">
        <is>
          <t>Program Studi</t>
        </is>
      </c>
      <c r="I34" s="37" t="inlineStr">
        <is>
          <t>Fakultas</t>
        </is>
      </c>
      <c r="J34" s="37" t="inlineStr">
        <is>
          <t>Total Gugur</t>
        </is>
      </c>
      <c r="K34" s="37" t="inlineStr">
        <is>
          <t>% Gugur</t>
        </is>
      </c>
    </row>
    <row r="35" ht="19" customHeight="1">
      <c r="A35" s="21" t="n">
        <v>1</v>
      </c>
      <c r="B35" s="32" t="inlineStr">
        <is>
          <t>MANAJEMEN AGRIBISNIS</t>
        </is>
      </c>
      <c r="C35" s="32" t="inlineStr">
        <is>
          <t>Pertanian</t>
        </is>
      </c>
      <c r="D35" s="22">
        <f>Rincian_Per_Prodi!AA71</f>
        <v/>
      </c>
      <c r="E35" s="38">
        <f>Rincian_Per_Prodi!AB71</f>
        <v/>
      </c>
      <c r="G35" s="21" t="n">
        <v>1</v>
      </c>
      <c r="H35" s="32" t="inlineStr">
        <is>
          <t>TEKNIK SUMBER DAYA AIR</t>
        </is>
      </c>
      <c r="I35" s="32" t="inlineStr">
        <is>
          <t>Teknik</t>
        </is>
      </c>
      <c r="J35" s="22">
        <f>Rincian_Per_Prodi!AA83</f>
        <v/>
      </c>
      <c r="K35" s="39">
        <f>Rincian_Per_Prodi!AB83</f>
        <v/>
      </c>
    </row>
    <row r="36" ht="19" customHeight="1">
      <c r="A36" s="24" t="n">
        <v>2</v>
      </c>
      <c r="B36" s="33" t="inlineStr">
        <is>
          <t>KEHUTANAN (PDD GAYO LUES)</t>
        </is>
      </c>
      <c r="C36" s="33" t="inlineStr">
        <is>
          <t>PSDKU Gayo Lues</t>
        </is>
      </c>
      <c r="D36" s="25">
        <f>Rincian_Per_Prodi!AA41</f>
        <v/>
      </c>
      <c r="E36" s="38">
        <f>Rincian_Per_Prodi!AB41</f>
        <v/>
      </c>
      <c r="G36" s="24" t="n">
        <v>2</v>
      </c>
      <c r="H36" s="33" t="inlineStr">
        <is>
          <t>BISNIS DIGITAL</t>
        </is>
      </c>
      <c r="I36" s="33" t="inlineStr">
        <is>
          <t>Ekonomi dan Bisnis</t>
        </is>
      </c>
      <c r="J36" s="25">
        <f>Rincian_Per_Prodi!AA84</f>
        <v/>
      </c>
      <c r="K36" s="39">
        <f>Rincian_Per_Prodi!AB84</f>
        <v/>
      </c>
    </row>
    <row r="37" ht="19" customHeight="1">
      <c r="A37" s="21" t="n">
        <v>3</v>
      </c>
      <c r="B37" s="32" t="inlineStr">
        <is>
          <t>BUDIDAYA PETERNAKAN</t>
        </is>
      </c>
      <c r="C37" s="32" t="inlineStr">
        <is>
          <t>Pertanian</t>
        </is>
      </c>
      <c r="D37" s="22">
        <f>Rincian_Per_Prodi!AA73</f>
        <v/>
      </c>
      <c r="E37" s="38">
        <f>Rincian_Per_Prodi!AB73</f>
        <v/>
      </c>
      <c r="G37" s="21" t="n">
        <v>3</v>
      </c>
      <c r="H37" s="32" t="inlineStr">
        <is>
          <t>TEKNIK LINGKUNGAN</t>
        </is>
      </c>
      <c r="I37" s="32" t="inlineStr">
        <is>
          <t>Teknik</t>
        </is>
      </c>
      <c r="J37" s="22">
        <f>Rincian_Per_Prodi!AA82</f>
        <v/>
      </c>
      <c r="K37" s="39">
        <f>Rincian_Per_Prodi!AB82</f>
        <v/>
      </c>
    </row>
    <row r="38" ht="19" customHeight="1">
      <c r="A38" s="24" t="n">
        <v>4</v>
      </c>
      <c r="B38" s="33" t="inlineStr">
        <is>
          <t>KEUANGAN DAN PERBANKAN</t>
        </is>
      </c>
      <c r="C38" s="33" t="inlineStr">
        <is>
          <t>Ekonomi dan Bisnis</t>
        </is>
      </c>
      <c r="D38" s="25">
        <f>Rincian_Per_Prodi!AA79</f>
        <v/>
      </c>
      <c r="E38" s="38">
        <f>Rincian_Per_Prodi!AB79</f>
        <v/>
      </c>
      <c r="G38" s="24" t="n">
        <v>4</v>
      </c>
      <c r="H38" s="33" t="inlineStr">
        <is>
          <t>TEKNIK PERMINYAKAN</t>
        </is>
      </c>
      <c r="I38" s="33" t="inlineStr">
        <is>
          <t>Teknik</t>
        </is>
      </c>
      <c r="J38" s="25">
        <f>Rincian_Per_Prodi!AA85</f>
        <v/>
      </c>
      <c r="K38" s="39">
        <f>Rincian_Per_Prodi!AB85</f>
        <v/>
      </c>
    </row>
    <row r="39" ht="19" customHeight="1">
      <c r="A39" s="21" t="n">
        <v>5</v>
      </c>
      <c r="B39" s="32" t="inlineStr">
        <is>
          <t>MANAJEMEN PERUSAHAAN</t>
        </is>
      </c>
      <c r="C39" s="32" t="inlineStr">
        <is>
          <t>Ekonomi dan Bisnis</t>
        </is>
      </c>
      <c r="D39" s="22">
        <f>Rincian_Per_Prodi!AA77</f>
        <v/>
      </c>
      <c r="E39" s="38">
        <f>Rincian_Per_Prodi!AB77</f>
        <v/>
      </c>
      <c r="G39" s="21" t="n">
        <v>5</v>
      </c>
      <c r="H39" s="32" t="inlineStr">
        <is>
          <t>ILMU HUKUM</t>
        </is>
      </c>
      <c r="I39" s="32" t="inlineStr">
        <is>
          <t>Hukum</t>
        </is>
      </c>
      <c r="J39" s="22">
        <f>Rincian_Per_Prodi!AA49</f>
        <v/>
      </c>
      <c r="K39" s="39">
        <f>Rincian_Per_Prodi!AB49</f>
        <v/>
      </c>
    </row>
    <row r="40" ht="19" customHeight="1">
      <c r="A40" s="24" t="n">
        <v>6</v>
      </c>
      <c r="B40" s="33" t="inlineStr">
        <is>
          <t>TEKNIK SIPIL</t>
        </is>
      </c>
      <c r="C40" s="33" t="inlineStr">
        <is>
          <t>Teknik</t>
        </is>
      </c>
      <c r="D40" s="25">
        <f>Rincian_Per_Prodi!AA75</f>
        <v/>
      </c>
      <c r="E40" s="38">
        <f>Rincian_Per_Prodi!AB75</f>
        <v/>
      </c>
      <c r="G40" s="24" t="n">
        <v>6</v>
      </c>
      <c r="H40" s="33" t="inlineStr">
        <is>
          <t>AKUNTANSI</t>
        </is>
      </c>
      <c r="I40" s="33" t="inlineStr">
        <is>
          <t>Ekonomi dan Bisnis</t>
        </is>
      </c>
      <c r="J40" s="25">
        <f>Rincian_Per_Prodi!AA48</f>
        <v/>
      </c>
      <c r="K40" s="39">
        <f>Rincian_Per_Prodi!AB48</f>
        <v/>
      </c>
    </row>
    <row r="41" ht="19" customHeight="1">
      <c r="A41" s="21" t="n">
        <v>7</v>
      </c>
      <c r="B41" s="32" t="inlineStr">
        <is>
          <t>KESEHATAN HEWAN</t>
        </is>
      </c>
      <c r="C41" s="32" t="inlineStr">
        <is>
          <t>Kedokteran Hewan</t>
        </is>
      </c>
      <c r="D41" s="22">
        <f>Rincian_Per_Prodi!AA70</f>
        <v/>
      </c>
      <c r="E41" s="38">
        <f>Rincian_Per_Prodi!AB70</f>
        <v/>
      </c>
      <c r="G41" s="21" t="n">
        <v>7</v>
      </c>
      <c r="H41" s="32" t="inlineStr">
        <is>
          <t>PENDIDIKAN DOKTER</t>
        </is>
      </c>
      <c r="I41" s="32" t="inlineStr">
        <is>
          <t>Kedokteran</t>
        </is>
      </c>
      <c r="J41" s="22">
        <f>Rincian_Per_Prodi!AA21</f>
        <v/>
      </c>
      <c r="K41" s="39">
        <f>Rincian_Per_Prodi!AB21</f>
        <v/>
      </c>
    </row>
    <row r="42" ht="19" customHeight="1">
      <c r="A42" s="24" t="n">
        <v>8</v>
      </c>
      <c r="B42" s="33" t="inlineStr">
        <is>
          <t>TEKNIK LISTRIK</t>
        </is>
      </c>
      <c r="C42" s="33" t="inlineStr">
        <is>
          <t>Teknik</t>
        </is>
      </c>
      <c r="D42" s="25">
        <f>Rincian_Per_Prodi!AA72</f>
        <v/>
      </c>
      <c r="E42" s="38">
        <f>Rincian_Per_Prodi!AB72</f>
        <v/>
      </c>
      <c r="G42" s="24" t="n">
        <v>8</v>
      </c>
      <c r="H42" s="33" t="inlineStr">
        <is>
          <t>STATISTIKA</t>
        </is>
      </c>
      <c r="I42" s="33" t="inlineStr">
        <is>
          <t>MIPA</t>
        </is>
      </c>
      <c r="J42" s="25">
        <f>Rincian_Per_Prodi!AA35</f>
        <v/>
      </c>
      <c r="K42" s="39">
        <f>Rincian_Per_Prodi!AB35</f>
        <v/>
      </c>
    </row>
    <row r="43" ht="19" customHeight="1">
      <c r="A43" s="21" t="n">
        <v>9</v>
      </c>
      <c r="B43" s="32" t="inlineStr">
        <is>
          <t>AGROTEKNOLOGI (PDD GAYO LUES)</t>
        </is>
      </c>
      <c r="C43" s="32" t="inlineStr">
        <is>
          <t>PSDKU Gayo Lues</t>
        </is>
      </c>
      <c r="D43" s="22">
        <f>Rincian_Per_Prodi!AA39</f>
        <v/>
      </c>
      <c r="E43" s="38">
        <f>Rincian_Per_Prodi!AB39</f>
        <v/>
      </c>
      <c r="G43" s="21" t="n">
        <v>9</v>
      </c>
      <c r="H43" s="32" t="inlineStr">
        <is>
          <t>TEKNIK GEOFISIKA</t>
        </is>
      </c>
      <c r="I43" s="32" t="inlineStr">
        <is>
          <t>Teknik</t>
        </is>
      </c>
      <c r="J43" s="22">
        <f>Rincian_Per_Prodi!AA33</f>
        <v/>
      </c>
      <c r="K43" s="39">
        <f>Rincian_Per_Prodi!AB33</f>
        <v/>
      </c>
    </row>
    <row r="44" ht="19" customHeight="1">
      <c r="A44" s="24" t="n">
        <v>10</v>
      </c>
      <c r="B44" s="33" t="inlineStr">
        <is>
          <t>TEKNIK MESIN</t>
        </is>
      </c>
      <c r="C44" s="33" t="inlineStr">
        <is>
          <t>Teknik</t>
        </is>
      </c>
      <c r="D44" s="25">
        <f>Rincian_Per_Prodi!AA74</f>
        <v/>
      </c>
      <c r="E44" s="38">
        <f>Rincian_Per_Prodi!AB74</f>
        <v/>
      </c>
      <c r="G44" s="24" t="n">
        <v>10</v>
      </c>
      <c r="H44" s="33" t="inlineStr">
        <is>
          <t>TEKNIK GEOLOGI</t>
        </is>
      </c>
      <c r="I44" s="33" t="inlineStr">
        <is>
          <t>Teknik</t>
        </is>
      </c>
      <c r="J44" s="25">
        <f>Rincian_Per_Prodi!AA38</f>
        <v/>
      </c>
      <c r="K44" s="39">
        <f>Rincian_Per_Prodi!AB38</f>
        <v/>
      </c>
    </row>
  </sheetData>
  <mergeCells count="18">
    <mergeCell ref="J4:K4"/>
    <mergeCell ref="A17:G17"/>
    <mergeCell ref="D5:F5"/>
    <mergeCell ref="A5:C5"/>
    <mergeCell ref="G5:I5"/>
    <mergeCell ref="G6:I6"/>
    <mergeCell ref="J5:K5"/>
    <mergeCell ref="J6:K6"/>
    <mergeCell ref="D4:F4"/>
    <mergeCell ref="A6:C6"/>
    <mergeCell ref="A8:G8"/>
    <mergeCell ref="A2:K2"/>
    <mergeCell ref="A33:E33"/>
    <mergeCell ref="G33:K33"/>
    <mergeCell ref="G4:I4"/>
    <mergeCell ref="A4:C4"/>
    <mergeCell ref="D6:F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7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10" customWidth="1" min="4" max="4"/>
    <col width="12" customWidth="1" min="5" max="5"/>
    <col width="12" customWidth="1" min="6" max="6"/>
    <col width="12" customWidth="1" min="7" max="7"/>
    <col width="12.5" customWidth="1" min="8" max="8"/>
    <col width="12" customWidth="1" min="9" max="9"/>
    <col width="12" customWidth="1" min="10" max="10"/>
    <col width="12" customWidth="1" min="11" max="11"/>
    <col width="12.5" customWidth="1" min="12" max="12"/>
    <col width="12" customWidth="1" min="13" max="13"/>
    <col width="12" customWidth="1" min="14" max="14"/>
    <col width="12" customWidth="1" min="15" max="15"/>
    <col width="12.5" customWidth="1" min="16" max="16"/>
    <col width="12" customWidth="1" min="17" max="17"/>
    <col width="12" customWidth="1" min="18" max="18"/>
    <col width="12" customWidth="1" min="19" max="19"/>
    <col width="12.5" customWidth="1" min="20" max="20"/>
    <col width="12" customWidth="1" min="21" max="21"/>
    <col width="12" customWidth="1" min="22" max="22"/>
    <col width="12" customWidth="1" min="23" max="23"/>
    <col width="12.5" customWidth="1" min="24" max="24"/>
    <col width="12" customWidth="1" min="25" max="25"/>
    <col width="12" customWidth="1" min="26" max="26"/>
    <col width="12" customWidth="1" min="27" max="27"/>
    <col width="12.5" customWidth="1" min="28" max="28"/>
  </cols>
  <sheetData>
    <row r="1" ht="28" customHeight="1">
      <c r="A1" s="1" t="inlineStr">
        <is>
          <t>UNIVERSITAS SYIAH KUALA — REKAPITULASI LENGKAP SELISIH LULUS VS DAFTAR ULANG PER PROGRAM STUDI (2022–2026)</t>
        </is>
      </c>
    </row>
    <row r="2" ht="20" customHeight="1">
      <c r="A2" s="2" t="inlineStr">
        <is>
          <t>Rincian Data Longitudinal 81 Program Studi Jenjang S1, D3, dan PSDKU Gayo Lues | Selisih Gugur = Lulus - DU</t>
        </is>
      </c>
    </row>
    <row r="3" ht="8" customHeight="1"/>
    <row r="4" ht="26" customHeight="1">
      <c r="A4" s="40" t="inlineStr">
        <is>
          <t>IDENTITAS PROGRAM STUDI</t>
        </is>
      </c>
      <c r="B4" s="41" t="n"/>
      <c r="C4" s="41" t="n"/>
      <c r="D4" s="42" t="n"/>
      <c r="E4" s="43" t="inlineStr">
        <is>
          <t>TAHUN AKADEMIK 2026</t>
        </is>
      </c>
      <c r="F4" s="44" t="n"/>
      <c r="G4" s="44" t="n"/>
      <c r="H4" s="45" t="n"/>
      <c r="I4" s="46" t="inlineStr">
        <is>
          <t>TAHUN AKADEMIK 2025</t>
        </is>
      </c>
      <c r="J4" s="47" t="n"/>
      <c r="K4" s="47" t="n"/>
      <c r="L4" s="48" t="n"/>
      <c r="M4" s="49" t="inlineStr">
        <is>
          <t>TAHUN AKADEMIK 2024</t>
        </is>
      </c>
      <c r="N4" s="50" t="n"/>
      <c r="O4" s="50" t="n"/>
      <c r="P4" s="51" t="n"/>
      <c r="Q4" s="52" t="inlineStr">
        <is>
          <t>TAHUN AKADEMIK 2023</t>
        </is>
      </c>
      <c r="R4" s="53" t="n"/>
      <c r="S4" s="53" t="n"/>
      <c r="T4" s="54" t="n"/>
      <c r="U4" s="55" t="inlineStr">
        <is>
          <t>TAHUN AKADEMIK 2022</t>
        </is>
      </c>
      <c r="V4" s="56" t="n"/>
      <c r="W4" s="56" t="n"/>
      <c r="X4" s="57" t="n"/>
      <c r="Y4" s="58" t="inlineStr">
        <is>
          <t>TOTAL 5 TAHUN (2022–2026)</t>
        </is>
      </c>
      <c r="Z4" s="59" t="n"/>
      <c r="AA4" s="59" t="n"/>
      <c r="AB4" s="59" t="n"/>
    </row>
    <row r="5" ht="26" customHeight="1">
      <c r="A5" s="31" t="inlineStr">
        <is>
          <t>No</t>
        </is>
      </c>
      <c r="B5" s="31" t="inlineStr">
        <is>
          <t>Fakultas</t>
        </is>
      </c>
      <c r="C5" s="31" t="inlineStr">
        <is>
          <t>Nama Program Studi</t>
        </is>
      </c>
      <c r="D5" s="60" t="inlineStr">
        <is>
          <t>Jenjang</t>
        </is>
      </c>
      <c r="E5" s="61" t="inlineStr">
        <is>
          <t>Lulus</t>
        </is>
      </c>
      <c r="F5" s="61" t="inlineStr">
        <is>
          <t>Daftar Ulang</t>
        </is>
      </c>
      <c r="G5" s="61" t="inlineStr">
        <is>
          <t>Gugur</t>
        </is>
      </c>
      <c r="H5" s="62" t="inlineStr">
        <is>
          <t>% Gugur</t>
        </is>
      </c>
      <c r="I5" s="63" t="inlineStr">
        <is>
          <t>Lulus</t>
        </is>
      </c>
      <c r="J5" s="63" t="inlineStr">
        <is>
          <t>Daftar Ulang</t>
        </is>
      </c>
      <c r="K5" s="63" t="inlineStr">
        <is>
          <t>Gugur</t>
        </is>
      </c>
      <c r="L5" s="64" t="inlineStr">
        <is>
          <t>% Gugur</t>
        </is>
      </c>
      <c r="M5" s="65" t="inlineStr">
        <is>
          <t>Lulus</t>
        </is>
      </c>
      <c r="N5" s="65" t="inlineStr">
        <is>
          <t>Daftar Ulang</t>
        </is>
      </c>
      <c r="O5" s="65" t="inlineStr">
        <is>
          <t>Gugur</t>
        </is>
      </c>
      <c r="P5" s="66" t="inlineStr">
        <is>
          <t>% Gugur</t>
        </is>
      </c>
      <c r="Q5" s="67" t="inlineStr">
        <is>
          <t>Lulus</t>
        </is>
      </c>
      <c r="R5" s="67" t="inlineStr">
        <is>
          <t>Daftar Ulang</t>
        </is>
      </c>
      <c r="S5" s="67" t="inlineStr">
        <is>
          <t>Gugur</t>
        </is>
      </c>
      <c r="T5" s="68" t="inlineStr">
        <is>
          <t>% Gugur</t>
        </is>
      </c>
      <c r="U5" s="69" t="inlineStr">
        <is>
          <t>Lulus</t>
        </is>
      </c>
      <c r="V5" s="69" t="inlineStr">
        <is>
          <t>Daftar Ulang</t>
        </is>
      </c>
      <c r="W5" s="69" t="inlineStr">
        <is>
          <t>Gugur</t>
        </is>
      </c>
      <c r="X5" s="70" t="inlineStr">
        <is>
          <t>% Gugur</t>
        </is>
      </c>
      <c r="Y5" s="71" t="inlineStr">
        <is>
          <t>Total Lulus</t>
        </is>
      </c>
      <c r="Z5" s="71" t="inlineStr">
        <is>
          <t>Total DU</t>
        </is>
      </c>
      <c r="AA5" s="71" t="inlineStr">
        <is>
          <t>Total Gugur</t>
        </is>
      </c>
      <c r="AB5" s="71" t="inlineStr">
        <is>
          <t>Rata % Gugur</t>
        </is>
      </c>
    </row>
    <row r="6" ht="20" customHeight="1">
      <c r="A6" s="21" t="n">
        <v>1</v>
      </c>
      <c r="B6" s="32" t="inlineStr">
        <is>
          <t>Kedokteran Hewan</t>
        </is>
      </c>
      <c r="C6" s="32" t="inlineStr">
        <is>
          <t>PENDIDIKAN DOKTER HEWAN</t>
        </is>
      </c>
      <c r="D6" s="72" t="inlineStr">
        <is>
          <t>S1</t>
        </is>
      </c>
      <c r="E6" s="22" t="n">
        <v>264</v>
      </c>
      <c r="F6" s="22" t="n">
        <v>224</v>
      </c>
      <c r="G6" s="22">
        <f>MAX(0, E6-F6)</f>
        <v/>
      </c>
      <c r="H6" s="73">
        <f>IF(E6&gt;0, (G6/E6)*100, 0)</f>
        <v/>
      </c>
      <c r="I6" s="22" t="n">
        <v>276</v>
      </c>
      <c r="J6" s="22" t="n">
        <v>227</v>
      </c>
      <c r="K6" s="22">
        <f>MAX(0, I6-J6)</f>
        <v/>
      </c>
      <c r="L6" s="73">
        <f>IF(I6&gt;0, (K6/I6)*100, 0)</f>
        <v/>
      </c>
      <c r="M6" s="22" t="n">
        <v>252</v>
      </c>
      <c r="N6" s="22" t="n">
        <v>219</v>
      </c>
      <c r="O6" s="22">
        <f>MAX(0, M6-N6)</f>
        <v/>
      </c>
      <c r="P6" s="73">
        <f>IF(M6&gt;0, (O6/M6)*100, 0)</f>
        <v/>
      </c>
      <c r="Q6" s="22" t="n">
        <v>209</v>
      </c>
      <c r="R6" s="22" t="n">
        <v>174</v>
      </c>
      <c r="S6" s="22">
        <f>MAX(0, Q6-R6)</f>
        <v/>
      </c>
      <c r="T6" s="73">
        <f>IF(Q6&gt;0, (S6/Q6)*100, 0)</f>
        <v/>
      </c>
      <c r="U6" s="22" t="n">
        <v>245</v>
      </c>
      <c r="V6" s="22" t="n">
        <v>193</v>
      </c>
      <c r="W6" s="22">
        <f>MAX(0, U6-V6)</f>
        <v/>
      </c>
      <c r="X6" s="73">
        <f>IF(U6&gt;0, (W6/U6)*100, 0)</f>
        <v/>
      </c>
      <c r="Y6" s="22">
        <f>E6+I6+M6+Q6+U6</f>
        <v/>
      </c>
      <c r="Z6" s="22">
        <f>F6+J6+N6+R6+V6</f>
        <v/>
      </c>
      <c r="AA6" s="22">
        <f>G6+K6+O6+S6+W6</f>
        <v/>
      </c>
      <c r="AB6" s="23">
        <f>IF(Y6&gt;0, (AA6/Y6)*100, 0)</f>
        <v/>
      </c>
    </row>
    <row r="7" ht="20" customHeight="1">
      <c r="A7" s="24" t="n">
        <v>2</v>
      </c>
      <c r="B7" s="33" t="inlineStr">
        <is>
          <t>Teknik</t>
        </is>
      </c>
      <c r="C7" s="33" t="inlineStr">
        <is>
          <t>TEKNIK SIPIL</t>
        </is>
      </c>
      <c r="D7" s="74" t="inlineStr">
        <is>
          <t>S1</t>
        </is>
      </c>
      <c r="E7" s="25" t="n">
        <v>282</v>
      </c>
      <c r="F7" s="25" t="n">
        <v>252</v>
      </c>
      <c r="G7" s="25">
        <f>MAX(0, E7-F7)</f>
        <v/>
      </c>
      <c r="H7" s="75">
        <f>IF(E7&gt;0, (G7/E7)*100, 0)</f>
        <v/>
      </c>
      <c r="I7" s="25" t="n">
        <v>263</v>
      </c>
      <c r="J7" s="25" t="n">
        <v>232</v>
      </c>
      <c r="K7" s="25">
        <f>MAX(0, I7-J7)</f>
        <v/>
      </c>
      <c r="L7" s="75">
        <f>IF(I7&gt;0, (K7/I7)*100, 0)</f>
        <v/>
      </c>
      <c r="M7" s="25" t="n">
        <v>264</v>
      </c>
      <c r="N7" s="25" t="n">
        <v>223</v>
      </c>
      <c r="O7" s="25">
        <f>MAX(0, M7-N7)</f>
        <v/>
      </c>
      <c r="P7" s="75">
        <f>IF(M7&gt;0, (O7/M7)*100, 0)</f>
        <v/>
      </c>
      <c r="Q7" s="25" t="n">
        <v>212</v>
      </c>
      <c r="R7" s="25" t="n">
        <v>169</v>
      </c>
      <c r="S7" s="25">
        <f>MAX(0, Q7-R7)</f>
        <v/>
      </c>
      <c r="T7" s="75">
        <f>IF(Q7&gt;0, (S7/Q7)*100, 0)</f>
        <v/>
      </c>
      <c r="U7" s="25" t="n">
        <v>188</v>
      </c>
      <c r="V7" s="25" t="n">
        <v>154</v>
      </c>
      <c r="W7" s="25">
        <f>MAX(0, U7-V7)</f>
        <v/>
      </c>
      <c r="X7" s="75">
        <f>IF(U7&gt;0, (W7/U7)*100, 0)</f>
        <v/>
      </c>
      <c r="Y7" s="25">
        <f>E7+I7+M7+Q7+U7</f>
        <v/>
      </c>
      <c r="Z7" s="25">
        <f>F7+J7+N7+R7+V7</f>
        <v/>
      </c>
      <c r="AA7" s="25">
        <f>G7+K7+O7+S7+W7</f>
        <v/>
      </c>
      <c r="AB7" s="26">
        <f>IF(Y7&gt;0, (AA7/Y7)*100, 0)</f>
        <v/>
      </c>
    </row>
    <row r="8" ht="20" customHeight="1">
      <c r="A8" s="21" t="n">
        <v>3</v>
      </c>
      <c r="B8" s="32" t="inlineStr">
        <is>
          <t>Teknik</t>
        </is>
      </c>
      <c r="C8" s="32" t="inlineStr">
        <is>
          <t>TEKNIK MESIN</t>
        </is>
      </c>
      <c r="D8" s="72" t="inlineStr">
        <is>
          <t>S1</t>
        </is>
      </c>
      <c r="E8" s="22" t="n">
        <v>124</v>
      </c>
      <c r="F8" s="22" t="n">
        <v>98</v>
      </c>
      <c r="G8" s="22">
        <f>MAX(0, E8-F8)</f>
        <v/>
      </c>
      <c r="H8" s="73">
        <f>IF(E8&gt;0, (G8/E8)*100, 0)</f>
        <v/>
      </c>
      <c r="I8" s="22" t="n">
        <v>120</v>
      </c>
      <c r="J8" s="22" t="n">
        <v>101</v>
      </c>
      <c r="K8" s="22">
        <f>MAX(0, I8-J8)</f>
        <v/>
      </c>
      <c r="L8" s="73">
        <f>IF(I8&gt;0, (K8/I8)*100, 0)</f>
        <v/>
      </c>
      <c r="M8" s="22" t="n">
        <v>122</v>
      </c>
      <c r="N8" s="22" t="n">
        <v>101</v>
      </c>
      <c r="O8" s="22">
        <f>MAX(0, M8-N8)</f>
        <v/>
      </c>
      <c r="P8" s="73">
        <f>IF(M8&gt;0, (O8/M8)*100, 0)</f>
        <v/>
      </c>
      <c r="Q8" s="22" t="n">
        <v>106</v>
      </c>
      <c r="R8" s="22" t="n">
        <v>87</v>
      </c>
      <c r="S8" s="22">
        <f>MAX(0, Q8-R8)</f>
        <v/>
      </c>
      <c r="T8" s="73">
        <f>IF(Q8&gt;0, (S8/Q8)*100, 0)</f>
        <v/>
      </c>
      <c r="U8" s="22" t="n">
        <v>124</v>
      </c>
      <c r="V8" s="22" t="n">
        <v>96</v>
      </c>
      <c r="W8" s="22">
        <f>MAX(0, U8-V8)</f>
        <v/>
      </c>
      <c r="X8" s="73">
        <f>IF(U8&gt;0, (W8/U8)*100, 0)</f>
        <v/>
      </c>
      <c r="Y8" s="22">
        <f>E8+I8+M8+Q8+U8</f>
        <v/>
      </c>
      <c r="Z8" s="22">
        <f>F8+J8+N8+R8+V8</f>
        <v/>
      </c>
      <c r="AA8" s="22">
        <f>G8+K8+O8+S8+W8</f>
        <v/>
      </c>
      <c r="AB8" s="23">
        <f>IF(Y8&gt;0, (AA8/Y8)*100, 0)</f>
        <v/>
      </c>
    </row>
    <row r="9" ht="20" customHeight="1">
      <c r="A9" s="24" t="n">
        <v>4</v>
      </c>
      <c r="B9" s="33" t="inlineStr">
        <is>
          <t>Teknik</t>
        </is>
      </c>
      <c r="C9" s="33" t="inlineStr">
        <is>
          <t>TEKNIK KIMIA</t>
        </is>
      </c>
      <c r="D9" s="74" t="inlineStr">
        <is>
          <t>S1</t>
        </is>
      </c>
      <c r="E9" s="25" t="n">
        <v>143</v>
      </c>
      <c r="F9" s="25" t="n">
        <v>120</v>
      </c>
      <c r="G9" s="25">
        <f>MAX(0, E9-F9)</f>
        <v/>
      </c>
      <c r="H9" s="75">
        <f>IF(E9&gt;0, (G9/E9)*100, 0)</f>
        <v/>
      </c>
      <c r="I9" s="25" t="n">
        <v>143</v>
      </c>
      <c r="J9" s="25" t="n">
        <v>116</v>
      </c>
      <c r="K9" s="25">
        <f>MAX(0, I9-J9)</f>
        <v/>
      </c>
      <c r="L9" s="75">
        <f>IF(I9&gt;0, (K9/I9)*100, 0)</f>
        <v/>
      </c>
      <c r="M9" s="25" t="n">
        <v>119</v>
      </c>
      <c r="N9" s="25" t="n">
        <v>100</v>
      </c>
      <c r="O9" s="25">
        <f>MAX(0, M9-N9)</f>
        <v/>
      </c>
      <c r="P9" s="75">
        <f>IF(M9&gt;0, (O9/M9)*100, 0)</f>
        <v/>
      </c>
      <c r="Q9" s="25" t="n">
        <v>108</v>
      </c>
      <c r="R9" s="25" t="n">
        <v>85</v>
      </c>
      <c r="S9" s="25">
        <f>MAX(0, Q9-R9)</f>
        <v/>
      </c>
      <c r="T9" s="75">
        <f>IF(Q9&gt;0, (S9/Q9)*100, 0)</f>
        <v/>
      </c>
      <c r="U9" s="25" t="n">
        <v>113</v>
      </c>
      <c r="V9" s="25" t="n">
        <v>96</v>
      </c>
      <c r="W9" s="25">
        <f>MAX(0, U9-V9)</f>
        <v/>
      </c>
      <c r="X9" s="75">
        <f>IF(U9&gt;0, (W9/U9)*100, 0)</f>
        <v/>
      </c>
      <c r="Y9" s="25">
        <f>E9+I9+M9+Q9+U9</f>
        <v/>
      </c>
      <c r="Z9" s="25">
        <f>F9+J9+N9+R9+V9</f>
        <v/>
      </c>
      <c r="AA9" s="25">
        <f>G9+K9+O9+S9+W9</f>
        <v/>
      </c>
      <c r="AB9" s="26">
        <f>IF(Y9&gt;0, (AA9/Y9)*100, 0)</f>
        <v/>
      </c>
    </row>
    <row r="10" ht="20" customHeight="1">
      <c r="A10" s="21" t="n">
        <v>5</v>
      </c>
      <c r="B10" s="32" t="inlineStr">
        <is>
          <t>Teknik</t>
        </is>
      </c>
      <c r="C10" s="32" t="inlineStr">
        <is>
          <t>ARSITEKTUR</t>
        </is>
      </c>
      <c r="D10" s="72" t="inlineStr">
        <is>
          <t>S1</t>
        </is>
      </c>
      <c r="E10" s="22" t="n">
        <v>149</v>
      </c>
      <c r="F10" s="22" t="n">
        <v>131</v>
      </c>
      <c r="G10" s="22">
        <f>MAX(0, E10-F10)</f>
        <v/>
      </c>
      <c r="H10" s="73">
        <f>IF(E10&gt;0, (G10/E10)*100, 0)</f>
        <v/>
      </c>
      <c r="I10" s="22" t="n">
        <v>136</v>
      </c>
      <c r="J10" s="22" t="n">
        <v>120</v>
      </c>
      <c r="K10" s="22">
        <f>MAX(0, I10-J10)</f>
        <v/>
      </c>
      <c r="L10" s="73">
        <f>IF(I10&gt;0, (K10/I10)*100, 0)</f>
        <v/>
      </c>
      <c r="M10" s="22" t="n">
        <v>146</v>
      </c>
      <c r="N10" s="22" t="n">
        <v>122</v>
      </c>
      <c r="O10" s="22">
        <f>MAX(0, M10-N10)</f>
        <v/>
      </c>
      <c r="P10" s="73">
        <f>IF(M10&gt;0, (O10/M10)*100, 0)</f>
        <v/>
      </c>
      <c r="Q10" s="22" t="n">
        <v>139</v>
      </c>
      <c r="R10" s="22" t="n">
        <v>116</v>
      </c>
      <c r="S10" s="22">
        <f>MAX(0, Q10-R10)</f>
        <v/>
      </c>
      <c r="T10" s="73">
        <f>IF(Q10&gt;0, (S10/Q10)*100, 0)</f>
        <v/>
      </c>
      <c r="U10" s="22" t="n">
        <v>134</v>
      </c>
      <c r="V10" s="22" t="n">
        <v>116</v>
      </c>
      <c r="W10" s="22">
        <f>MAX(0, U10-V10)</f>
        <v/>
      </c>
      <c r="X10" s="73">
        <f>IF(U10&gt;0, (W10/U10)*100, 0)</f>
        <v/>
      </c>
      <c r="Y10" s="22">
        <f>E10+I10+M10+Q10+U10</f>
        <v/>
      </c>
      <c r="Z10" s="22">
        <f>F10+J10+N10+R10+V10</f>
        <v/>
      </c>
      <c r="AA10" s="22">
        <f>G10+K10+O10+S10+W10</f>
        <v/>
      </c>
      <c r="AB10" s="23">
        <f>IF(Y10&gt;0, (AA10/Y10)*100, 0)</f>
        <v/>
      </c>
    </row>
    <row r="11" ht="20" customHeight="1">
      <c r="A11" s="24" t="n">
        <v>6</v>
      </c>
      <c r="B11" s="33" t="inlineStr">
        <is>
          <t>Teknik</t>
        </is>
      </c>
      <c r="C11" s="33" t="inlineStr">
        <is>
          <t>TEKNIK ELEKTRO</t>
        </is>
      </c>
      <c r="D11" s="74" t="inlineStr">
        <is>
          <t>S1</t>
        </is>
      </c>
      <c r="E11" s="25" t="n">
        <v>137</v>
      </c>
      <c r="F11" s="25" t="n">
        <v>112</v>
      </c>
      <c r="G11" s="25">
        <f>MAX(0, E11-F11)</f>
        <v/>
      </c>
      <c r="H11" s="75">
        <f>IF(E11&gt;0, (G11/E11)*100, 0)</f>
        <v/>
      </c>
      <c r="I11" s="25" t="n">
        <v>133</v>
      </c>
      <c r="J11" s="25" t="n">
        <v>113</v>
      </c>
      <c r="K11" s="25">
        <f>MAX(0, I11-J11)</f>
        <v/>
      </c>
      <c r="L11" s="75">
        <f>IF(I11&gt;0, (K11/I11)*100, 0)</f>
        <v/>
      </c>
      <c r="M11" s="25" t="n">
        <v>134</v>
      </c>
      <c r="N11" s="25" t="n">
        <v>113</v>
      </c>
      <c r="O11" s="25">
        <f>MAX(0, M11-N11)</f>
        <v/>
      </c>
      <c r="P11" s="75">
        <f>IF(M11&gt;0, (O11/M11)*100, 0)</f>
        <v/>
      </c>
      <c r="Q11" s="25" t="n">
        <v>93</v>
      </c>
      <c r="R11" s="25" t="n">
        <v>79</v>
      </c>
      <c r="S11" s="25">
        <f>MAX(0, Q11-R11)</f>
        <v/>
      </c>
      <c r="T11" s="75">
        <f>IF(Q11&gt;0, (S11/Q11)*100, 0)</f>
        <v/>
      </c>
      <c r="U11" s="25" t="n">
        <v>118</v>
      </c>
      <c r="V11" s="25" t="n">
        <v>87</v>
      </c>
      <c r="W11" s="25">
        <f>MAX(0, U11-V11)</f>
        <v/>
      </c>
      <c r="X11" s="75">
        <f>IF(U11&gt;0, (W11/U11)*100, 0)</f>
        <v/>
      </c>
      <c r="Y11" s="25">
        <f>E11+I11+M11+Q11+U11</f>
        <v/>
      </c>
      <c r="Z11" s="25">
        <f>F11+J11+N11+R11+V11</f>
        <v/>
      </c>
      <c r="AA11" s="25">
        <f>G11+K11+O11+S11+W11</f>
        <v/>
      </c>
      <c r="AB11" s="26">
        <f>IF(Y11&gt;0, (AA11/Y11)*100, 0)</f>
        <v/>
      </c>
    </row>
    <row r="12" ht="20" customHeight="1">
      <c r="A12" s="21" t="n">
        <v>7</v>
      </c>
      <c r="B12" s="32" t="inlineStr">
        <is>
          <t>Pertanian</t>
        </is>
      </c>
      <c r="C12" s="32" t="inlineStr">
        <is>
          <t>AGROTEKNOLOGI</t>
        </is>
      </c>
      <c r="D12" s="72" t="inlineStr">
        <is>
          <t>S1</t>
        </is>
      </c>
      <c r="E12" s="22" t="n">
        <v>116</v>
      </c>
      <c r="F12" s="22" t="n">
        <v>94</v>
      </c>
      <c r="G12" s="22">
        <f>MAX(0, E12-F12)</f>
        <v/>
      </c>
      <c r="H12" s="73">
        <f>IF(E12&gt;0, (G12/E12)*100, 0)</f>
        <v/>
      </c>
      <c r="I12" s="22" t="n">
        <v>109</v>
      </c>
      <c r="J12" s="22" t="n">
        <v>88</v>
      </c>
      <c r="K12" s="22">
        <f>MAX(0, I12-J12)</f>
        <v/>
      </c>
      <c r="L12" s="73">
        <f>IF(I12&gt;0, (K12/I12)*100, 0)</f>
        <v/>
      </c>
      <c r="M12" s="22" t="n">
        <v>96</v>
      </c>
      <c r="N12" s="22" t="n">
        <v>75</v>
      </c>
      <c r="O12" s="22">
        <f>MAX(0, M12-N12)</f>
        <v/>
      </c>
      <c r="P12" s="73">
        <f>IF(M12&gt;0, (O12/M12)*100, 0)</f>
        <v/>
      </c>
      <c r="Q12" s="22" t="n">
        <v>105</v>
      </c>
      <c r="R12" s="22" t="n">
        <v>78</v>
      </c>
      <c r="S12" s="22">
        <f>MAX(0, Q12-R12)</f>
        <v/>
      </c>
      <c r="T12" s="73">
        <f>IF(Q12&gt;0, (S12/Q12)*100, 0)</f>
        <v/>
      </c>
      <c r="U12" s="22" t="n">
        <v>113</v>
      </c>
      <c r="V12" s="22" t="n">
        <v>93</v>
      </c>
      <c r="W12" s="22">
        <f>MAX(0, U12-V12)</f>
        <v/>
      </c>
      <c r="X12" s="73">
        <f>IF(U12&gt;0, (W12/U12)*100, 0)</f>
        <v/>
      </c>
      <c r="Y12" s="22">
        <f>E12+I12+M12+Q12+U12</f>
        <v/>
      </c>
      <c r="Z12" s="22">
        <f>F12+J12+N12+R12+V12</f>
        <v/>
      </c>
      <c r="AA12" s="22">
        <f>G12+K12+O12+S12+W12</f>
        <v/>
      </c>
      <c r="AB12" s="23">
        <f>IF(Y12&gt;0, (AA12/Y12)*100, 0)</f>
        <v/>
      </c>
    </row>
    <row r="13" ht="20" customHeight="1">
      <c r="A13" s="24" t="n">
        <v>8</v>
      </c>
      <c r="B13" s="33" t="inlineStr">
        <is>
          <t>Pertanian</t>
        </is>
      </c>
      <c r="C13" s="33" t="inlineStr">
        <is>
          <t>AGRIBISNIS</t>
        </is>
      </c>
      <c r="D13" s="74" t="inlineStr">
        <is>
          <t>S1</t>
        </is>
      </c>
      <c r="E13" s="25" t="n">
        <v>165</v>
      </c>
      <c r="F13" s="25" t="n">
        <v>135</v>
      </c>
      <c r="G13" s="25">
        <f>MAX(0, E13-F13)</f>
        <v/>
      </c>
      <c r="H13" s="75">
        <f>IF(E13&gt;0, (G13/E13)*100, 0)</f>
        <v/>
      </c>
      <c r="I13" s="25" t="n">
        <v>145</v>
      </c>
      <c r="J13" s="25" t="n">
        <v>126</v>
      </c>
      <c r="K13" s="25">
        <f>MAX(0, I13-J13)</f>
        <v/>
      </c>
      <c r="L13" s="75">
        <f>IF(I13&gt;0, (K13/I13)*100, 0)</f>
        <v/>
      </c>
      <c r="M13" s="25" t="n">
        <v>155</v>
      </c>
      <c r="N13" s="25" t="n">
        <v>126</v>
      </c>
      <c r="O13" s="25">
        <f>MAX(0, M13-N13)</f>
        <v/>
      </c>
      <c r="P13" s="75">
        <f>IF(M13&gt;0, (O13/M13)*100, 0)</f>
        <v/>
      </c>
      <c r="Q13" s="25" t="n">
        <v>103</v>
      </c>
      <c r="R13" s="25" t="n">
        <v>81</v>
      </c>
      <c r="S13" s="25">
        <f>MAX(0, Q13-R13)</f>
        <v/>
      </c>
      <c r="T13" s="75">
        <f>IF(Q13&gt;0, (S13/Q13)*100, 0)</f>
        <v/>
      </c>
      <c r="U13" s="25" t="n">
        <v>121</v>
      </c>
      <c r="V13" s="25" t="n">
        <v>98</v>
      </c>
      <c r="W13" s="25">
        <f>MAX(0, U13-V13)</f>
        <v/>
      </c>
      <c r="X13" s="75">
        <f>IF(U13&gt;0, (W13/U13)*100, 0)</f>
        <v/>
      </c>
      <c r="Y13" s="25">
        <f>E13+I13+M13+Q13+U13</f>
        <v/>
      </c>
      <c r="Z13" s="25">
        <f>F13+J13+N13+R13+V13</f>
        <v/>
      </c>
      <c r="AA13" s="25">
        <f>G13+K13+O13+S13+W13</f>
        <v/>
      </c>
      <c r="AB13" s="26">
        <f>IF(Y13&gt;0, (AA13/Y13)*100, 0)</f>
        <v/>
      </c>
    </row>
    <row r="14" ht="20" customHeight="1">
      <c r="A14" s="21" t="n">
        <v>9</v>
      </c>
      <c r="B14" s="32" t="inlineStr">
        <is>
          <t>Pertanian</t>
        </is>
      </c>
      <c r="C14" s="32" t="inlineStr">
        <is>
          <t>PETERNAKAN</t>
        </is>
      </c>
      <c r="D14" s="72" t="inlineStr">
        <is>
          <t>S1</t>
        </is>
      </c>
      <c r="E14" s="22" t="n">
        <v>115</v>
      </c>
      <c r="F14" s="22" t="n">
        <v>98</v>
      </c>
      <c r="G14" s="22">
        <f>MAX(0, E14-F14)</f>
        <v/>
      </c>
      <c r="H14" s="73">
        <f>IF(E14&gt;0, (G14/E14)*100, 0)</f>
        <v/>
      </c>
      <c r="I14" s="22" t="n">
        <v>109</v>
      </c>
      <c r="J14" s="22" t="n">
        <v>88</v>
      </c>
      <c r="K14" s="22">
        <f>MAX(0, I14-J14)</f>
        <v/>
      </c>
      <c r="L14" s="73">
        <f>IF(I14&gt;0, (K14/I14)*100, 0)</f>
        <v/>
      </c>
      <c r="M14" s="22" t="n">
        <v>103</v>
      </c>
      <c r="N14" s="22" t="n">
        <v>82</v>
      </c>
      <c r="O14" s="22">
        <f>MAX(0, M14-N14)</f>
        <v/>
      </c>
      <c r="P14" s="73">
        <f>IF(M14&gt;0, (O14/M14)*100, 0)</f>
        <v/>
      </c>
      <c r="Q14" s="22" t="n">
        <v>101</v>
      </c>
      <c r="R14" s="22" t="n">
        <v>76</v>
      </c>
      <c r="S14" s="22">
        <f>MAX(0, Q14-R14)</f>
        <v/>
      </c>
      <c r="T14" s="73">
        <f>IF(Q14&gt;0, (S14/Q14)*100, 0)</f>
        <v/>
      </c>
      <c r="U14" s="22" t="n">
        <v>116</v>
      </c>
      <c r="V14" s="22" t="n">
        <v>81</v>
      </c>
      <c r="W14" s="22">
        <f>MAX(0, U14-V14)</f>
        <v/>
      </c>
      <c r="X14" s="73">
        <f>IF(U14&gt;0, (W14/U14)*100, 0)</f>
        <v/>
      </c>
      <c r="Y14" s="22">
        <f>E14+I14+M14+Q14+U14</f>
        <v/>
      </c>
      <c r="Z14" s="22">
        <f>F14+J14+N14+R14+V14</f>
        <v/>
      </c>
      <c r="AA14" s="22">
        <f>G14+K14+O14+S14+W14</f>
        <v/>
      </c>
      <c r="AB14" s="23">
        <f>IF(Y14&gt;0, (AA14/Y14)*100, 0)</f>
        <v/>
      </c>
    </row>
    <row r="15" ht="20" customHeight="1">
      <c r="A15" s="24" t="n">
        <v>10</v>
      </c>
      <c r="B15" s="33" t="inlineStr">
        <is>
          <t>Pertanian</t>
        </is>
      </c>
      <c r="C15" s="33" t="inlineStr">
        <is>
          <t>TEKNOLOGI HASIL PERTANIAN</t>
        </is>
      </c>
      <c r="D15" s="74" t="inlineStr">
        <is>
          <t>S1</t>
        </is>
      </c>
      <c r="E15" s="25" t="n">
        <v>123</v>
      </c>
      <c r="F15" s="25" t="n">
        <v>102</v>
      </c>
      <c r="G15" s="25">
        <f>MAX(0, E15-F15)</f>
        <v/>
      </c>
      <c r="H15" s="75">
        <f>IF(E15&gt;0, (G15/E15)*100, 0)</f>
        <v/>
      </c>
      <c r="I15" s="25" t="n">
        <v>115</v>
      </c>
      <c r="J15" s="25" t="n">
        <v>102</v>
      </c>
      <c r="K15" s="25">
        <f>MAX(0, I15-J15)</f>
        <v/>
      </c>
      <c r="L15" s="75">
        <f>IF(I15&gt;0, (K15/I15)*100, 0)</f>
        <v/>
      </c>
      <c r="M15" s="25" t="n">
        <v>116</v>
      </c>
      <c r="N15" s="25" t="n">
        <v>91</v>
      </c>
      <c r="O15" s="25">
        <f>MAX(0, M15-N15)</f>
        <v/>
      </c>
      <c r="P15" s="75">
        <f>IF(M15&gt;0, (O15/M15)*100, 0)</f>
        <v/>
      </c>
      <c r="Q15" s="25" t="n">
        <v>72</v>
      </c>
      <c r="R15" s="25" t="n">
        <v>60</v>
      </c>
      <c r="S15" s="25">
        <f>MAX(0, Q15-R15)</f>
        <v/>
      </c>
      <c r="T15" s="75">
        <f>IF(Q15&gt;0, (S15/Q15)*100, 0)</f>
        <v/>
      </c>
      <c r="U15" s="25" t="n">
        <v>72</v>
      </c>
      <c r="V15" s="25" t="n">
        <v>52</v>
      </c>
      <c r="W15" s="25">
        <f>MAX(0, U15-V15)</f>
        <v/>
      </c>
      <c r="X15" s="75">
        <f>IF(U15&gt;0, (W15/U15)*100, 0)</f>
        <v/>
      </c>
      <c r="Y15" s="25">
        <f>E15+I15+M15+Q15+U15</f>
        <v/>
      </c>
      <c r="Z15" s="25">
        <f>F15+J15+N15+R15+V15</f>
        <v/>
      </c>
      <c r="AA15" s="25">
        <f>G15+K15+O15+S15+W15</f>
        <v/>
      </c>
      <c r="AB15" s="26">
        <f>IF(Y15&gt;0, (AA15/Y15)*100, 0)</f>
        <v/>
      </c>
    </row>
    <row r="16" ht="20" customHeight="1">
      <c r="A16" s="21" t="n">
        <v>11</v>
      </c>
      <c r="B16" s="32" t="inlineStr">
        <is>
          <t>Pertanian</t>
        </is>
      </c>
      <c r="C16" s="32" t="inlineStr">
        <is>
          <t>TEKNIK PERTANIAN</t>
        </is>
      </c>
      <c r="D16" s="72" t="inlineStr">
        <is>
          <t>S1</t>
        </is>
      </c>
      <c r="E16" s="22" t="n">
        <v>123</v>
      </c>
      <c r="F16" s="22" t="n">
        <v>101</v>
      </c>
      <c r="G16" s="22">
        <f>MAX(0, E16-F16)</f>
        <v/>
      </c>
      <c r="H16" s="73">
        <f>IF(E16&gt;0, (G16/E16)*100, 0)</f>
        <v/>
      </c>
      <c r="I16" s="22" t="n">
        <v>137</v>
      </c>
      <c r="J16" s="22" t="n">
        <v>118</v>
      </c>
      <c r="K16" s="22">
        <f>MAX(0, I16-J16)</f>
        <v/>
      </c>
      <c r="L16" s="73">
        <f>IF(I16&gt;0, (K16/I16)*100, 0)</f>
        <v/>
      </c>
      <c r="M16" s="22" t="n">
        <v>131</v>
      </c>
      <c r="N16" s="22" t="n">
        <v>99</v>
      </c>
      <c r="O16" s="22">
        <f>MAX(0, M16-N16)</f>
        <v/>
      </c>
      <c r="P16" s="73">
        <f>IF(M16&gt;0, (O16/M16)*100, 0)</f>
        <v/>
      </c>
      <c r="Q16" s="22" t="n">
        <v>113</v>
      </c>
      <c r="R16" s="22" t="n">
        <v>85</v>
      </c>
      <c r="S16" s="22">
        <f>MAX(0, Q16-R16)</f>
        <v/>
      </c>
      <c r="T16" s="73">
        <f>IF(Q16&gt;0, (S16/Q16)*100, 0)</f>
        <v/>
      </c>
      <c r="U16" s="22" t="n">
        <v>126</v>
      </c>
      <c r="V16" s="22" t="n">
        <v>93</v>
      </c>
      <c r="W16" s="22">
        <f>MAX(0, U16-V16)</f>
        <v/>
      </c>
      <c r="X16" s="73">
        <f>IF(U16&gt;0, (W16/U16)*100, 0)</f>
        <v/>
      </c>
      <c r="Y16" s="22">
        <f>E16+I16+M16+Q16+U16</f>
        <v/>
      </c>
      <c r="Z16" s="22">
        <f>F16+J16+N16+R16+V16</f>
        <v/>
      </c>
      <c r="AA16" s="22">
        <f>G16+K16+O16+S16+W16</f>
        <v/>
      </c>
      <c r="AB16" s="23">
        <f>IF(Y16&gt;0, (AA16/Y16)*100, 0)</f>
        <v/>
      </c>
    </row>
    <row r="17" ht="20" customHeight="1">
      <c r="A17" s="24" t="n">
        <v>12</v>
      </c>
      <c r="B17" s="33" t="inlineStr">
        <is>
          <t>FKIP</t>
        </is>
      </c>
      <c r="C17" s="33" t="inlineStr">
        <is>
          <t>PENDIDIKAN BIOLOGI</t>
        </is>
      </c>
      <c r="D17" s="74" t="inlineStr">
        <is>
          <t>S1</t>
        </is>
      </c>
      <c r="E17" s="25" t="n">
        <v>110</v>
      </c>
      <c r="F17" s="25" t="n">
        <v>86</v>
      </c>
      <c r="G17" s="25">
        <f>MAX(0, E17-F17)</f>
        <v/>
      </c>
      <c r="H17" s="75">
        <f>IF(E17&gt;0, (G17/E17)*100, 0)</f>
        <v/>
      </c>
      <c r="I17" s="25" t="n">
        <v>101</v>
      </c>
      <c r="J17" s="25" t="n">
        <v>82</v>
      </c>
      <c r="K17" s="25">
        <f>MAX(0, I17-J17)</f>
        <v/>
      </c>
      <c r="L17" s="75">
        <f>IF(I17&gt;0, (K17/I17)*100, 0)</f>
        <v/>
      </c>
      <c r="M17" s="25" t="n">
        <v>136</v>
      </c>
      <c r="N17" s="25" t="n">
        <v>115</v>
      </c>
      <c r="O17" s="25">
        <f>MAX(0, M17-N17)</f>
        <v/>
      </c>
      <c r="P17" s="75">
        <f>IF(M17&gt;0, (O17/M17)*100, 0)</f>
        <v/>
      </c>
      <c r="Q17" s="25" t="n">
        <v>112</v>
      </c>
      <c r="R17" s="25" t="n">
        <v>82</v>
      </c>
      <c r="S17" s="25">
        <f>MAX(0, Q17-R17)</f>
        <v/>
      </c>
      <c r="T17" s="75">
        <f>IF(Q17&gt;0, (S17/Q17)*100, 0)</f>
        <v/>
      </c>
      <c r="U17" s="25" t="n">
        <v>118</v>
      </c>
      <c r="V17" s="25" t="n">
        <v>84</v>
      </c>
      <c r="W17" s="25">
        <f>MAX(0, U17-V17)</f>
        <v/>
      </c>
      <c r="X17" s="75">
        <f>IF(U17&gt;0, (W17/U17)*100, 0)</f>
        <v/>
      </c>
      <c r="Y17" s="25">
        <f>E17+I17+M17+Q17+U17</f>
        <v/>
      </c>
      <c r="Z17" s="25">
        <f>F17+J17+N17+R17+V17</f>
        <v/>
      </c>
      <c r="AA17" s="25">
        <f>G17+K17+O17+S17+W17</f>
        <v/>
      </c>
      <c r="AB17" s="26">
        <f>IF(Y17&gt;0, (AA17/Y17)*100, 0)</f>
        <v/>
      </c>
    </row>
    <row r="18" ht="20" customHeight="1">
      <c r="A18" s="21" t="n">
        <v>13</v>
      </c>
      <c r="B18" s="32" t="inlineStr">
        <is>
          <t>FKIP</t>
        </is>
      </c>
      <c r="C18" s="32" t="inlineStr">
        <is>
          <t>PENDIDIKAN MATEMATIKA</t>
        </is>
      </c>
      <c r="D18" s="72" t="inlineStr">
        <is>
          <t>S1</t>
        </is>
      </c>
      <c r="E18" s="22" t="n">
        <v>90</v>
      </c>
      <c r="F18" s="22" t="n">
        <v>79</v>
      </c>
      <c r="G18" s="22">
        <f>MAX(0, E18-F18)</f>
        <v/>
      </c>
      <c r="H18" s="73">
        <f>IF(E18&gt;0, (G18/E18)*100, 0)</f>
        <v/>
      </c>
      <c r="I18" s="22" t="n">
        <v>94</v>
      </c>
      <c r="J18" s="22" t="n">
        <v>83</v>
      </c>
      <c r="K18" s="22">
        <f>MAX(0, I18-J18)</f>
        <v/>
      </c>
      <c r="L18" s="73">
        <f>IF(I18&gt;0, (K18/I18)*100, 0)</f>
        <v/>
      </c>
      <c r="M18" s="22" t="n">
        <v>129</v>
      </c>
      <c r="N18" s="22" t="n">
        <v>102</v>
      </c>
      <c r="O18" s="22">
        <f>MAX(0, M18-N18)</f>
        <v/>
      </c>
      <c r="P18" s="73">
        <f>IF(M18&gt;0, (O18/M18)*100, 0)</f>
        <v/>
      </c>
      <c r="Q18" s="22" t="n">
        <v>96</v>
      </c>
      <c r="R18" s="22" t="n">
        <v>86</v>
      </c>
      <c r="S18" s="22">
        <f>MAX(0, Q18-R18)</f>
        <v/>
      </c>
      <c r="T18" s="73">
        <f>IF(Q18&gt;0, (S18/Q18)*100, 0)</f>
        <v/>
      </c>
      <c r="U18" s="22" t="n">
        <v>102</v>
      </c>
      <c r="V18" s="22" t="n">
        <v>82</v>
      </c>
      <c r="W18" s="22">
        <f>MAX(0, U18-V18)</f>
        <v/>
      </c>
      <c r="X18" s="73">
        <f>IF(U18&gt;0, (W18/U18)*100, 0)</f>
        <v/>
      </c>
      <c r="Y18" s="22">
        <f>E18+I18+M18+Q18+U18</f>
        <v/>
      </c>
      <c r="Z18" s="22">
        <f>F18+J18+N18+R18+V18</f>
        <v/>
      </c>
      <c r="AA18" s="22">
        <f>G18+K18+O18+S18+W18</f>
        <v/>
      </c>
      <c r="AB18" s="23">
        <f>IF(Y18&gt;0, (AA18/Y18)*100, 0)</f>
        <v/>
      </c>
    </row>
    <row r="19" ht="20" customHeight="1">
      <c r="A19" s="24" t="n">
        <v>14</v>
      </c>
      <c r="B19" s="33" t="inlineStr">
        <is>
          <t>FKIP</t>
        </is>
      </c>
      <c r="C19" s="33" t="inlineStr">
        <is>
          <t>PENDIDIKAN FISIKA</t>
        </is>
      </c>
      <c r="D19" s="74" t="inlineStr">
        <is>
          <t>S1</t>
        </is>
      </c>
      <c r="E19" s="25" t="n">
        <v>86</v>
      </c>
      <c r="F19" s="25" t="n">
        <v>78</v>
      </c>
      <c r="G19" s="25">
        <f>MAX(0, E19-F19)</f>
        <v/>
      </c>
      <c r="H19" s="75">
        <f>IF(E19&gt;0, (G19/E19)*100, 0)</f>
        <v/>
      </c>
      <c r="I19" s="25" t="n">
        <v>77</v>
      </c>
      <c r="J19" s="25" t="n">
        <v>65</v>
      </c>
      <c r="K19" s="25">
        <f>MAX(0, I19-J19)</f>
        <v/>
      </c>
      <c r="L19" s="75">
        <f>IF(I19&gt;0, (K19/I19)*100, 0)</f>
        <v/>
      </c>
      <c r="M19" s="25" t="n">
        <v>94</v>
      </c>
      <c r="N19" s="25" t="n">
        <v>79</v>
      </c>
      <c r="O19" s="25">
        <f>MAX(0, M19-N19)</f>
        <v/>
      </c>
      <c r="P19" s="75">
        <f>IF(M19&gt;0, (O19/M19)*100, 0)</f>
        <v/>
      </c>
      <c r="Q19" s="25" t="n">
        <v>63</v>
      </c>
      <c r="R19" s="25" t="n">
        <v>56</v>
      </c>
      <c r="S19" s="25">
        <f>MAX(0, Q19-R19)</f>
        <v/>
      </c>
      <c r="T19" s="75">
        <f>IF(Q19&gt;0, (S19/Q19)*100, 0)</f>
        <v/>
      </c>
      <c r="U19" s="25" t="n">
        <v>74</v>
      </c>
      <c r="V19" s="25" t="n">
        <v>65</v>
      </c>
      <c r="W19" s="25">
        <f>MAX(0, U19-V19)</f>
        <v/>
      </c>
      <c r="X19" s="75">
        <f>IF(U19&gt;0, (W19/U19)*100, 0)</f>
        <v/>
      </c>
      <c r="Y19" s="25">
        <f>E19+I19+M19+Q19+U19</f>
        <v/>
      </c>
      <c r="Z19" s="25">
        <f>F19+J19+N19+R19+V19</f>
        <v/>
      </c>
      <c r="AA19" s="25">
        <f>G19+K19+O19+S19+W19</f>
        <v/>
      </c>
      <c r="AB19" s="26">
        <f>IF(Y19&gt;0, (AA19/Y19)*100, 0)</f>
        <v/>
      </c>
    </row>
    <row r="20" ht="20" customHeight="1">
      <c r="A20" s="21" t="n">
        <v>15</v>
      </c>
      <c r="B20" s="32" t="inlineStr">
        <is>
          <t>FKIP</t>
        </is>
      </c>
      <c r="C20" s="32" t="inlineStr">
        <is>
          <t>PENDIDIKAN KIMIA</t>
        </is>
      </c>
      <c r="D20" s="72" t="inlineStr">
        <is>
          <t>S1</t>
        </is>
      </c>
      <c r="E20" s="22" t="n">
        <v>87</v>
      </c>
      <c r="F20" s="22" t="n">
        <v>75</v>
      </c>
      <c r="G20" s="22">
        <f>MAX(0, E20-F20)</f>
        <v/>
      </c>
      <c r="H20" s="73">
        <f>IF(E20&gt;0, (G20/E20)*100, 0)</f>
        <v/>
      </c>
      <c r="I20" s="22" t="n">
        <v>87</v>
      </c>
      <c r="J20" s="22" t="n">
        <v>73</v>
      </c>
      <c r="K20" s="22">
        <f>MAX(0, I20-J20)</f>
        <v/>
      </c>
      <c r="L20" s="73">
        <f>IF(I20&gt;0, (K20/I20)*100, 0)</f>
        <v/>
      </c>
      <c r="M20" s="22" t="n">
        <v>82</v>
      </c>
      <c r="N20" s="22" t="n">
        <v>72</v>
      </c>
      <c r="O20" s="22">
        <f>MAX(0, M20-N20)</f>
        <v/>
      </c>
      <c r="P20" s="73">
        <f>IF(M20&gt;0, (O20/M20)*100, 0)</f>
        <v/>
      </c>
      <c r="Q20" s="22" t="n">
        <v>63</v>
      </c>
      <c r="R20" s="22" t="n">
        <v>51</v>
      </c>
      <c r="S20" s="22">
        <f>MAX(0, Q20-R20)</f>
        <v/>
      </c>
      <c r="T20" s="73">
        <f>IF(Q20&gt;0, (S20/Q20)*100, 0)</f>
        <v/>
      </c>
      <c r="U20" s="22" t="n">
        <v>77</v>
      </c>
      <c r="V20" s="22" t="n">
        <v>64</v>
      </c>
      <c r="W20" s="22">
        <f>MAX(0, U20-V20)</f>
        <v/>
      </c>
      <c r="X20" s="73">
        <f>IF(U20&gt;0, (W20/U20)*100, 0)</f>
        <v/>
      </c>
      <c r="Y20" s="22">
        <f>E20+I20+M20+Q20+U20</f>
        <v/>
      </c>
      <c r="Z20" s="22">
        <f>F20+J20+N20+R20+V20</f>
        <v/>
      </c>
      <c r="AA20" s="22">
        <f>G20+K20+O20+S20+W20</f>
        <v/>
      </c>
      <c r="AB20" s="23">
        <f>IF(Y20&gt;0, (AA20/Y20)*100, 0)</f>
        <v/>
      </c>
    </row>
    <row r="21" ht="20" customHeight="1">
      <c r="A21" s="24" t="n">
        <v>16</v>
      </c>
      <c r="B21" s="33" t="inlineStr">
        <is>
          <t>Kedokteran</t>
        </is>
      </c>
      <c r="C21" s="33" t="inlineStr">
        <is>
          <t>PENDIDIKAN DOKTER</t>
        </is>
      </c>
      <c r="D21" s="74" t="inlineStr">
        <is>
          <t>S1</t>
        </is>
      </c>
      <c r="E21" s="25" t="n">
        <v>279</v>
      </c>
      <c r="F21" s="25" t="n">
        <v>250</v>
      </c>
      <c r="G21" s="25">
        <f>MAX(0, E21-F21)</f>
        <v/>
      </c>
      <c r="H21" s="75">
        <f>IF(E21&gt;0, (G21/E21)*100, 0)</f>
        <v/>
      </c>
      <c r="I21" s="25" t="n">
        <v>278</v>
      </c>
      <c r="J21" s="25" t="n">
        <v>254</v>
      </c>
      <c r="K21" s="25">
        <f>MAX(0, I21-J21)</f>
        <v/>
      </c>
      <c r="L21" s="75">
        <f>IF(I21&gt;0, (K21/I21)*100, 0)</f>
        <v/>
      </c>
      <c r="M21" s="25" t="n">
        <v>282</v>
      </c>
      <c r="N21" s="25" t="n">
        <v>259</v>
      </c>
      <c r="O21" s="25">
        <f>MAX(0, M21-N21)</f>
        <v/>
      </c>
      <c r="P21" s="75">
        <f>IF(M21&gt;0, (O21/M21)*100, 0)</f>
        <v/>
      </c>
      <c r="Q21" s="25" t="n">
        <v>253</v>
      </c>
      <c r="R21" s="25" t="n">
        <v>213</v>
      </c>
      <c r="S21" s="25">
        <f>MAX(0, Q21-R21)</f>
        <v/>
      </c>
      <c r="T21" s="75">
        <f>IF(Q21&gt;0, (S21/Q21)*100, 0)</f>
        <v/>
      </c>
      <c r="U21" s="25" t="n">
        <v>281</v>
      </c>
      <c r="V21" s="25" t="n">
        <v>258</v>
      </c>
      <c r="W21" s="25">
        <f>MAX(0, U21-V21)</f>
        <v/>
      </c>
      <c r="X21" s="75">
        <f>IF(U21&gt;0, (W21/U21)*100, 0)</f>
        <v/>
      </c>
      <c r="Y21" s="25">
        <f>E21+I21+M21+Q21+U21</f>
        <v/>
      </c>
      <c r="Z21" s="25">
        <f>F21+J21+N21+R21+V21</f>
        <v/>
      </c>
      <c r="AA21" s="25">
        <f>G21+K21+O21+S21+W21</f>
        <v/>
      </c>
      <c r="AB21" s="26">
        <f>IF(Y21&gt;0, (AA21/Y21)*100, 0)</f>
        <v/>
      </c>
    </row>
    <row r="22" ht="20" customHeight="1">
      <c r="A22" s="21" t="n">
        <v>17</v>
      </c>
      <c r="B22" s="32" t="inlineStr">
        <is>
          <t>Keperawatan</t>
        </is>
      </c>
      <c r="C22" s="32" t="inlineStr">
        <is>
          <t>ILMU KEPERAWATAN</t>
        </is>
      </c>
      <c r="D22" s="72" t="inlineStr">
        <is>
          <t>S1</t>
        </is>
      </c>
      <c r="E22" s="22" t="n">
        <v>373</v>
      </c>
      <c r="F22" s="22" t="n">
        <v>295</v>
      </c>
      <c r="G22" s="22">
        <f>MAX(0, E22-F22)</f>
        <v/>
      </c>
      <c r="H22" s="73">
        <f>IF(E22&gt;0, (G22/E22)*100, 0)</f>
        <v/>
      </c>
      <c r="I22" s="22" t="n">
        <v>371</v>
      </c>
      <c r="J22" s="22" t="n">
        <v>280</v>
      </c>
      <c r="K22" s="22">
        <f>MAX(0, I22-J22)</f>
        <v/>
      </c>
      <c r="L22" s="73">
        <f>IF(I22&gt;0, (K22/I22)*100, 0)</f>
        <v/>
      </c>
      <c r="M22" s="22" t="n">
        <v>392</v>
      </c>
      <c r="N22" s="22" t="n">
        <v>296</v>
      </c>
      <c r="O22" s="22">
        <f>MAX(0, M22-N22)</f>
        <v/>
      </c>
      <c r="P22" s="73">
        <f>IF(M22&gt;0, (O22/M22)*100, 0)</f>
        <v/>
      </c>
      <c r="Q22" s="22" t="n">
        <v>207</v>
      </c>
      <c r="R22" s="22" t="n">
        <v>164</v>
      </c>
      <c r="S22" s="22">
        <f>MAX(0, Q22-R22)</f>
        <v/>
      </c>
      <c r="T22" s="73">
        <f>IF(Q22&gt;0, (S22/Q22)*100, 0)</f>
        <v/>
      </c>
      <c r="U22" s="22" t="n">
        <v>167</v>
      </c>
      <c r="V22" s="22" t="n">
        <v>127</v>
      </c>
      <c r="W22" s="22">
        <f>MAX(0, U22-V22)</f>
        <v/>
      </c>
      <c r="X22" s="73">
        <f>IF(U22&gt;0, (W22/U22)*100, 0)</f>
        <v/>
      </c>
      <c r="Y22" s="22">
        <f>E22+I22+M22+Q22+U22</f>
        <v/>
      </c>
      <c r="Z22" s="22">
        <f>F22+J22+N22+R22+V22</f>
        <v/>
      </c>
      <c r="AA22" s="22">
        <f>G22+K22+O22+S22+W22</f>
        <v/>
      </c>
      <c r="AB22" s="23">
        <f>IF(Y22&gt;0, (AA22/Y22)*100, 0)</f>
        <v/>
      </c>
    </row>
    <row r="23" ht="20" customHeight="1">
      <c r="A23" s="24" t="n">
        <v>18</v>
      </c>
      <c r="B23" s="33" t="inlineStr">
        <is>
          <t>Kedokteran Gigi</t>
        </is>
      </c>
      <c r="C23" s="33" t="inlineStr">
        <is>
          <t>PENDIDIKAN DOKTER GIGI</t>
        </is>
      </c>
      <c r="D23" s="74" t="inlineStr">
        <is>
          <t>S1</t>
        </is>
      </c>
      <c r="E23" s="25" t="n">
        <v>107</v>
      </c>
      <c r="F23" s="25" t="n">
        <v>100</v>
      </c>
      <c r="G23" s="25">
        <f>MAX(0, E23-F23)</f>
        <v/>
      </c>
      <c r="H23" s="75">
        <f>IF(E23&gt;0, (G23/E23)*100, 0)</f>
        <v/>
      </c>
      <c r="I23" s="25" t="n">
        <v>108</v>
      </c>
      <c r="J23" s="25" t="n">
        <v>101</v>
      </c>
      <c r="K23" s="25">
        <f>MAX(0, I23-J23)</f>
        <v/>
      </c>
      <c r="L23" s="75">
        <f>IF(I23&gt;0, (K23/I23)*100, 0)</f>
        <v/>
      </c>
      <c r="M23" s="25" t="n">
        <v>127</v>
      </c>
      <c r="N23" s="25" t="n">
        <v>101</v>
      </c>
      <c r="O23" s="25">
        <f>MAX(0, M23-N23)</f>
        <v/>
      </c>
      <c r="P23" s="75">
        <f>IF(M23&gt;0, (O23/M23)*100, 0)</f>
        <v/>
      </c>
      <c r="Q23" s="25" t="n">
        <v>101</v>
      </c>
      <c r="R23" s="25" t="n">
        <v>83</v>
      </c>
      <c r="S23" s="25">
        <f>MAX(0, Q23-R23)</f>
        <v/>
      </c>
      <c r="T23" s="75">
        <f>IF(Q23&gt;0, (S23/Q23)*100, 0)</f>
        <v/>
      </c>
      <c r="U23" s="25" t="n">
        <v>93</v>
      </c>
      <c r="V23" s="25" t="n">
        <v>82</v>
      </c>
      <c r="W23" s="25">
        <f>MAX(0, U23-V23)</f>
        <v/>
      </c>
      <c r="X23" s="75">
        <f>IF(U23&gt;0, (W23/U23)*100, 0)</f>
        <v/>
      </c>
      <c r="Y23" s="25">
        <f>E23+I23+M23+Q23+U23</f>
        <v/>
      </c>
      <c r="Z23" s="25">
        <f>F23+J23+N23+R23+V23</f>
        <v/>
      </c>
      <c r="AA23" s="25">
        <f>G23+K23+O23+S23+W23</f>
        <v/>
      </c>
      <c r="AB23" s="26">
        <f>IF(Y23&gt;0, (AA23/Y23)*100, 0)</f>
        <v/>
      </c>
    </row>
    <row r="24" ht="20" customHeight="1">
      <c r="A24" s="21" t="n">
        <v>19</v>
      </c>
      <c r="B24" s="32" t="inlineStr">
        <is>
          <t>MIPA</t>
        </is>
      </c>
      <c r="C24" s="32" t="inlineStr">
        <is>
          <t>MATEMATIKA</t>
        </is>
      </c>
      <c r="D24" s="72" t="inlineStr">
        <is>
          <t>S1</t>
        </is>
      </c>
      <c r="E24" s="22" t="n">
        <v>62</v>
      </c>
      <c r="F24" s="22" t="n">
        <v>56</v>
      </c>
      <c r="G24" s="22">
        <f>MAX(0, E24-F24)</f>
        <v/>
      </c>
      <c r="H24" s="73">
        <f>IF(E24&gt;0, (G24/E24)*100, 0)</f>
        <v/>
      </c>
      <c r="I24" s="22" t="n">
        <v>64</v>
      </c>
      <c r="J24" s="22" t="n">
        <v>55</v>
      </c>
      <c r="K24" s="22">
        <f>MAX(0, I24-J24)</f>
        <v/>
      </c>
      <c r="L24" s="73">
        <f>IF(I24&gt;0, (K24/I24)*100, 0)</f>
        <v/>
      </c>
      <c r="M24" s="22" t="n">
        <v>74</v>
      </c>
      <c r="N24" s="22" t="n">
        <v>62</v>
      </c>
      <c r="O24" s="22">
        <f>MAX(0, M24-N24)</f>
        <v/>
      </c>
      <c r="P24" s="73">
        <f>IF(M24&gt;0, (O24/M24)*100, 0)</f>
        <v/>
      </c>
      <c r="Q24" s="22" t="n">
        <v>67</v>
      </c>
      <c r="R24" s="22" t="n">
        <v>54</v>
      </c>
      <c r="S24" s="22">
        <f>MAX(0, Q24-R24)</f>
        <v/>
      </c>
      <c r="T24" s="73">
        <f>IF(Q24&gt;0, (S24/Q24)*100, 0)</f>
        <v/>
      </c>
      <c r="U24" s="22" t="n">
        <v>78</v>
      </c>
      <c r="V24" s="22" t="n">
        <v>67</v>
      </c>
      <c r="W24" s="22">
        <f>MAX(0, U24-V24)</f>
        <v/>
      </c>
      <c r="X24" s="73">
        <f>IF(U24&gt;0, (W24/U24)*100, 0)</f>
        <v/>
      </c>
      <c r="Y24" s="22">
        <f>E24+I24+M24+Q24+U24</f>
        <v/>
      </c>
      <c r="Z24" s="22">
        <f>F24+J24+N24+R24+V24</f>
        <v/>
      </c>
      <c r="AA24" s="22">
        <f>G24+K24+O24+S24+W24</f>
        <v/>
      </c>
      <c r="AB24" s="23">
        <f>IF(Y24&gt;0, (AA24/Y24)*100, 0)</f>
        <v/>
      </c>
    </row>
    <row r="25" ht="20" customHeight="1">
      <c r="A25" s="24" t="n">
        <v>20</v>
      </c>
      <c r="B25" s="33" t="inlineStr">
        <is>
          <t>MIPA</t>
        </is>
      </c>
      <c r="C25" s="33" t="inlineStr">
        <is>
          <t>FISIKA</t>
        </is>
      </c>
      <c r="D25" s="74" t="inlineStr">
        <is>
          <t>S1</t>
        </is>
      </c>
      <c r="E25" s="25" t="n">
        <v>53</v>
      </c>
      <c r="F25" s="25" t="n">
        <v>42</v>
      </c>
      <c r="G25" s="25">
        <f>MAX(0, E25-F25)</f>
        <v/>
      </c>
      <c r="H25" s="75">
        <f>IF(E25&gt;0, (G25/E25)*100, 0)</f>
        <v/>
      </c>
      <c r="I25" s="25" t="n">
        <v>59</v>
      </c>
      <c r="J25" s="25" t="n">
        <v>45</v>
      </c>
      <c r="K25" s="25">
        <f>MAX(0, I25-J25)</f>
        <v/>
      </c>
      <c r="L25" s="75">
        <f>IF(I25&gt;0, (K25/I25)*100, 0)</f>
        <v/>
      </c>
      <c r="M25" s="25" t="n">
        <v>37</v>
      </c>
      <c r="N25" s="25" t="n">
        <v>31</v>
      </c>
      <c r="O25" s="25">
        <f>MAX(0, M25-N25)</f>
        <v/>
      </c>
      <c r="P25" s="75">
        <f>IF(M25&gt;0, (O25/M25)*100, 0)</f>
        <v/>
      </c>
      <c r="Q25" s="25" t="n">
        <v>49</v>
      </c>
      <c r="R25" s="25" t="n">
        <v>36</v>
      </c>
      <c r="S25" s="25">
        <f>MAX(0, Q25-R25)</f>
        <v/>
      </c>
      <c r="T25" s="75">
        <f>IF(Q25&gt;0, (S25/Q25)*100, 0)</f>
        <v/>
      </c>
      <c r="U25" s="25" t="n">
        <v>51</v>
      </c>
      <c r="V25" s="25" t="n">
        <v>42</v>
      </c>
      <c r="W25" s="25">
        <f>MAX(0, U25-V25)</f>
        <v/>
      </c>
      <c r="X25" s="75">
        <f>IF(U25&gt;0, (W25/U25)*100, 0)</f>
        <v/>
      </c>
      <c r="Y25" s="25">
        <f>E25+I25+M25+Q25+U25</f>
        <v/>
      </c>
      <c r="Z25" s="25">
        <f>F25+J25+N25+R25+V25</f>
        <v/>
      </c>
      <c r="AA25" s="25">
        <f>G25+K25+O25+S25+W25</f>
        <v/>
      </c>
      <c r="AB25" s="26">
        <f>IF(Y25&gt;0, (AA25/Y25)*100, 0)</f>
        <v/>
      </c>
    </row>
    <row r="26" ht="20" customHeight="1">
      <c r="A26" s="21" t="n">
        <v>21</v>
      </c>
      <c r="B26" s="32" t="inlineStr">
        <is>
          <t>MIPA</t>
        </is>
      </c>
      <c r="C26" s="32" t="inlineStr">
        <is>
          <t>KIMIA</t>
        </is>
      </c>
      <c r="D26" s="72" t="inlineStr">
        <is>
          <t>S1</t>
        </is>
      </c>
      <c r="E26" s="22" t="n">
        <v>74</v>
      </c>
      <c r="F26" s="22" t="n">
        <v>61</v>
      </c>
      <c r="G26" s="22">
        <f>MAX(0, E26-F26)</f>
        <v/>
      </c>
      <c r="H26" s="73">
        <f>IF(E26&gt;0, (G26/E26)*100, 0)</f>
        <v/>
      </c>
      <c r="I26" s="22" t="n">
        <v>67</v>
      </c>
      <c r="J26" s="22" t="n">
        <v>52</v>
      </c>
      <c r="K26" s="22">
        <f>MAX(0, I26-J26)</f>
        <v/>
      </c>
      <c r="L26" s="73">
        <f>IF(I26&gt;0, (K26/I26)*100, 0)</f>
        <v/>
      </c>
      <c r="M26" s="22" t="n">
        <v>89</v>
      </c>
      <c r="N26" s="22" t="n">
        <v>74</v>
      </c>
      <c r="O26" s="22">
        <f>MAX(0, M26-N26)</f>
        <v/>
      </c>
      <c r="P26" s="73">
        <f>IF(M26&gt;0, (O26/M26)*100, 0)</f>
        <v/>
      </c>
      <c r="Q26" s="22" t="n">
        <v>73</v>
      </c>
      <c r="R26" s="22" t="n">
        <v>58</v>
      </c>
      <c r="S26" s="22">
        <f>MAX(0, Q26-R26)</f>
        <v/>
      </c>
      <c r="T26" s="73">
        <f>IF(Q26&gt;0, (S26/Q26)*100, 0)</f>
        <v/>
      </c>
      <c r="U26" s="22" t="n">
        <v>77</v>
      </c>
      <c r="V26" s="22" t="n">
        <v>65</v>
      </c>
      <c r="W26" s="22">
        <f>MAX(0, U26-V26)</f>
        <v/>
      </c>
      <c r="X26" s="73">
        <f>IF(U26&gt;0, (W26/U26)*100, 0)</f>
        <v/>
      </c>
      <c r="Y26" s="22">
        <f>E26+I26+M26+Q26+U26</f>
        <v/>
      </c>
      <c r="Z26" s="22">
        <f>F26+J26+N26+R26+V26</f>
        <v/>
      </c>
      <c r="AA26" s="22">
        <f>G26+K26+O26+S26+W26</f>
        <v/>
      </c>
      <c r="AB26" s="23">
        <f>IF(Y26&gt;0, (AA26/Y26)*100, 0)</f>
        <v/>
      </c>
    </row>
    <row r="27" ht="20" customHeight="1">
      <c r="A27" s="24" t="n">
        <v>22</v>
      </c>
      <c r="B27" s="33" t="inlineStr">
        <is>
          <t>MIPA</t>
        </is>
      </c>
      <c r="C27" s="33" t="inlineStr">
        <is>
          <t>BIOLOGI</t>
        </is>
      </c>
      <c r="D27" s="74" t="inlineStr">
        <is>
          <t>S1</t>
        </is>
      </c>
      <c r="E27" s="25" t="n">
        <v>86</v>
      </c>
      <c r="F27" s="25" t="n">
        <v>68</v>
      </c>
      <c r="G27" s="25">
        <f>MAX(0, E27-F27)</f>
        <v/>
      </c>
      <c r="H27" s="75">
        <f>IF(E27&gt;0, (G27/E27)*100, 0)</f>
        <v/>
      </c>
      <c r="I27" s="25" t="n">
        <v>101</v>
      </c>
      <c r="J27" s="25" t="n">
        <v>73</v>
      </c>
      <c r="K27" s="25">
        <f>MAX(0, I27-J27)</f>
        <v/>
      </c>
      <c r="L27" s="75">
        <f>IF(I27&gt;0, (K27/I27)*100, 0)</f>
        <v/>
      </c>
      <c r="M27" s="25" t="n">
        <v>106</v>
      </c>
      <c r="N27" s="25" t="n">
        <v>82</v>
      </c>
      <c r="O27" s="25">
        <f>MAX(0, M27-N27)</f>
        <v/>
      </c>
      <c r="P27" s="75">
        <f>IF(M27&gt;0, (O27/M27)*100, 0)</f>
        <v/>
      </c>
      <c r="Q27" s="25" t="n">
        <v>81</v>
      </c>
      <c r="R27" s="25" t="n">
        <v>61</v>
      </c>
      <c r="S27" s="25">
        <f>MAX(0, Q27-R27)</f>
        <v/>
      </c>
      <c r="T27" s="75">
        <f>IF(Q27&gt;0, (S27/Q27)*100, 0)</f>
        <v/>
      </c>
      <c r="U27" s="25" t="n">
        <v>90</v>
      </c>
      <c r="V27" s="25" t="n">
        <v>70</v>
      </c>
      <c r="W27" s="25">
        <f>MAX(0, U27-V27)</f>
        <v/>
      </c>
      <c r="X27" s="75">
        <f>IF(U27&gt;0, (W27/U27)*100, 0)</f>
        <v/>
      </c>
      <c r="Y27" s="25">
        <f>E27+I27+M27+Q27+U27</f>
        <v/>
      </c>
      <c r="Z27" s="25">
        <f>F27+J27+N27+R27+V27</f>
        <v/>
      </c>
      <c r="AA27" s="25">
        <f>G27+K27+O27+S27+W27</f>
        <v/>
      </c>
      <c r="AB27" s="26">
        <f>IF(Y27&gt;0, (AA27/Y27)*100, 0)</f>
        <v/>
      </c>
    </row>
    <row r="28" ht="20" customHeight="1">
      <c r="A28" s="21" t="n">
        <v>23</v>
      </c>
      <c r="B28" s="32" t="inlineStr">
        <is>
          <t>Kelautan dan Perikanan</t>
        </is>
      </c>
      <c r="C28" s="32" t="inlineStr">
        <is>
          <t>ILMU KELAUTAN</t>
        </is>
      </c>
      <c r="D28" s="72" t="inlineStr">
        <is>
          <t>S1</t>
        </is>
      </c>
      <c r="E28" s="22" t="n">
        <v>136</v>
      </c>
      <c r="F28" s="22" t="n">
        <v>113</v>
      </c>
      <c r="G28" s="22">
        <f>MAX(0, E28-F28)</f>
        <v/>
      </c>
      <c r="H28" s="73">
        <f>IF(E28&gt;0, (G28/E28)*100, 0)</f>
        <v/>
      </c>
      <c r="I28" s="22" t="n">
        <v>136</v>
      </c>
      <c r="J28" s="22" t="n">
        <v>105</v>
      </c>
      <c r="K28" s="22">
        <f>MAX(0, I28-J28)</f>
        <v/>
      </c>
      <c r="L28" s="73">
        <f>IF(I28&gt;0, (K28/I28)*100, 0)</f>
        <v/>
      </c>
      <c r="M28" s="22" t="n">
        <v>128</v>
      </c>
      <c r="N28" s="22" t="n">
        <v>104</v>
      </c>
      <c r="O28" s="22">
        <f>MAX(0, M28-N28)</f>
        <v/>
      </c>
      <c r="P28" s="73">
        <f>IF(M28&gt;0, (O28/M28)*100, 0)</f>
        <v/>
      </c>
      <c r="Q28" s="22" t="n">
        <v>153</v>
      </c>
      <c r="R28" s="22" t="n">
        <v>124</v>
      </c>
      <c r="S28" s="22">
        <f>MAX(0, Q28-R28)</f>
        <v/>
      </c>
      <c r="T28" s="73">
        <f>IF(Q28&gt;0, (S28/Q28)*100, 0)</f>
        <v/>
      </c>
      <c r="U28" s="22" t="n">
        <v>155</v>
      </c>
      <c r="V28" s="22" t="n">
        <v>119</v>
      </c>
      <c r="W28" s="22">
        <f>MAX(0, U28-V28)</f>
        <v/>
      </c>
      <c r="X28" s="73">
        <f>IF(U28&gt;0, (W28/U28)*100, 0)</f>
        <v/>
      </c>
      <c r="Y28" s="22">
        <f>E28+I28+M28+Q28+U28</f>
        <v/>
      </c>
      <c r="Z28" s="22">
        <f>F28+J28+N28+R28+V28</f>
        <v/>
      </c>
      <c r="AA28" s="22">
        <f>G28+K28+O28+S28+W28</f>
        <v/>
      </c>
      <c r="AB28" s="23">
        <f>IF(Y28&gt;0, (AA28/Y28)*100, 0)</f>
        <v/>
      </c>
    </row>
    <row r="29" ht="20" customHeight="1">
      <c r="A29" s="24" t="n">
        <v>24</v>
      </c>
      <c r="B29" s="33" t="inlineStr">
        <is>
          <t>Kelautan dan Perikanan</t>
        </is>
      </c>
      <c r="C29" s="33" t="inlineStr">
        <is>
          <t>BUDIDAYA PERAIRAN</t>
        </is>
      </c>
      <c r="D29" s="74" t="inlineStr">
        <is>
          <t>S1</t>
        </is>
      </c>
      <c r="E29" s="25" t="n">
        <v>112</v>
      </c>
      <c r="F29" s="25" t="n">
        <v>90</v>
      </c>
      <c r="G29" s="25">
        <f>MAX(0, E29-F29)</f>
        <v/>
      </c>
      <c r="H29" s="75">
        <f>IF(E29&gt;0, (G29/E29)*100, 0)</f>
        <v/>
      </c>
      <c r="I29" s="25" t="n">
        <v>121</v>
      </c>
      <c r="J29" s="25" t="n">
        <v>98</v>
      </c>
      <c r="K29" s="25">
        <f>MAX(0, I29-J29)</f>
        <v/>
      </c>
      <c r="L29" s="75">
        <f>IF(I29&gt;0, (K29/I29)*100, 0)</f>
        <v/>
      </c>
      <c r="M29" s="25" t="n">
        <v>105</v>
      </c>
      <c r="N29" s="25" t="n">
        <v>84</v>
      </c>
      <c r="O29" s="25">
        <f>MAX(0, M29-N29)</f>
        <v/>
      </c>
      <c r="P29" s="75">
        <f>IF(M29&gt;0, (O29/M29)*100, 0)</f>
        <v/>
      </c>
      <c r="Q29" s="25" t="n">
        <v>123</v>
      </c>
      <c r="R29" s="25" t="n">
        <v>94</v>
      </c>
      <c r="S29" s="25">
        <f>MAX(0, Q29-R29)</f>
        <v/>
      </c>
      <c r="T29" s="75">
        <f>IF(Q29&gt;0, (S29/Q29)*100, 0)</f>
        <v/>
      </c>
      <c r="U29" s="25" t="n">
        <v>115</v>
      </c>
      <c r="V29" s="25" t="n">
        <v>90</v>
      </c>
      <c r="W29" s="25">
        <f>MAX(0, U29-V29)</f>
        <v/>
      </c>
      <c r="X29" s="75">
        <f>IF(U29&gt;0, (W29/U29)*100, 0)</f>
        <v/>
      </c>
      <c r="Y29" s="25">
        <f>E29+I29+M29+Q29+U29</f>
        <v/>
      </c>
      <c r="Z29" s="25">
        <f>F29+J29+N29+R29+V29</f>
        <v/>
      </c>
      <c r="AA29" s="25">
        <f>G29+K29+O29+S29+W29</f>
        <v/>
      </c>
      <c r="AB29" s="26">
        <f>IF(Y29&gt;0, (AA29/Y29)*100, 0)</f>
        <v/>
      </c>
    </row>
    <row r="30" ht="20" customHeight="1">
      <c r="A30" s="21" t="n">
        <v>25</v>
      </c>
      <c r="B30" s="32" t="inlineStr">
        <is>
          <t>Teknik</t>
        </is>
      </c>
      <c r="C30" s="32" t="inlineStr">
        <is>
          <t>TEKNIK INDUSTRI</t>
        </is>
      </c>
      <c r="D30" s="72" t="inlineStr">
        <is>
          <t>S1</t>
        </is>
      </c>
      <c r="E30" s="22" t="n">
        <v>136</v>
      </c>
      <c r="F30" s="22" t="n">
        <v>109</v>
      </c>
      <c r="G30" s="22">
        <f>MAX(0, E30-F30)</f>
        <v/>
      </c>
      <c r="H30" s="73">
        <f>IF(E30&gt;0, (G30/E30)*100, 0)</f>
        <v/>
      </c>
      <c r="I30" s="22" t="n">
        <v>131</v>
      </c>
      <c r="J30" s="22" t="n">
        <v>98</v>
      </c>
      <c r="K30" s="22">
        <f>MAX(0, I30-J30)</f>
        <v/>
      </c>
      <c r="L30" s="73">
        <f>IF(I30&gt;0, (K30/I30)*100, 0)</f>
        <v/>
      </c>
      <c r="M30" s="22" t="n">
        <v>130</v>
      </c>
      <c r="N30" s="22" t="n">
        <v>106</v>
      </c>
      <c r="O30" s="22">
        <f>MAX(0, M30-N30)</f>
        <v/>
      </c>
      <c r="P30" s="73">
        <f>IF(M30&gt;0, (O30/M30)*100, 0)</f>
        <v/>
      </c>
      <c r="Q30" s="22" t="n">
        <v>88</v>
      </c>
      <c r="R30" s="22" t="n">
        <v>61</v>
      </c>
      <c r="S30" s="22">
        <f>MAX(0, Q30-R30)</f>
        <v/>
      </c>
      <c r="T30" s="73">
        <f>IF(Q30&gt;0, (S30/Q30)*100, 0)</f>
        <v/>
      </c>
      <c r="U30" s="22" t="n">
        <v>115</v>
      </c>
      <c r="V30" s="22" t="n">
        <v>94</v>
      </c>
      <c r="W30" s="22">
        <f>MAX(0, U30-V30)</f>
        <v/>
      </c>
      <c r="X30" s="73">
        <f>IF(U30&gt;0, (W30/U30)*100, 0)</f>
        <v/>
      </c>
      <c r="Y30" s="22">
        <f>E30+I30+M30+Q30+U30</f>
        <v/>
      </c>
      <c r="Z30" s="22">
        <f>F30+J30+N30+R30+V30</f>
        <v/>
      </c>
      <c r="AA30" s="22">
        <f>G30+K30+O30+S30+W30</f>
        <v/>
      </c>
      <c r="AB30" s="23">
        <f>IF(Y30&gt;0, (AA30/Y30)*100, 0)</f>
        <v/>
      </c>
    </row>
    <row r="31" ht="20" customHeight="1">
      <c r="A31" s="24" t="n">
        <v>26</v>
      </c>
      <c r="B31" s="33" t="inlineStr">
        <is>
          <t>MIPA</t>
        </is>
      </c>
      <c r="C31" s="33" t="inlineStr">
        <is>
          <t>INFORMATIKA</t>
        </is>
      </c>
      <c r="D31" s="74" t="inlineStr">
        <is>
          <t>S1</t>
        </is>
      </c>
      <c r="E31" s="25" t="n">
        <v>130</v>
      </c>
      <c r="F31" s="25" t="n">
        <v>117</v>
      </c>
      <c r="G31" s="25">
        <f>MAX(0, E31-F31)</f>
        <v/>
      </c>
      <c r="H31" s="75">
        <f>IF(E31&gt;0, (G31/E31)*100, 0)</f>
        <v/>
      </c>
      <c r="I31" s="25" t="n">
        <v>135</v>
      </c>
      <c r="J31" s="25" t="n">
        <v>116</v>
      </c>
      <c r="K31" s="25">
        <f>MAX(0, I31-J31)</f>
        <v/>
      </c>
      <c r="L31" s="75">
        <f>IF(I31&gt;0, (K31/I31)*100, 0)</f>
        <v/>
      </c>
      <c r="M31" s="25" t="n">
        <v>134</v>
      </c>
      <c r="N31" s="25" t="n">
        <v>115</v>
      </c>
      <c r="O31" s="25">
        <f>MAX(0, M31-N31)</f>
        <v/>
      </c>
      <c r="P31" s="75">
        <f>IF(M31&gt;0, (O31/M31)*100, 0)</f>
        <v/>
      </c>
      <c r="Q31" s="25" t="n">
        <v>91</v>
      </c>
      <c r="R31" s="25" t="n">
        <v>78</v>
      </c>
      <c r="S31" s="25">
        <f>MAX(0, Q31-R31)</f>
        <v/>
      </c>
      <c r="T31" s="75">
        <f>IF(Q31&gt;0, (S31/Q31)*100, 0)</f>
        <v/>
      </c>
      <c r="U31" s="25" t="n">
        <v>106</v>
      </c>
      <c r="V31" s="25" t="n">
        <v>89</v>
      </c>
      <c r="W31" s="25">
        <f>MAX(0, U31-V31)</f>
        <v/>
      </c>
      <c r="X31" s="75">
        <f>IF(U31&gt;0, (W31/U31)*100, 0)</f>
        <v/>
      </c>
      <c r="Y31" s="25">
        <f>E31+I31+M31+Q31+U31</f>
        <v/>
      </c>
      <c r="Z31" s="25">
        <f>F31+J31+N31+R31+V31</f>
        <v/>
      </c>
      <c r="AA31" s="25">
        <f>G31+K31+O31+S31+W31</f>
        <v/>
      </c>
      <c r="AB31" s="26">
        <f>IF(Y31&gt;0, (AA31/Y31)*100, 0)</f>
        <v/>
      </c>
    </row>
    <row r="32" ht="20" customHeight="1">
      <c r="A32" s="21" t="n">
        <v>27</v>
      </c>
      <c r="B32" s="32" t="inlineStr">
        <is>
          <t>MIPA</t>
        </is>
      </c>
      <c r="C32" s="32" t="inlineStr">
        <is>
          <t>FARMASI</t>
        </is>
      </c>
      <c r="D32" s="72" t="inlineStr">
        <is>
          <t>S1</t>
        </is>
      </c>
      <c r="E32" s="22" t="n">
        <v>102</v>
      </c>
      <c r="F32" s="22" t="n">
        <v>89</v>
      </c>
      <c r="G32" s="22">
        <f>MAX(0, E32-F32)</f>
        <v/>
      </c>
      <c r="H32" s="73">
        <f>IF(E32&gt;0, (G32/E32)*100, 0)</f>
        <v/>
      </c>
      <c r="I32" s="22" t="n">
        <v>94</v>
      </c>
      <c r="J32" s="22" t="n">
        <v>82</v>
      </c>
      <c r="K32" s="22">
        <f>MAX(0, I32-J32)</f>
        <v/>
      </c>
      <c r="L32" s="73">
        <f>IF(I32&gt;0, (K32/I32)*100, 0)</f>
        <v/>
      </c>
      <c r="M32" s="22" t="n">
        <v>98</v>
      </c>
      <c r="N32" s="22" t="n">
        <v>83</v>
      </c>
      <c r="O32" s="22">
        <f>MAX(0, M32-N32)</f>
        <v/>
      </c>
      <c r="P32" s="73">
        <f>IF(M32&gt;0, (O32/M32)*100, 0)</f>
        <v/>
      </c>
      <c r="Q32" s="22" t="n">
        <v>61</v>
      </c>
      <c r="R32" s="22" t="n">
        <v>52</v>
      </c>
      <c r="S32" s="22">
        <f>MAX(0, Q32-R32)</f>
        <v/>
      </c>
      <c r="T32" s="73">
        <f>IF(Q32&gt;0, (S32/Q32)*100, 0)</f>
        <v/>
      </c>
      <c r="U32" s="22" t="n">
        <v>72</v>
      </c>
      <c r="V32" s="22" t="n">
        <v>59</v>
      </c>
      <c r="W32" s="22">
        <f>MAX(0, U32-V32)</f>
        <v/>
      </c>
      <c r="X32" s="73">
        <f>IF(U32&gt;0, (W32/U32)*100, 0)</f>
        <v/>
      </c>
      <c r="Y32" s="22">
        <f>E32+I32+M32+Q32+U32</f>
        <v/>
      </c>
      <c r="Z32" s="22">
        <f>F32+J32+N32+R32+V32</f>
        <v/>
      </c>
      <c r="AA32" s="22">
        <f>G32+K32+O32+S32+W32</f>
        <v/>
      </c>
      <c r="AB32" s="23">
        <f>IF(Y32&gt;0, (AA32/Y32)*100, 0)</f>
        <v/>
      </c>
    </row>
    <row r="33" ht="20" customHeight="1">
      <c r="A33" s="24" t="n">
        <v>28</v>
      </c>
      <c r="B33" s="33" t="inlineStr">
        <is>
          <t>Teknik</t>
        </is>
      </c>
      <c r="C33" s="33" t="inlineStr">
        <is>
          <t>TEKNIK GEOFISIKA</t>
        </is>
      </c>
      <c r="D33" s="74" t="inlineStr">
        <is>
          <t>S1</t>
        </is>
      </c>
      <c r="E33" s="25" t="n">
        <v>55</v>
      </c>
      <c r="F33" s="25" t="n">
        <v>51</v>
      </c>
      <c r="G33" s="25">
        <f>MAX(0, E33-F33)</f>
        <v/>
      </c>
      <c r="H33" s="75">
        <f>IF(E33&gt;0, (G33/E33)*100, 0)</f>
        <v/>
      </c>
      <c r="I33" s="25" t="n">
        <v>55</v>
      </c>
      <c r="J33" s="25" t="n">
        <v>51</v>
      </c>
      <c r="K33" s="25">
        <f>MAX(0, I33-J33)</f>
        <v/>
      </c>
      <c r="L33" s="75">
        <f>IF(I33&gt;0, (K33/I33)*100, 0)</f>
        <v/>
      </c>
      <c r="M33" s="25" t="n">
        <v>84</v>
      </c>
      <c r="N33" s="25" t="n">
        <v>74</v>
      </c>
      <c r="O33" s="25">
        <f>MAX(0, M33-N33)</f>
        <v/>
      </c>
      <c r="P33" s="75">
        <f>IF(M33&gt;0, (O33/M33)*100, 0)</f>
        <v/>
      </c>
      <c r="Q33" s="25" t="n">
        <v>62</v>
      </c>
      <c r="R33" s="25" t="n">
        <v>56</v>
      </c>
      <c r="S33" s="25">
        <f>MAX(0, Q33-R33)</f>
        <v/>
      </c>
      <c r="T33" s="75">
        <f>IF(Q33&gt;0, (S33/Q33)*100, 0)</f>
        <v/>
      </c>
      <c r="U33" s="25" t="n">
        <v>69</v>
      </c>
      <c r="V33" s="25" t="n">
        <v>59</v>
      </c>
      <c r="W33" s="25">
        <f>MAX(0, U33-V33)</f>
        <v/>
      </c>
      <c r="X33" s="75">
        <f>IF(U33&gt;0, (W33/U33)*100, 0)</f>
        <v/>
      </c>
      <c r="Y33" s="25">
        <f>E33+I33+M33+Q33+U33</f>
        <v/>
      </c>
      <c r="Z33" s="25">
        <f>F33+J33+N33+R33+V33</f>
        <v/>
      </c>
      <c r="AA33" s="25">
        <f>G33+K33+O33+S33+W33</f>
        <v/>
      </c>
      <c r="AB33" s="26">
        <f>IF(Y33&gt;0, (AA33/Y33)*100, 0)</f>
        <v/>
      </c>
    </row>
    <row r="34" ht="20" customHeight="1">
      <c r="A34" s="21" t="n">
        <v>29</v>
      </c>
      <c r="B34" s="32" t="inlineStr">
        <is>
          <t>Teknik</t>
        </is>
      </c>
      <c r="C34" s="32" t="inlineStr">
        <is>
          <t>TEKNIK PERTAMBANGAN</t>
        </is>
      </c>
      <c r="D34" s="72" t="inlineStr">
        <is>
          <t>S1</t>
        </is>
      </c>
      <c r="E34" s="22" t="n">
        <v>138</v>
      </c>
      <c r="F34" s="22" t="n">
        <v>118</v>
      </c>
      <c r="G34" s="22">
        <f>MAX(0, E34-F34)</f>
        <v/>
      </c>
      <c r="H34" s="73">
        <f>IF(E34&gt;0, (G34/E34)*100, 0)</f>
        <v/>
      </c>
      <c r="I34" s="22" t="n">
        <v>130</v>
      </c>
      <c r="J34" s="22" t="n">
        <v>113</v>
      </c>
      <c r="K34" s="22">
        <f>MAX(0, I34-J34)</f>
        <v/>
      </c>
      <c r="L34" s="73">
        <f>IF(I34&gt;0, (K34/I34)*100, 0)</f>
        <v/>
      </c>
      <c r="M34" s="22" t="n">
        <v>132</v>
      </c>
      <c r="N34" s="22" t="n">
        <v>109</v>
      </c>
      <c r="O34" s="22">
        <f>MAX(0, M34-N34)</f>
        <v/>
      </c>
      <c r="P34" s="73">
        <f>IF(M34&gt;0, (O34/M34)*100, 0)</f>
        <v/>
      </c>
      <c r="Q34" s="22" t="n">
        <v>91</v>
      </c>
      <c r="R34" s="22" t="n">
        <v>75</v>
      </c>
      <c r="S34" s="22">
        <f>MAX(0, Q34-R34)</f>
        <v/>
      </c>
      <c r="T34" s="73">
        <f>IF(Q34&gt;0, (S34/Q34)*100, 0)</f>
        <v/>
      </c>
      <c r="U34" s="22" t="n">
        <v>85</v>
      </c>
      <c r="V34" s="22" t="n">
        <v>76</v>
      </c>
      <c r="W34" s="22">
        <f>MAX(0, U34-V34)</f>
        <v/>
      </c>
      <c r="X34" s="73">
        <f>IF(U34&gt;0, (W34/U34)*100, 0)</f>
        <v/>
      </c>
      <c r="Y34" s="22">
        <f>E34+I34+M34+Q34+U34</f>
        <v/>
      </c>
      <c r="Z34" s="22">
        <f>F34+J34+N34+R34+V34</f>
        <v/>
      </c>
      <c r="AA34" s="22">
        <f>G34+K34+O34+S34+W34</f>
        <v/>
      </c>
      <c r="AB34" s="23">
        <f>IF(Y34&gt;0, (AA34/Y34)*100, 0)</f>
        <v/>
      </c>
    </row>
    <row r="35" ht="20" customHeight="1">
      <c r="A35" s="24" t="n">
        <v>30</v>
      </c>
      <c r="B35" s="33" t="inlineStr">
        <is>
          <t>MIPA</t>
        </is>
      </c>
      <c r="C35" s="33" t="inlineStr">
        <is>
          <t>STATISTIKA</t>
        </is>
      </c>
      <c r="D35" s="74" t="inlineStr">
        <is>
          <t>S1</t>
        </is>
      </c>
      <c r="E35" s="25" t="n">
        <v>127</v>
      </c>
      <c r="F35" s="25" t="n">
        <v>107</v>
      </c>
      <c r="G35" s="25">
        <f>MAX(0, E35-F35)</f>
        <v/>
      </c>
      <c r="H35" s="75">
        <f>IF(E35&gt;0, (G35/E35)*100, 0)</f>
        <v/>
      </c>
      <c r="I35" s="25" t="n">
        <v>122</v>
      </c>
      <c r="J35" s="25" t="n">
        <v>112</v>
      </c>
      <c r="K35" s="25">
        <f>MAX(0, I35-J35)</f>
        <v/>
      </c>
      <c r="L35" s="75">
        <f>IF(I35&gt;0, (K35/I35)*100, 0)</f>
        <v/>
      </c>
      <c r="M35" s="25" t="n">
        <v>125</v>
      </c>
      <c r="N35" s="25" t="n">
        <v>113</v>
      </c>
      <c r="O35" s="25">
        <f>MAX(0, M35-N35)</f>
        <v/>
      </c>
      <c r="P35" s="75">
        <f>IF(M35&gt;0, (O35/M35)*100, 0)</f>
        <v/>
      </c>
      <c r="Q35" s="25" t="n">
        <v>90</v>
      </c>
      <c r="R35" s="25" t="n">
        <v>88</v>
      </c>
      <c r="S35" s="25">
        <f>MAX(0, Q35-R35)</f>
        <v/>
      </c>
      <c r="T35" s="75">
        <f>IF(Q35&gt;0, (S35/Q35)*100, 0)</f>
        <v/>
      </c>
      <c r="U35" s="25" t="n">
        <v>102</v>
      </c>
      <c r="V35" s="25" t="n">
        <v>88</v>
      </c>
      <c r="W35" s="25">
        <f>MAX(0, U35-V35)</f>
        <v/>
      </c>
      <c r="X35" s="75">
        <f>IF(U35&gt;0, (W35/U35)*100, 0)</f>
        <v/>
      </c>
      <c r="Y35" s="25">
        <f>E35+I35+M35+Q35+U35</f>
        <v/>
      </c>
      <c r="Z35" s="25">
        <f>F35+J35+N35+R35+V35</f>
        <v/>
      </c>
      <c r="AA35" s="25">
        <f>G35+K35+O35+S35+W35</f>
        <v/>
      </c>
      <c r="AB35" s="26">
        <f>IF(Y35&gt;0, (AA35/Y35)*100, 0)</f>
        <v/>
      </c>
    </row>
    <row r="36" ht="20" customHeight="1">
      <c r="A36" s="21" t="n">
        <v>31</v>
      </c>
      <c r="B36" s="32" t="inlineStr">
        <is>
          <t>Kelautan dan Perikanan</t>
        </is>
      </c>
      <c r="C36" s="32" t="inlineStr">
        <is>
          <t>PEMANFAATAN SUMBERDAYA PERIKANAN</t>
        </is>
      </c>
      <c r="D36" s="72" t="inlineStr">
        <is>
          <t>S1</t>
        </is>
      </c>
      <c r="E36" s="22" t="n">
        <v>88</v>
      </c>
      <c r="F36" s="22" t="n">
        <v>67</v>
      </c>
      <c r="G36" s="22">
        <f>MAX(0, E36-F36)</f>
        <v/>
      </c>
      <c r="H36" s="73">
        <f>IF(E36&gt;0, (G36/E36)*100, 0)</f>
        <v/>
      </c>
      <c r="I36" s="22" t="n">
        <v>89</v>
      </c>
      <c r="J36" s="22" t="n">
        <v>71</v>
      </c>
      <c r="K36" s="22">
        <f>MAX(0, I36-J36)</f>
        <v/>
      </c>
      <c r="L36" s="73">
        <f>IF(I36&gt;0, (K36/I36)*100, 0)</f>
        <v/>
      </c>
      <c r="M36" s="22" t="n">
        <v>94</v>
      </c>
      <c r="N36" s="22" t="n">
        <v>62</v>
      </c>
      <c r="O36" s="22">
        <f>MAX(0, M36-N36)</f>
        <v/>
      </c>
      <c r="P36" s="73">
        <f>IF(M36&gt;0, (O36/M36)*100, 0)</f>
        <v/>
      </c>
      <c r="Q36" s="22" t="n">
        <v>108</v>
      </c>
      <c r="R36" s="22" t="n">
        <v>83</v>
      </c>
      <c r="S36" s="22">
        <f>MAX(0, Q36-R36)</f>
        <v/>
      </c>
      <c r="T36" s="73">
        <f>IF(Q36&gt;0, (S36/Q36)*100, 0)</f>
        <v/>
      </c>
      <c r="U36" s="22" t="n">
        <v>94</v>
      </c>
      <c r="V36" s="22" t="n">
        <v>80</v>
      </c>
      <c r="W36" s="22">
        <f>MAX(0, U36-V36)</f>
        <v/>
      </c>
      <c r="X36" s="73">
        <f>IF(U36&gt;0, (W36/U36)*100, 0)</f>
        <v/>
      </c>
      <c r="Y36" s="22">
        <f>E36+I36+M36+Q36+U36</f>
        <v/>
      </c>
      <c r="Z36" s="22">
        <f>F36+J36+N36+R36+V36</f>
        <v/>
      </c>
      <c r="AA36" s="22">
        <f>G36+K36+O36+S36+W36</f>
        <v/>
      </c>
      <c r="AB36" s="23">
        <f>IF(Y36&gt;0, (AA36/Y36)*100, 0)</f>
        <v/>
      </c>
    </row>
    <row r="37" ht="20" customHeight="1">
      <c r="A37" s="24" t="n">
        <v>32</v>
      </c>
      <c r="B37" s="33" t="inlineStr">
        <is>
          <t>Pertanian</t>
        </is>
      </c>
      <c r="C37" s="33" t="inlineStr">
        <is>
          <t>ILMU TANAH</t>
        </is>
      </c>
      <c r="D37" s="74" t="inlineStr">
        <is>
          <t>S1</t>
        </is>
      </c>
      <c r="E37" s="25" t="n">
        <v>86</v>
      </c>
      <c r="F37" s="25" t="n">
        <v>78</v>
      </c>
      <c r="G37" s="25">
        <f>MAX(0, E37-F37)</f>
        <v/>
      </c>
      <c r="H37" s="75">
        <f>IF(E37&gt;0, (G37/E37)*100, 0)</f>
        <v/>
      </c>
      <c r="I37" s="25" t="n">
        <v>94</v>
      </c>
      <c r="J37" s="25" t="n">
        <v>76</v>
      </c>
      <c r="K37" s="25">
        <f>MAX(0, I37-J37)</f>
        <v/>
      </c>
      <c r="L37" s="75">
        <f>IF(I37&gt;0, (K37/I37)*100, 0)</f>
        <v/>
      </c>
      <c r="M37" s="25" t="n">
        <v>87</v>
      </c>
      <c r="N37" s="25" t="n">
        <v>76</v>
      </c>
      <c r="O37" s="25">
        <f>MAX(0, M37-N37)</f>
        <v/>
      </c>
      <c r="P37" s="75">
        <f>IF(M37&gt;0, (O37/M37)*100, 0)</f>
        <v/>
      </c>
      <c r="Q37" s="25" t="n">
        <v>77</v>
      </c>
      <c r="R37" s="25" t="n">
        <v>56</v>
      </c>
      <c r="S37" s="25">
        <f>MAX(0, Q37-R37)</f>
        <v/>
      </c>
      <c r="T37" s="75">
        <f>IF(Q37&gt;0, (S37/Q37)*100, 0)</f>
        <v/>
      </c>
      <c r="U37" s="25" t="n">
        <v>67</v>
      </c>
      <c r="V37" s="25" t="n">
        <v>55</v>
      </c>
      <c r="W37" s="25">
        <f>MAX(0, U37-V37)</f>
        <v/>
      </c>
      <c r="X37" s="75">
        <f>IF(U37&gt;0, (W37/U37)*100, 0)</f>
        <v/>
      </c>
      <c r="Y37" s="25">
        <f>E37+I37+M37+Q37+U37</f>
        <v/>
      </c>
      <c r="Z37" s="25">
        <f>F37+J37+N37+R37+V37</f>
        <v/>
      </c>
      <c r="AA37" s="25">
        <f>G37+K37+O37+S37+W37</f>
        <v/>
      </c>
      <c r="AB37" s="26">
        <f>IF(Y37&gt;0, (AA37/Y37)*100, 0)</f>
        <v/>
      </c>
    </row>
    <row r="38" ht="20" customHeight="1">
      <c r="A38" s="21" t="n">
        <v>33</v>
      </c>
      <c r="B38" s="32" t="inlineStr">
        <is>
          <t>Teknik</t>
        </is>
      </c>
      <c r="C38" s="32" t="inlineStr">
        <is>
          <t>TEKNIK GEOLOGI</t>
        </is>
      </c>
      <c r="D38" s="72" t="inlineStr">
        <is>
          <t>S1</t>
        </is>
      </c>
      <c r="E38" s="22" t="n">
        <v>90</v>
      </c>
      <c r="F38" s="22" t="n">
        <v>78</v>
      </c>
      <c r="G38" s="22">
        <f>MAX(0, E38-F38)</f>
        <v/>
      </c>
      <c r="H38" s="73">
        <f>IF(E38&gt;0, (G38/E38)*100, 0)</f>
        <v/>
      </c>
      <c r="I38" s="22" t="n">
        <v>81</v>
      </c>
      <c r="J38" s="22" t="n">
        <v>74</v>
      </c>
      <c r="K38" s="22">
        <f>MAX(0, I38-J38)</f>
        <v/>
      </c>
      <c r="L38" s="73">
        <f>IF(I38&gt;0, (K38/I38)*100, 0)</f>
        <v/>
      </c>
      <c r="M38" s="22" t="n">
        <v>76</v>
      </c>
      <c r="N38" s="22" t="n">
        <v>68</v>
      </c>
      <c r="O38" s="22">
        <f>MAX(0, M38-N38)</f>
        <v/>
      </c>
      <c r="P38" s="73">
        <f>IF(M38&gt;0, (O38/M38)*100, 0)</f>
        <v/>
      </c>
      <c r="Q38" s="22" t="n">
        <v>67</v>
      </c>
      <c r="R38" s="22" t="n">
        <v>59</v>
      </c>
      <c r="S38" s="22">
        <f>MAX(0, Q38-R38)</f>
        <v/>
      </c>
      <c r="T38" s="73">
        <f>IF(Q38&gt;0, (S38/Q38)*100, 0)</f>
        <v/>
      </c>
      <c r="U38" s="22" t="n">
        <v>71</v>
      </c>
      <c r="V38" s="22" t="n">
        <v>63</v>
      </c>
      <c r="W38" s="22">
        <f>MAX(0, U38-V38)</f>
        <v/>
      </c>
      <c r="X38" s="73">
        <f>IF(U38&gt;0, (W38/U38)*100, 0)</f>
        <v/>
      </c>
      <c r="Y38" s="22">
        <f>E38+I38+M38+Q38+U38</f>
        <v/>
      </c>
      <c r="Z38" s="22">
        <f>F38+J38+N38+R38+V38</f>
        <v/>
      </c>
      <c r="AA38" s="22">
        <f>G38+K38+O38+S38+W38</f>
        <v/>
      </c>
      <c r="AB38" s="23">
        <f>IF(Y38&gt;0, (AA38/Y38)*100, 0)</f>
        <v/>
      </c>
    </row>
    <row r="39" ht="20" customHeight="1">
      <c r="A39" s="24" t="n">
        <v>34</v>
      </c>
      <c r="B39" s="33" t="inlineStr">
        <is>
          <t>PSDKU Gayo Lues</t>
        </is>
      </c>
      <c r="C39" s="33" t="inlineStr">
        <is>
          <t>AGROTEKNOLOGI (PDD GAYO LUES)</t>
        </is>
      </c>
      <c r="D39" s="74" t="inlineStr">
        <is>
          <t>S1</t>
        </is>
      </c>
      <c r="E39" s="25" t="n">
        <v>11</v>
      </c>
      <c r="F39" s="25" t="n">
        <v>6</v>
      </c>
      <c r="G39" s="25">
        <f>MAX(0, E39-F39)</f>
        <v/>
      </c>
      <c r="H39" s="75">
        <f>IF(E39&gt;0, (G39/E39)*100, 0)</f>
        <v/>
      </c>
      <c r="I39" s="25" t="n">
        <v>21</v>
      </c>
      <c r="J39" s="25" t="n">
        <v>13</v>
      </c>
      <c r="K39" s="25">
        <f>MAX(0, I39-J39)</f>
        <v/>
      </c>
      <c r="L39" s="75">
        <f>IF(I39&gt;0, (K39/I39)*100, 0)</f>
        <v/>
      </c>
      <c r="M39" s="25" t="n">
        <v>20</v>
      </c>
      <c r="N39" s="25" t="n">
        <v>13</v>
      </c>
      <c r="O39" s="25">
        <f>MAX(0, M39-N39)</f>
        <v/>
      </c>
      <c r="P39" s="75">
        <f>IF(M39&gt;0, (O39/M39)*100, 0)</f>
        <v/>
      </c>
      <c r="Q39" s="25" t="n">
        <v>26</v>
      </c>
      <c r="R39" s="25" t="n">
        <v>17</v>
      </c>
      <c r="S39" s="25">
        <f>MAX(0, Q39-R39)</f>
        <v/>
      </c>
      <c r="T39" s="75">
        <f>IF(Q39&gt;0, (S39/Q39)*100, 0)</f>
        <v/>
      </c>
      <c r="U39" s="25" t="n">
        <v>14</v>
      </c>
      <c r="V39" s="25" t="n">
        <v>9</v>
      </c>
      <c r="W39" s="25">
        <f>MAX(0, U39-V39)</f>
        <v/>
      </c>
      <c r="X39" s="75">
        <f>IF(U39&gt;0, (W39/U39)*100, 0)</f>
        <v/>
      </c>
      <c r="Y39" s="25">
        <f>E39+I39+M39+Q39+U39</f>
        <v/>
      </c>
      <c r="Z39" s="25">
        <f>F39+J39+N39+R39+V39</f>
        <v/>
      </c>
      <c r="AA39" s="25">
        <f>G39+K39+O39+S39+W39</f>
        <v/>
      </c>
      <c r="AB39" s="38">
        <f>IF(Y39&gt;0, (AA39/Y39)*100, 0)</f>
        <v/>
      </c>
    </row>
    <row r="40" ht="20" customHeight="1">
      <c r="A40" s="21" t="n">
        <v>35</v>
      </c>
      <c r="B40" s="32" t="inlineStr">
        <is>
          <t>PSDKU Gayo Lues</t>
        </is>
      </c>
      <c r="C40" s="32" t="inlineStr">
        <is>
          <t>PENDIDIKAN BIOLOGI  (PDD GAYO LUES)</t>
        </is>
      </c>
      <c r="D40" s="72" t="inlineStr">
        <is>
          <t>S1</t>
        </is>
      </c>
      <c r="E40" s="22" t="n">
        <v>17</v>
      </c>
      <c r="F40" s="22" t="n">
        <v>13</v>
      </c>
      <c r="G40" s="22">
        <f>MAX(0, E40-F40)</f>
        <v/>
      </c>
      <c r="H40" s="73">
        <f>IF(E40&gt;0, (G40/E40)*100, 0)</f>
        <v/>
      </c>
      <c r="I40" s="22" t="n">
        <v>13</v>
      </c>
      <c r="J40" s="22" t="n">
        <v>11</v>
      </c>
      <c r="K40" s="22">
        <f>MAX(0, I40-J40)</f>
        <v/>
      </c>
      <c r="L40" s="73">
        <f>IF(I40&gt;0, (K40/I40)*100, 0)</f>
        <v/>
      </c>
      <c r="M40" s="22" t="n">
        <v>19</v>
      </c>
      <c r="N40" s="22" t="n">
        <v>10</v>
      </c>
      <c r="O40" s="22">
        <f>MAX(0, M40-N40)</f>
        <v/>
      </c>
      <c r="P40" s="73">
        <f>IF(M40&gt;0, (O40/M40)*100, 0)</f>
        <v/>
      </c>
      <c r="Q40" s="22" t="n">
        <v>15</v>
      </c>
      <c r="R40" s="22" t="n">
        <v>13</v>
      </c>
      <c r="S40" s="22">
        <f>MAX(0, Q40-R40)</f>
        <v/>
      </c>
      <c r="T40" s="73">
        <f>IF(Q40&gt;0, (S40/Q40)*100, 0)</f>
        <v/>
      </c>
      <c r="U40" s="22" t="n">
        <v>6</v>
      </c>
      <c r="V40" s="22" t="n">
        <v>2</v>
      </c>
      <c r="W40" s="22">
        <f>MAX(0, U40-V40)</f>
        <v/>
      </c>
      <c r="X40" s="73">
        <f>IF(U40&gt;0, (W40/U40)*100, 0)</f>
        <v/>
      </c>
      <c r="Y40" s="22">
        <f>E40+I40+M40+Q40+U40</f>
        <v/>
      </c>
      <c r="Z40" s="22">
        <f>F40+J40+N40+R40+V40</f>
        <v/>
      </c>
      <c r="AA40" s="22">
        <f>G40+K40+O40+S40+W40</f>
        <v/>
      </c>
      <c r="AB40" s="38">
        <f>IF(Y40&gt;0, (AA40/Y40)*100, 0)</f>
        <v/>
      </c>
    </row>
    <row r="41" ht="20" customHeight="1">
      <c r="A41" s="24" t="n">
        <v>36</v>
      </c>
      <c r="B41" s="33" t="inlineStr">
        <is>
          <t>PSDKU Gayo Lues</t>
        </is>
      </c>
      <c r="C41" s="33" t="inlineStr">
        <is>
          <t>KEHUTANAN (PDD GAYO LUES)</t>
        </is>
      </c>
      <c r="D41" s="74" t="inlineStr">
        <is>
          <t>S1</t>
        </is>
      </c>
      <c r="E41" s="25" t="n">
        <v>18</v>
      </c>
      <c r="F41" s="25" t="n">
        <v>9</v>
      </c>
      <c r="G41" s="25">
        <f>MAX(0, E41-F41)</f>
        <v/>
      </c>
      <c r="H41" s="75">
        <f>IF(E41&gt;0, (G41/E41)*100, 0)</f>
        <v/>
      </c>
      <c r="I41" s="25" t="n">
        <v>20</v>
      </c>
      <c r="J41" s="25" t="n">
        <v>8</v>
      </c>
      <c r="K41" s="25">
        <f>MAX(0, I41-J41)</f>
        <v/>
      </c>
      <c r="L41" s="75">
        <f>IF(I41&gt;0, (K41/I41)*100, 0)</f>
        <v/>
      </c>
      <c r="M41" s="25" t="n">
        <v>17</v>
      </c>
      <c r="N41" s="25" t="n">
        <v>9</v>
      </c>
      <c r="O41" s="25">
        <f>MAX(0, M41-N41)</f>
        <v/>
      </c>
      <c r="P41" s="75">
        <f>IF(M41&gt;0, (O41/M41)*100, 0)</f>
        <v/>
      </c>
      <c r="Q41" s="25" t="n">
        <v>39</v>
      </c>
      <c r="R41" s="25" t="n">
        <v>18</v>
      </c>
      <c r="S41" s="25">
        <f>MAX(0, Q41-R41)</f>
        <v/>
      </c>
      <c r="T41" s="75">
        <f>IF(Q41&gt;0, (S41/Q41)*100, 0)</f>
        <v/>
      </c>
      <c r="U41" s="25" t="n">
        <v>27</v>
      </c>
      <c r="V41" s="25" t="n">
        <v>15</v>
      </c>
      <c r="W41" s="25">
        <f>MAX(0, U41-V41)</f>
        <v/>
      </c>
      <c r="X41" s="75">
        <f>IF(U41&gt;0, (W41/U41)*100, 0)</f>
        <v/>
      </c>
      <c r="Y41" s="25">
        <f>E41+I41+M41+Q41+U41</f>
        <v/>
      </c>
      <c r="Z41" s="25">
        <f>F41+J41+N41+R41+V41</f>
        <v/>
      </c>
      <c r="AA41" s="25">
        <f>G41+K41+O41+S41+W41</f>
        <v/>
      </c>
      <c r="AB41" s="38">
        <f>IF(Y41&gt;0, (AA41/Y41)*100, 0)</f>
        <v/>
      </c>
    </row>
    <row r="42" ht="20" customHeight="1">
      <c r="A42" s="21" t="n">
        <v>37</v>
      </c>
      <c r="B42" s="32" t="inlineStr">
        <is>
          <t>Pertanian</t>
        </is>
      </c>
      <c r="C42" s="32" t="inlineStr">
        <is>
          <t>PROTEKSI TANAMAN</t>
        </is>
      </c>
      <c r="D42" s="72" t="inlineStr">
        <is>
          <t>S1</t>
        </is>
      </c>
      <c r="E42" s="22" t="n">
        <v>53</v>
      </c>
      <c r="F42" s="22" t="n">
        <v>49</v>
      </c>
      <c r="G42" s="22">
        <f>MAX(0, E42-F42)</f>
        <v/>
      </c>
      <c r="H42" s="73">
        <f>IF(E42&gt;0, (G42/E42)*100, 0)</f>
        <v/>
      </c>
      <c r="I42" s="22" t="n">
        <v>58</v>
      </c>
      <c r="J42" s="22" t="n">
        <v>48</v>
      </c>
      <c r="K42" s="22">
        <f>MAX(0, I42-J42)</f>
        <v/>
      </c>
      <c r="L42" s="73">
        <f>IF(I42&gt;0, (K42/I42)*100, 0)</f>
        <v/>
      </c>
      <c r="M42" s="22" t="n">
        <v>52</v>
      </c>
      <c r="N42" s="22" t="n">
        <v>40</v>
      </c>
      <c r="O42" s="22">
        <f>MAX(0, M42-N42)</f>
        <v/>
      </c>
      <c r="P42" s="73">
        <f>IF(M42&gt;0, (O42/M42)*100, 0)</f>
        <v/>
      </c>
      <c r="Q42" s="22" t="n">
        <v>48</v>
      </c>
      <c r="R42" s="22" t="n">
        <v>37</v>
      </c>
      <c r="S42" s="22">
        <f>MAX(0, Q42-R42)</f>
        <v/>
      </c>
      <c r="T42" s="73">
        <f>IF(Q42&gt;0, (S42/Q42)*100, 0)</f>
        <v/>
      </c>
      <c r="U42" s="22" t="n">
        <v>60</v>
      </c>
      <c r="V42" s="22" t="n">
        <v>54</v>
      </c>
      <c r="W42" s="22">
        <f>MAX(0, U42-V42)</f>
        <v/>
      </c>
      <c r="X42" s="73">
        <f>IF(U42&gt;0, (W42/U42)*100, 0)</f>
        <v/>
      </c>
      <c r="Y42" s="22">
        <f>E42+I42+M42+Q42+U42</f>
        <v/>
      </c>
      <c r="Z42" s="22">
        <f>F42+J42+N42+R42+V42</f>
        <v/>
      </c>
      <c r="AA42" s="22">
        <f>G42+K42+O42+S42+W42</f>
        <v/>
      </c>
      <c r="AB42" s="23">
        <f>IF(Y42&gt;0, (AA42/Y42)*100, 0)</f>
        <v/>
      </c>
    </row>
    <row r="43" ht="20" customHeight="1">
      <c r="A43" s="24" t="n">
        <v>38</v>
      </c>
      <c r="B43" s="33" t="inlineStr">
        <is>
          <t>Teknik</t>
        </is>
      </c>
      <c r="C43" s="33" t="inlineStr">
        <is>
          <t>PERENCANAAN WILAYAH DAN KOTA</t>
        </is>
      </c>
      <c r="D43" s="74" t="inlineStr">
        <is>
          <t>S1</t>
        </is>
      </c>
      <c r="E43" s="25" t="n">
        <v>102</v>
      </c>
      <c r="F43" s="25" t="n">
        <v>90</v>
      </c>
      <c r="G43" s="25">
        <f>MAX(0, E43-F43)</f>
        <v/>
      </c>
      <c r="H43" s="75">
        <f>IF(E43&gt;0, (G43/E43)*100, 0)</f>
        <v/>
      </c>
      <c r="I43" s="25" t="n">
        <v>111</v>
      </c>
      <c r="J43" s="25" t="n">
        <v>93</v>
      </c>
      <c r="K43" s="25">
        <f>MAX(0, I43-J43)</f>
        <v/>
      </c>
      <c r="L43" s="75">
        <f>IF(I43&gt;0, (K43/I43)*100, 0)</f>
        <v/>
      </c>
      <c r="M43" s="25" t="n">
        <v>118</v>
      </c>
      <c r="N43" s="25" t="n">
        <v>98</v>
      </c>
      <c r="O43" s="25">
        <f>MAX(0, M43-N43)</f>
        <v/>
      </c>
      <c r="P43" s="75">
        <f>IF(M43&gt;0, (O43/M43)*100, 0)</f>
        <v/>
      </c>
      <c r="Q43" s="25" t="n">
        <v>89</v>
      </c>
      <c r="R43" s="25" t="n">
        <v>72</v>
      </c>
      <c r="S43" s="25">
        <f>MAX(0, Q43-R43)</f>
        <v/>
      </c>
      <c r="T43" s="75">
        <f>IF(Q43&gt;0, (S43/Q43)*100, 0)</f>
        <v/>
      </c>
      <c r="U43" s="25" t="n">
        <v>61</v>
      </c>
      <c r="V43" s="25" t="n">
        <v>54</v>
      </c>
      <c r="W43" s="25">
        <f>MAX(0, U43-V43)</f>
        <v/>
      </c>
      <c r="X43" s="75">
        <f>IF(U43&gt;0, (W43/U43)*100, 0)</f>
        <v/>
      </c>
      <c r="Y43" s="25">
        <f>E43+I43+M43+Q43+U43</f>
        <v/>
      </c>
      <c r="Z43" s="25">
        <f>F43+J43+N43+R43+V43</f>
        <v/>
      </c>
      <c r="AA43" s="25">
        <f>G43+K43+O43+S43+W43</f>
        <v/>
      </c>
      <c r="AB43" s="26">
        <f>IF(Y43&gt;0, (AA43/Y43)*100, 0)</f>
        <v/>
      </c>
    </row>
    <row r="44" ht="20" customHeight="1">
      <c r="A44" s="21" t="n">
        <v>39</v>
      </c>
      <c r="B44" s="32" t="inlineStr">
        <is>
          <t>Pertanian</t>
        </is>
      </c>
      <c r="C44" s="32" t="inlineStr">
        <is>
          <t>KEHUTANAN</t>
        </is>
      </c>
      <c r="D44" s="72" t="inlineStr">
        <is>
          <t>S1</t>
        </is>
      </c>
      <c r="E44" s="22" t="n">
        <v>105</v>
      </c>
      <c r="F44" s="22" t="n">
        <v>89</v>
      </c>
      <c r="G44" s="22">
        <f>MAX(0, E44-F44)</f>
        <v/>
      </c>
      <c r="H44" s="73">
        <f>IF(E44&gt;0, (G44/E44)*100, 0)</f>
        <v/>
      </c>
      <c r="I44" s="22" t="n">
        <v>92</v>
      </c>
      <c r="J44" s="22" t="n">
        <v>75</v>
      </c>
      <c r="K44" s="22">
        <f>MAX(0, I44-J44)</f>
        <v/>
      </c>
      <c r="L44" s="73">
        <f>IF(I44&gt;0, (K44/I44)*100, 0)</f>
        <v/>
      </c>
      <c r="M44" s="22" t="n">
        <v>100</v>
      </c>
      <c r="N44" s="22" t="n">
        <v>72</v>
      </c>
      <c r="O44" s="22">
        <f>MAX(0, M44-N44)</f>
        <v/>
      </c>
      <c r="P44" s="73">
        <f>IF(M44&gt;0, (O44/M44)*100, 0)</f>
        <v/>
      </c>
      <c r="Q44" s="22" t="n">
        <v>78</v>
      </c>
      <c r="R44" s="22" t="n">
        <v>64</v>
      </c>
      <c r="S44" s="22">
        <f>MAX(0, Q44-R44)</f>
        <v/>
      </c>
      <c r="T44" s="73">
        <f>IF(Q44&gt;0, (S44/Q44)*100, 0)</f>
        <v/>
      </c>
      <c r="U44" s="22" t="n">
        <v>70</v>
      </c>
      <c r="V44" s="22" t="n">
        <v>51</v>
      </c>
      <c r="W44" s="22">
        <f>MAX(0, U44-V44)</f>
        <v/>
      </c>
      <c r="X44" s="73">
        <f>IF(U44&gt;0, (W44/U44)*100, 0)</f>
        <v/>
      </c>
      <c r="Y44" s="22">
        <f>E44+I44+M44+Q44+U44</f>
        <v/>
      </c>
      <c r="Z44" s="22">
        <f>F44+J44+N44+R44+V44</f>
        <v/>
      </c>
      <c r="AA44" s="22">
        <f>G44+K44+O44+S44+W44</f>
        <v/>
      </c>
      <c r="AB44" s="23">
        <f>IF(Y44&gt;0, (AA44/Y44)*100, 0)</f>
        <v/>
      </c>
    </row>
    <row r="45" ht="20" customHeight="1">
      <c r="A45" s="24" t="n">
        <v>40</v>
      </c>
      <c r="B45" s="33" t="inlineStr">
        <is>
          <t>Teknik</t>
        </is>
      </c>
      <c r="C45" s="33" t="inlineStr">
        <is>
          <t>TEKNIK KOMPUTER</t>
        </is>
      </c>
      <c r="D45" s="74" t="inlineStr">
        <is>
          <t>S1</t>
        </is>
      </c>
      <c r="E45" s="25" t="n">
        <v>186</v>
      </c>
      <c r="F45" s="25" t="n">
        <v>145</v>
      </c>
      <c r="G45" s="25">
        <f>MAX(0, E45-F45)</f>
        <v/>
      </c>
      <c r="H45" s="75">
        <f>IF(E45&gt;0, (G45/E45)*100, 0)</f>
        <v/>
      </c>
      <c r="I45" s="25" t="n">
        <v>175</v>
      </c>
      <c r="J45" s="25" t="n">
        <v>136</v>
      </c>
      <c r="K45" s="25">
        <f>MAX(0, I45-J45)</f>
        <v/>
      </c>
      <c r="L45" s="75">
        <f>IF(I45&gt;0, (K45/I45)*100, 0)</f>
        <v/>
      </c>
      <c r="M45" s="25" t="n">
        <v>175</v>
      </c>
      <c r="N45" s="25" t="n">
        <v>142</v>
      </c>
      <c r="O45" s="25">
        <f>MAX(0, M45-N45)</f>
        <v/>
      </c>
      <c r="P45" s="75">
        <f>IF(M45&gt;0, (O45/M45)*100, 0)</f>
        <v/>
      </c>
      <c r="Q45" s="25" t="n">
        <v>129</v>
      </c>
      <c r="R45" s="25" t="n">
        <v>100</v>
      </c>
      <c r="S45" s="25">
        <f>MAX(0, Q45-R45)</f>
        <v/>
      </c>
      <c r="T45" s="75">
        <f>IF(Q45&gt;0, (S45/Q45)*100, 0)</f>
        <v/>
      </c>
      <c r="U45" s="25" t="n">
        <v>110</v>
      </c>
      <c r="V45" s="25" t="n">
        <v>85</v>
      </c>
      <c r="W45" s="25">
        <f>MAX(0, U45-V45)</f>
        <v/>
      </c>
      <c r="X45" s="75">
        <f>IF(U45&gt;0, (W45/U45)*100, 0)</f>
        <v/>
      </c>
      <c r="Y45" s="25">
        <f>E45+I45+M45+Q45+U45</f>
        <v/>
      </c>
      <c r="Z45" s="25">
        <f>F45+J45+N45+R45+V45</f>
        <v/>
      </c>
      <c r="AA45" s="25">
        <f>G45+K45+O45+S45+W45</f>
        <v/>
      </c>
      <c r="AB45" s="26">
        <f>IF(Y45&gt;0, (AA45/Y45)*100, 0)</f>
        <v/>
      </c>
    </row>
    <row r="46" ht="20" customHeight="1">
      <c r="A46" s="21" t="n">
        <v>41</v>
      </c>
      <c r="B46" s="32" t="inlineStr">
        <is>
          <t>Ekonomi dan Bisnis</t>
        </is>
      </c>
      <c r="C46" s="32" t="inlineStr">
        <is>
          <t>EKONOMI PEMBANGUNAN</t>
        </is>
      </c>
      <c r="D46" s="72" t="inlineStr">
        <is>
          <t>S1</t>
        </is>
      </c>
      <c r="E46" s="22" t="n">
        <v>151</v>
      </c>
      <c r="F46" s="22" t="n">
        <v>135</v>
      </c>
      <c r="G46" s="22">
        <f>MAX(0, E46-F46)</f>
        <v/>
      </c>
      <c r="H46" s="73">
        <f>IF(E46&gt;0, (G46/E46)*100, 0)</f>
        <v/>
      </c>
      <c r="I46" s="22" t="n">
        <v>167</v>
      </c>
      <c r="J46" s="22" t="n">
        <v>145</v>
      </c>
      <c r="K46" s="22">
        <f>MAX(0, I46-J46)</f>
        <v/>
      </c>
      <c r="L46" s="73">
        <f>IF(I46&gt;0, (K46/I46)*100, 0)</f>
        <v/>
      </c>
      <c r="M46" s="22" t="n">
        <v>176</v>
      </c>
      <c r="N46" s="22" t="n">
        <v>152</v>
      </c>
      <c r="O46" s="22">
        <f>MAX(0, M46-N46)</f>
        <v/>
      </c>
      <c r="P46" s="73">
        <f>IF(M46&gt;0, (O46/M46)*100, 0)</f>
        <v/>
      </c>
      <c r="Q46" s="22" t="n">
        <v>160</v>
      </c>
      <c r="R46" s="22" t="n">
        <v>141</v>
      </c>
      <c r="S46" s="22">
        <f>MAX(0, Q46-R46)</f>
        <v/>
      </c>
      <c r="T46" s="73">
        <f>IF(Q46&gt;0, (S46/Q46)*100, 0)</f>
        <v/>
      </c>
      <c r="U46" s="22" t="n">
        <v>202</v>
      </c>
      <c r="V46" s="22" t="n">
        <v>169</v>
      </c>
      <c r="W46" s="22">
        <f>MAX(0, U46-V46)</f>
        <v/>
      </c>
      <c r="X46" s="73">
        <f>IF(U46&gt;0, (W46/U46)*100, 0)</f>
        <v/>
      </c>
      <c r="Y46" s="22">
        <f>E46+I46+M46+Q46+U46</f>
        <v/>
      </c>
      <c r="Z46" s="22">
        <f>F46+J46+N46+R46+V46</f>
        <v/>
      </c>
      <c r="AA46" s="22">
        <f>G46+K46+O46+S46+W46</f>
        <v/>
      </c>
      <c r="AB46" s="23">
        <f>IF(Y46&gt;0, (AA46/Y46)*100, 0)</f>
        <v/>
      </c>
    </row>
    <row r="47" ht="20" customHeight="1">
      <c r="A47" s="24" t="n">
        <v>42</v>
      </c>
      <c r="B47" s="33" t="inlineStr">
        <is>
          <t>Ekonomi dan Bisnis</t>
        </is>
      </c>
      <c r="C47" s="33" t="inlineStr">
        <is>
          <t>MANAJEMEN</t>
        </is>
      </c>
      <c r="D47" s="74" t="inlineStr">
        <is>
          <t>S1</t>
        </is>
      </c>
      <c r="E47" s="25" t="n">
        <v>226</v>
      </c>
      <c r="F47" s="25" t="n">
        <v>199</v>
      </c>
      <c r="G47" s="25">
        <f>MAX(0, E47-F47)</f>
        <v/>
      </c>
      <c r="H47" s="75">
        <f>IF(E47&gt;0, (G47/E47)*100, 0)</f>
        <v/>
      </c>
      <c r="I47" s="25" t="n">
        <v>214</v>
      </c>
      <c r="J47" s="25" t="n">
        <v>199</v>
      </c>
      <c r="K47" s="25">
        <f>MAX(0, I47-J47)</f>
        <v/>
      </c>
      <c r="L47" s="75">
        <f>IF(I47&gt;0, (K47/I47)*100, 0)</f>
        <v/>
      </c>
      <c r="M47" s="25" t="n">
        <v>236</v>
      </c>
      <c r="N47" s="25" t="n">
        <v>206</v>
      </c>
      <c r="O47" s="25">
        <f>MAX(0, M47-N47)</f>
        <v/>
      </c>
      <c r="P47" s="75">
        <f>IF(M47&gt;0, (O47/M47)*100, 0)</f>
        <v/>
      </c>
      <c r="Q47" s="25" t="n">
        <v>275</v>
      </c>
      <c r="R47" s="25" t="n">
        <v>227</v>
      </c>
      <c r="S47" s="25">
        <f>MAX(0, Q47-R47)</f>
        <v/>
      </c>
      <c r="T47" s="75">
        <f>IF(Q47&gt;0, (S47/Q47)*100, 0)</f>
        <v/>
      </c>
      <c r="U47" s="25" t="n">
        <v>298</v>
      </c>
      <c r="V47" s="25" t="n">
        <v>266</v>
      </c>
      <c r="W47" s="25">
        <f>MAX(0, U47-V47)</f>
        <v/>
      </c>
      <c r="X47" s="75">
        <f>IF(U47&gt;0, (W47/U47)*100, 0)</f>
        <v/>
      </c>
      <c r="Y47" s="25">
        <f>E47+I47+M47+Q47+U47</f>
        <v/>
      </c>
      <c r="Z47" s="25">
        <f>F47+J47+N47+R47+V47</f>
        <v/>
      </c>
      <c r="AA47" s="25">
        <f>G47+K47+O47+S47+W47</f>
        <v/>
      </c>
      <c r="AB47" s="26">
        <f>IF(Y47&gt;0, (AA47/Y47)*100, 0)</f>
        <v/>
      </c>
    </row>
    <row r="48" ht="20" customHeight="1">
      <c r="A48" s="21" t="n">
        <v>43</v>
      </c>
      <c r="B48" s="32" t="inlineStr">
        <is>
          <t>Ekonomi dan Bisnis</t>
        </is>
      </c>
      <c r="C48" s="32" t="inlineStr">
        <is>
          <t>AKUNTANSI</t>
        </is>
      </c>
      <c r="D48" s="72" t="inlineStr">
        <is>
          <t>S1</t>
        </is>
      </c>
      <c r="E48" s="22" t="n">
        <v>222</v>
      </c>
      <c r="F48" s="22" t="n">
        <v>199</v>
      </c>
      <c r="G48" s="22">
        <f>MAX(0, E48-F48)</f>
        <v/>
      </c>
      <c r="H48" s="73">
        <f>IF(E48&gt;0, (G48/E48)*100, 0)</f>
        <v/>
      </c>
      <c r="I48" s="22" t="n">
        <v>217</v>
      </c>
      <c r="J48" s="22" t="n">
        <v>194</v>
      </c>
      <c r="K48" s="22">
        <f>MAX(0, I48-J48)</f>
        <v/>
      </c>
      <c r="L48" s="73">
        <f>IF(I48&gt;0, (K48/I48)*100, 0)</f>
        <v/>
      </c>
      <c r="M48" s="22" t="n">
        <v>218</v>
      </c>
      <c r="N48" s="22" t="n">
        <v>195</v>
      </c>
      <c r="O48" s="22">
        <f>MAX(0, M48-N48)</f>
        <v/>
      </c>
      <c r="P48" s="73">
        <f>IF(M48&gt;0, (O48/M48)*100, 0)</f>
        <v/>
      </c>
      <c r="Q48" s="22" t="n">
        <v>200</v>
      </c>
      <c r="R48" s="22" t="n">
        <v>185</v>
      </c>
      <c r="S48" s="22">
        <f>MAX(0, Q48-R48)</f>
        <v/>
      </c>
      <c r="T48" s="73">
        <f>IF(Q48&gt;0, (S48/Q48)*100, 0)</f>
        <v/>
      </c>
      <c r="U48" s="22" t="n">
        <v>221</v>
      </c>
      <c r="V48" s="22" t="n">
        <v>202</v>
      </c>
      <c r="W48" s="22">
        <f>MAX(0, U48-V48)</f>
        <v/>
      </c>
      <c r="X48" s="73">
        <f>IF(U48&gt;0, (W48/U48)*100, 0)</f>
        <v/>
      </c>
      <c r="Y48" s="22">
        <f>E48+I48+M48+Q48+U48</f>
        <v/>
      </c>
      <c r="Z48" s="22">
        <f>F48+J48+N48+R48+V48</f>
        <v/>
      </c>
      <c r="AA48" s="22">
        <f>G48+K48+O48+S48+W48</f>
        <v/>
      </c>
      <c r="AB48" s="39">
        <f>IF(Y48&gt;0, (AA48/Y48)*100, 0)</f>
        <v/>
      </c>
    </row>
    <row r="49" ht="20" customHeight="1">
      <c r="A49" s="24" t="n">
        <v>44</v>
      </c>
      <c r="B49" s="33" t="inlineStr">
        <is>
          <t>Hukum</t>
        </is>
      </c>
      <c r="C49" s="33" t="inlineStr">
        <is>
          <t>ILMU HUKUM</t>
        </is>
      </c>
      <c r="D49" s="74" t="inlineStr">
        <is>
          <t>S1</t>
        </is>
      </c>
      <c r="E49" s="25" t="n">
        <v>613</v>
      </c>
      <c r="F49" s="25" t="n">
        <v>558</v>
      </c>
      <c r="G49" s="25">
        <f>MAX(0, E49-F49)</f>
        <v/>
      </c>
      <c r="H49" s="75">
        <f>IF(E49&gt;0, (G49/E49)*100, 0)</f>
        <v/>
      </c>
      <c r="I49" s="25" t="n">
        <v>608</v>
      </c>
      <c r="J49" s="25" t="n">
        <v>552</v>
      </c>
      <c r="K49" s="25">
        <f>MAX(0, I49-J49)</f>
        <v/>
      </c>
      <c r="L49" s="75">
        <f>IF(I49&gt;0, (K49/I49)*100, 0)</f>
        <v/>
      </c>
      <c r="M49" s="25" t="n">
        <v>623</v>
      </c>
      <c r="N49" s="25" t="n">
        <v>566</v>
      </c>
      <c r="O49" s="25">
        <f>MAX(0, M49-N49)</f>
        <v/>
      </c>
      <c r="P49" s="75">
        <f>IF(M49&gt;0, (O49/M49)*100, 0)</f>
        <v/>
      </c>
      <c r="Q49" s="25" t="n">
        <v>513</v>
      </c>
      <c r="R49" s="25" t="n">
        <v>459</v>
      </c>
      <c r="S49" s="25">
        <f>MAX(0, Q49-R49)</f>
        <v/>
      </c>
      <c r="T49" s="75">
        <f>IF(Q49&gt;0, (S49/Q49)*100, 0)</f>
        <v/>
      </c>
      <c r="U49" s="25" t="n">
        <v>452</v>
      </c>
      <c r="V49" s="25" t="n">
        <v>423</v>
      </c>
      <c r="W49" s="25">
        <f>MAX(0, U49-V49)</f>
        <v/>
      </c>
      <c r="X49" s="75">
        <f>IF(U49&gt;0, (W49/U49)*100, 0)</f>
        <v/>
      </c>
      <c r="Y49" s="25">
        <f>E49+I49+M49+Q49+U49</f>
        <v/>
      </c>
      <c r="Z49" s="25">
        <f>F49+J49+N49+R49+V49</f>
        <v/>
      </c>
      <c r="AA49" s="25">
        <f>G49+K49+O49+S49+W49</f>
        <v/>
      </c>
      <c r="AB49" s="39">
        <f>IF(Y49&gt;0, (AA49/Y49)*100, 0)</f>
        <v/>
      </c>
    </row>
    <row r="50" ht="20" customHeight="1">
      <c r="A50" s="21" t="n">
        <v>45</v>
      </c>
      <c r="B50" s="32" t="inlineStr">
        <is>
          <t>FKIP</t>
        </is>
      </c>
      <c r="C50" s="32" t="inlineStr">
        <is>
          <t>PENDIDIKAN PANCASILA DAN KEWARGANEGARAAN</t>
        </is>
      </c>
      <c r="D50" s="72" t="inlineStr">
        <is>
          <t>S1</t>
        </is>
      </c>
      <c r="E50" s="22" t="n">
        <v>143</v>
      </c>
      <c r="F50" s="22" t="n">
        <v>129</v>
      </c>
      <c r="G50" s="22">
        <f>MAX(0, E50-F50)</f>
        <v/>
      </c>
      <c r="H50" s="73">
        <f>IF(E50&gt;0, (G50/E50)*100, 0)</f>
        <v/>
      </c>
      <c r="I50" s="22" t="n">
        <v>126</v>
      </c>
      <c r="J50" s="22" t="n">
        <v>110</v>
      </c>
      <c r="K50" s="22">
        <f>MAX(0, I50-J50)</f>
        <v/>
      </c>
      <c r="L50" s="73">
        <f>IF(I50&gt;0, (K50/I50)*100, 0)</f>
        <v/>
      </c>
      <c r="M50" s="22" t="n">
        <v>121</v>
      </c>
      <c r="N50" s="22" t="n">
        <v>106</v>
      </c>
      <c r="O50" s="22">
        <f>MAX(0, M50-N50)</f>
        <v/>
      </c>
      <c r="P50" s="73">
        <f>IF(M50&gt;0, (O50/M50)*100, 0)</f>
        <v/>
      </c>
      <c r="Q50" s="22" t="n">
        <v>94</v>
      </c>
      <c r="R50" s="22" t="n">
        <v>86</v>
      </c>
      <c r="S50" s="22">
        <f>MAX(0, Q50-R50)</f>
        <v/>
      </c>
      <c r="T50" s="73">
        <f>IF(Q50&gt;0, (S50/Q50)*100, 0)</f>
        <v/>
      </c>
      <c r="U50" s="22" t="n">
        <v>92</v>
      </c>
      <c r="V50" s="22" t="n">
        <v>77</v>
      </c>
      <c r="W50" s="22">
        <f>MAX(0, U50-V50)</f>
        <v/>
      </c>
      <c r="X50" s="73">
        <f>IF(U50&gt;0, (W50/U50)*100, 0)</f>
        <v/>
      </c>
      <c r="Y50" s="22">
        <f>E50+I50+M50+Q50+U50</f>
        <v/>
      </c>
      <c r="Z50" s="22">
        <f>F50+J50+N50+R50+V50</f>
        <v/>
      </c>
      <c r="AA50" s="22">
        <f>G50+K50+O50+S50+W50</f>
        <v/>
      </c>
      <c r="AB50" s="23">
        <f>IF(Y50&gt;0, (AA50/Y50)*100, 0)</f>
        <v/>
      </c>
    </row>
    <row r="51" ht="20" customHeight="1">
      <c r="A51" s="24" t="n">
        <v>46</v>
      </c>
      <c r="B51" s="33" t="inlineStr">
        <is>
          <t>FKIP</t>
        </is>
      </c>
      <c r="C51" s="33" t="inlineStr">
        <is>
          <t>PENDIDIKAN SEJARAH</t>
        </is>
      </c>
      <c r="D51" s="74" t="inlineStr">
        <is>
          <t>S1</t>
        </is>
      </c>
      <c r="E51" s="25" t="n">
        <v>96</v>
      </c>
      <c r="F51" s="25" t="n">
        <v>84</v>
      </c>
      <c r="G51" s="25">
        <f>MAX(0, E51-F51)</f>
        <v/>
      </c>
      <c r="H51" s="75">
        <f>IF(E51&gt;0, (G51/E51)*100, 0)</f>
        <v/>
      </c>
      <c r="I51" s="25" t="n">
        <v>108</v>
      </c>
      <c r="J51" s="25" t="n">
        <v>93</v>
      </c>
      <c r="K51" s="25">
        <f>MAX(0, I51-J51)</f>
        <v/>
      </c>
      <c r="L51" s="75">
        <f>IF(I51&gt;0, (K51/I51)*100, 0)</f>
        <v/>
      </c>
      <c r="M51" s="25" t="n">
        <v>106</v>
      </c>
      <c r="N51" s="25" t="n">
        <v>92</v>
      </c>
      <c r="O51" s="25">
        <f>MAX(0, M51-N51)</f>
        <v/>
      </c>
      <c r="P51" s="75">
        <f>IF(M51&gt;0, (O51/M51)*100, 0)</f>
        <v/>
      </c>
      <c r="Q51" s="25" t="n">
        <v>84</v>
      </c>
      <c r="R51" s="25" t="n">
        <v>69</v>
      </c>
      <c r="S51" s="25">
        <f>MAX(0, Q51-R51)</f>
        <v/>
      </c>
      <c r="T51" s="75">
        <f>IF(Q51&gt;0, (S51/Q51)*100, 0)</f>
        <v/>
      </c>
      <c r="U51" s="25" t="n">
        <v>90</v>
      </c>
      <c r="V51" s="25" t="n">
        <v>74</v>
      </c>
      <c r="W51" s="25">
        <f>MAX(0, U51-V51)</f>
        <v/>
      </c>
      <c r="X51" s="75">
        <f>IF(U51&gt;0, (W51/U51)*100, 0)</f>
        <v/>
      </c>
      <c r="Y51" s="25">
        <f>E51+I51+M51+Q51+U51</f>
        <v/>
      </c>
      <c r="Z51" s="25">
        <f>F51+J51+N51+R51+V51</f>
        <v/>
      </c>
      <c r="AA51" s="25">
        <f>G51+K51+O51+S51+W51</f>
        <v/>
      </c>
      <c r="AB51" s="26">
        <f>IF(Y51&gt;0, (AA51/Y51)*100, 0)</f>
        <v/>
      </c>
    </row>
    <row r="52" ht="20" customHeight="1">
      <c r="A52" s="21" t="n">
        <v>47</v>
      </c>
      <c r="B52" s="32" t="inlineStr">
        <is>
          <t>FKIP</t>
        </is>
      </c>
      <c r="C52" s="32" t="inlineStr">
        <is>
          <t>PENDIDIKAN EKONOMI</t>
        </is>
      </c>
      <c r="D52" s="72" t="inlineStr">
        <is>
          <t>S1</t>
        </is>
      </c>
      <c r="E52" s="22" t="n">
        <v>130</v>
      </c>
      <c r="F52" s="22" t="n">
        <v>103</v>
      </c>
      <c r="G52" s="22">
        <f>MAX(0, E52-F52)</f>
        <v/>
      </c>
      <c r="H52" s="73">
        <f>IF(E52&gt;0, (G52/E52)*100, 0)</f>
        <v/>
      </c>
      <c r="I52" s="22" t="n">
        <v>128</v>
      </c>
      <c r="J52" s="22" t="n">
        <v>104</v>
      </c>
      <c r="K52" s="22">
        <f>MAX(0, I52-J52)</f>
        <v/>
      </c>
      <c r="L52" s="73">
        <f>IF(I52&gt;0, (K52/I52)*100, 0)</f>
        <v/>
      </c>
      <c r="M52" s="22" t="n">
        <v>128</v>
      </c>
      <c r="N52" s="22" t="n">
        <v>107</v>
      </c>
      <c r="O52" s="22">
        <f>MAX(0, M52-N52)</f>
        <v/>
      </c>
      <c r="P52" s="73">
        <f>IF(M52&gt;0, (O52/M52)*100, 0)</f>
        <v/>
      </c>
      <c r="Q52" s="22" t="n">
        <v>93</v>
      </c>
      <c r="R52" s="22" t="n">
        <v>76</v>
      </c>
      <c r="S52" s="22">
        <f>MAX(0, Q52-R52)</f>
        <v/>
      </c>
      <c r="T52" s="73">
        <f>IF(Q52&gt;0, (S52/Q52)*100, 0)</f>
        <v/>
      </c>
      <c r="U52" s="22" t="n">
        <v>95</v>
      </c>
      <c r="V52" s="22" t="n">
        <v>79</v>
      </c>
      <c r="W52" s="22">
        <f>MAX(0, U52-V52)</f>
        <v/>
      </c>
      <c r="X52" s="73">
        <f>IF(U52&gt;0, (W52/U52)*100, 0)</f>
        <v/>
      </c>
      <c r="Y52" s="22">
        <f>E52+I52+M52+Q52+U52</f>
        <v/>
      </c>
      <c r="Z52" s="22">
        <f>F52+J52+N52+R52+V52</f>
        <v/>
      </c>
      <c r="AA52" s="22">
        <f>G52+K52+O52+S52+W52</f>
        <v/>
      </c>
      <c r="AB52" s="23">
        <f>IF(Y52&gt;0, (AA52/Y52)*100, 0)</f>
        <v/>
      </c>
    </row>
    <row r="53" ht="20" customHeight="1">
      <c r="A53" s="24" t="n">
        <v>48</v>
      </c>
      <c r="B53" s="33" t="inlineStr">
        <is>
          <t>FKIP</t>
        </is>
      </c>
      <c r="C53" s="33" t="inlineStr">
        <is>
          <t>PENDIDIKAN GEOGRAFI</t>
        </is>
      </c>
      <c r="D53" s="74" t="inlineStr">
        <is>
          <t>S1</t>
        </is>
      </c>
      <c r="E53" s="25" t="n">
        <v>129</v>
      </c>
      <c r="F53" s="25" t="n">
        <v>119</v>
      </c>
      <c r="G53" s="25">
        <f>MAX(0, E53-F53)</f>
        <v/>
      </c>
      <c r="H53" s="75">
        <f>IF(E53&gt;0, (G53/E53)*100, 0)</f>
        <v/>
      </c>
      <c r="I53" s="25" t="n">
        <v>124</v>
      </c>
      <c r="J53" s="25" t="n">
        <v>111</v>
      </c>
      <c r="K53" s="25">
        <f>MAX(0, I53-J53)</f>
        <v/>
      </c>
      <c r="L53" s="75">
        <f>IF(I53&gt;0, (K53/I53)*100, 0)</f>
        <v/>
      </c>
      <c r="M53" s="25" t="n">
        <v>120</v>
      </c>
      <c r="N53" s="25" t="n">
        <v>102</v>
      </c>
      <c r="O53" s="25">
        <f>MAX(0, M53-N53)</f>
        <v/>
      </c>
      <c r="P53" s="75">
        <f>IF(M53&gt;0, (O53/M53)*100, 0)</f>
        <v/>
      </c>
      <c r="Q53" s="25" t="n">
        <v>92</v>
      </c>
      <c r="R53" s="25" t="n">
        <v>82</v>
      </c>
      <c r="S53" s="25">
        <f>MAX(0, Q53-R53)</f>
        <v/>
      </c>
      <c r="T53" s="75">
        <f>IF(Q53&gt;0, (S53/Q53)*100, 0)</f>
        <v/>
      </c>
      <c r="U53" s="25" t="n">
        <v>82</v>
      </c>
      <c r="V53" s="25" t="n">
        <v>71</v>
      </c>
      <c r="W53" s="25">
        <f>MAX(0, U53-V53)</f>
        <v/>
      </c>
      <c r="X53" s="75">
        <f>IF(U53&gt;0, (W53/U53)*100, 0)</f>
        <v/>
      </c>
      <c r="Y53" s="25">
        <f>E53+I53+M53+Q53+U53</f>
        <v/>
      </c>
      <c r="Z53" s="25">
        <f>F53+J53+N53+R53+V53</f>
        <v/>
      </c>
      <c r="AA53" s="25">
        <f>G53+K53+O53+S53+W53</f>
        <v/>
      </c>
      <c r="AB53" s="26">
        <f>IF(Y53&gt;0, (AA53/Y53)*100, 0)</f>
        <v/>
      </c>
    </row>
    <row r="54" ht="20" customHeight="1">
      <c r="A54" s="21" t="n">
        <v>49</v>
      </c>
      <c r="B54" s="32" t="inlineStr">
        <is>
          <t>FKIP</t>
        </is>
      </c>
      <c r="C54" s="32" t="inlineStr">
        <is>
          <t>PENDIDIKAN BAHASA INDONESIA</t>
        </is>
      </c>
      <c r="D54" s="72" t="inlineStr">
        <is>
          <t>S1</t>
        </is>
      </c>
      <c r="E54" s="22" t="n">
        <v>154</v>
      </c>
      <c r="F54" s="22" t="n">
        <v>134</v>
      </c>
      <c r="G54" s="22">
        <f>MAX(0, E54-F54)</f>
        <v/>
      </c>
      <c r="H54" s="73">
        <f>IF(E54&gt;0, (G54/E54)*100, 0)</f>
        <v/>
      </c>
      <c r="I54" s="22" t="n">
        <v>137</v>
      </c>
      <c r="J54" s="22" t="n">
        <v>124</v>
      </c>
      <c r="K54" s="22">
        <f>MAX(0, I54-J54)</f>
        <v/>
      </c>
      <c r="L54" s="73">
        <f>IF(I54&gt;0, (K54/I54)*100, 0)</f>
        <v/>
      </c>
      <c r="M54" s="22" t="n">
        <v>158</v>
      </c>
      <c r="N54" s="22" t="n">
        <v>133</v>
      </c>
      <c r="O54" s="22">
        <f>MAX(0, M54-N54)</f>
        <v/>
      </c>
      <c r="P54" s="73">
        <f>IF(M54&gt;0, (O54/M54)*100, 0)</f>
        <v/>
      </c>
      <c r="Q54" s="22" t="n">
        <v>94</v>
      </c>
      <c r="R54" s="22" t="n">
        <v>82</v>
      </c>
      <c r="S54" s="22">
        <f>MAX(0, Q54-R54)</f>
        <v/>
      </c>
      <c r="T54" s="73">
        <f>IF(Q54&gt;0, (S54/Q54)*100, 0)</f>
        <v/>
      </c>
      <c r="U54" s="22" t="n">
        <v>85</v>
      </c>
      <c r="V54" s="22" t="n">
        <v>64</v>
      </c>
      <c r="W54" s="22">
        <f>MAX(0, U54-V54)</f>
        <v/>
      </c>
      <c r="X54" s="73">
        <f>IF(U54&gt;0, (W54/U54)*100, 0)</f>
        <v/>
      </c>
      <c r="Y54" s="22">
        <f>E54+I54+M54+Q54+U54</f>
        <v/>
      </c>
      <c r="Z54" s="22">
        <f>F54+J54+N54+R54+V54</f>
        <v/>
      </c>
      <c r="AA54" s="22">
        <f>G54+K54+O54+S54+W54</f>
        <v/>
      </c>
      <c r="AB54" s="23">
        <f>IF(Y54&gt;0, (AA54/Y54)*100, 0)</f>
        <v/>
      </c>
    </row>
    <row r="55" ht="20" customHeight="1">
      <c r="A55" s="24" t="n">
        <v>50</v>
      </c>
      <c r="B55" s="33" t="inlineStr">
        <is>
          <t>FKIP</t>
        </is>
      </c>
      <c r="C55" s="33" t="inlineStr">
        <is>
          <t>PENDIDIKAN BAHASA INGGRIS</t>
        </is>
      </c>
      <c r="D55" s="74" t="inlineStr">
        <is>
          <t>S1</t>
        </is>
      </c>
      <c r="E55" s="25" t="n">
        <v>175</v>
      </c>
      <c r="F55" s="25" t="n">
        <v>149</v>
      </c>
      <c r="G55" s="25">
        <f>MAX(0, E55-F55)</f>
        <v/>
      </c>
      <c r="H55" s="75">
        <f>IF(E55&gt;0, (G55/E55)*100, 0)</f>
        <v/>
      </c>
      <c r="I55" s="25" t="n">
        <v>177</v>
      </c>
      <c r="J55" s="25" t="n">
        <v>154</v>
      </c>
      <c r="K55" s="25">
        <f>MAX(0, I55-J55)</f>
        <v/>
      </c>
      <c r="L55" s="75">
        <f>IF(I55&gt;0, (K55/I55)*100, 0)</f>
        <v/>
      </c>
      <c r="M55" s="25" t="n">
        <v>164</v>
      </c>
      <c r="N55" s="25" t="n">
        <v>136</v>
      </c>
      <c r="O55" s="25">
        <f>MAX(0, M55-N55)</f>
        <v/>
      </c>
      <c r="P55" s="75">
        <f>IF(M55&gt;0, (O55/M55)*100, 0)</f>
        <v/>
      </c>
      <c r="Q55" s="25" t="n">
        <v>126</v>
      </c>
      <c r="R55" s="25" t="n">
        <v>104</v>
      </c>
      <c r="S55" s="25">
        <f>MAX(0, Q55-R55)</f>
        <v/>
      </c>
      <c r="T55" s="75">
        <f>IF(Q55&gt;0, (S55/Q55)*100, 0)</f>
        <v/>
      </c>
      <c r="U55" s="25" t="n">
        <v>123</v>
      </c>
      <c r="V55" s="25" t="n">
        <v>113</v>
      </c>
      <c r="W55" s="25">
        <f>MAX(0, U55-V55)</f>
        <v/>
      </c>
      <c r="X55" s="75">
        <f>IF(U55&gt;0, (W55/U55)*100, 0)</f>
        <v/>
      </c>
      <c r="Y55" s="25">
        <f>E55+I55+M55+Q55+U55</f>
        <v/>
      </c>
      <c r="Z55" s="25">
        <f>F55+J55+N55+R55+V55</f>
        <v/>
      </c>
      <c r="AA55" s="25">
        <f>G55+K55+O55+S55+W55</f>
        <v/>
      </c>
      <c r="AB55" s="26">
        <f>IF(Y55&gt;0, (AA55/Y55)*100, 0)</f>
        <v/>
      </c>
    </row>
    <row r="56" ht="20" customHeight="1">
      <c r="A56" s="21" t="n">
        <v>51</v>
      </c>
      <c r="B56" s="32" t="inlineStr">
        <is>
          <t>FKIP</t>
        </is>
      </c>
      <c r="C56" s="32" t="inlineStr">
        <is>
          <t>PENDIDIKAN SENI DRAMA TARI DAN MUSIK</t>
        </is>
      </c>
      <c r="D56" s="72" t="inlineStr">
        <is>
          <t>S1</t>
        </is>
      </c>
      <c r="E56" s="22" t="n">
        <v>120</v>
      </c>
      <c r="F56" s="22" t="n">
        <v>111</v>
      </c>
      <c r="G56" s="22">
        <f>MAX(0, E56-F56)</f>
        <v/>
      </c>
      <c r="H56" s="73">
        <f>IF(E56&gt;0, (G56/E56)*100, 0)</f>
        <v/>
      </c>
      <c r="I56" s="22" t="n">
        <v>119</v>
      </c>
      <c r="J56" s="22" t="n">
        <v>103</v>
      </c>
      <c r="K56" s="22">
        <f>MAX(0, I56-J56)</f>
        <v/>
      </c>
      <c r="L56" s="73">
        <f>IF(I56&gt;0, (K56/I56)*100, 0)</f>
        <v/>
      </c>
      <c r="M56" s="22" t="n">
        <v>131</v>
      </c>
      <c r="N56" s="22" t="n">
        <v>125</v>
      </c>
      <c r="O56" s="22">
        <f>MAX(0, M56-N56)</f>
        <v/>
      </c>
      <c r="P56" s="73">
        <f>IF(M56&gt;0, (O56/M56)*100, 0)</f>
        <v/>
      </c>
      <c r="Q56" s="22" t="n">
        <v>107</v>
      </c>
      <c r="R56" s="22" t="n">
        <v>94</v>
      </c>
      <c r="S56" s="22">
        <f>MAX(0, Q56-R56)</f>
        <v/>
      </c>
      <c r="T56" s="73">
        <f>IF(Q56&gt;0, (S56/Q56)*100, 0)</f>
        <v/>
      </c>
      <c r="U56" s="22" t="n">
        <v>127</v>
      </c>
      <c r="V56" s="22" t="n">
        <v>102</v>
      </c>
      <c r="W56" s="22">
        <f>MAX(0, U56-V56)</f>
        <v/>
      </c>
      <c r="X56" s="73">
        <f>IF(U56&gt;0, (W56/U56)*100, 0)</f>
        <v/>
      </c>
      <c r="Y56" s="22">
        <f>E56+I56+M56+Q56+U56</f>
        <v/>
      </c>
      <c r="Z56" s="22">
        <f>F56+J56+N56+R56+V56</f>
        <v/>
      </c>
      <c r="AA56" s="22">
        <f>G56+K56+O56+S56+W56</f>
        <v/>
      </c>
      <c r="AB56" s="23">
        <f>IF(Y56&gt;0, (AA56/Y56)*100, 0)</f>
        <v/>
      </c>
    </row>
    <row r="57" ht="20" customHeight="1">
      <c r="A57" s="24" t="n">
        <v>52</v>
      </c>
      <c r="B57" s="33" t="inlineStr">
        <is>
          <t>FKIP</t>
        </is>
      </c>
      <c r="C57" s="33" t="inlineStr">
        <is>
          <t>PENDIDIKAN KESEJAHTERAAN KELUARGA</t>
        </is>
      </c>
      <c r="D57" s="74" t="inlineStr">
        <is>
          <t>S1</t>
        </is>
      </c>
      <c r="E57" s="25" t="n">
        <v>173</v>
      </c>
      <c r="F57" s="25" t="n">
        <v>149</v>
      </c>
      <c r="G57" s="25">
        <f>MAX(0, E57-F57)</f>
        <v/>
      </c>
      <c r="H57" s="75">
        <f>IF(E57&gt;0, (G57/E57)*100, 0)</f>
        <v/>
      </c>
      <c r="I57" s="25" t="n">
        <v>164</v>
      </c>
      <c r="J57" s="25" t="n">
        <v>141</v>
      </c>
      <c r="K57" s="25">
        <f>MAX(0, I57-J57)</f>
        <v/>
      </c>
      <c r="L57" s="75">
        <f>IF(I57&gt;0, (K57/I57)*100, 0)</f>
        <v/>
      </c>
      <c r="M57" s="25" t="n">
        <v>170</v>
      </c>
      <c r="N57" s="25" t="n">
        <v>139</v>
      </c>
      <c r="O57" s="25">
        <f>MAX(0, M57-N57)</f>
        <v/>
      </c>
      <c r="P57" s="75">
        <f>IF(M57&gt;0, (O57/M57)*100, 0)</f>
        <v/>
      </c>
      <c r="Q57" s="25" t="n">
        <v>112</v>
      </c>
      <c r="R57" s="25" t="n">
        <v>100</v>
      </c>
      <c r="S57" s="25">
        <f>MAX(0, Q57-R57)</f>
        <v/>
      </c>
      <c r="T57" s="75">
        <f>IF(Q57&gt;0, (S57/Q57)*100, 0)</f>
        <v/>
      </c>
      <c r="U57" s="25" t="n">
        <v>106</v>
      </c>
      <c r="V57" s="25" t="n">
        <v>91</v>
      </c>
      <c r="W57" s="25">
        <f>MAX(0, U57-V57)</f>
        <v/>
      </c>
      <c r="X57" s="75">
        <f>IF(U57&gt;0, (W57/U57)*100, 0)</f>
        <v/>
      </c>
      <c r="Y57" s="25">
        <f>E57+I57+M57+Q57+U57</f>
        <v/>
      </c>
      <c r="Z57" s="25">
        <f>F57+J57+N57+R57+V57</f>
        <v/>
      </c>
      <c r="AA57" s="25">
        <f>G57+K57+O57+S57+W57</f>
        <v/>
      </c>
      <c r="AB57" s="26">
        <f>IF(Y57&gt;0, (AA57/Y57)*100, 0)</f>
        <v/>
      </c>
    </row>
    <row r="58" ht="20" customHeight="1">
      <c r="A58" s="21" t="n">
        <v>53</v>
      </c>
      <c r="B58" s="32" t="inlineStr">
        <is>
          <t>FKIP</t>
        </is>
      </c>
      <c r="C58" s="32" t="inlineStr">
        <is>
          <t>PENDIDIKAN JASMANI KESEHATAN DAN REKREASI</t>
        </is>
      </c>
      <c r="D58" s="72" t="inlineStr">
        <is>
          <t>S1</t>
        </is>
      </c>
      <c r="E58" s="22" t="n">
        <v>233</v>
      </c>
      <c r="F58" s="22" t="n">
        <v>198</v>
      </c>
      <c r="G58" s="22">
        <f>MAX(0, E58-F58)</f>
        <v/>
      </c>
      <c r="H58" s="73">
        <f>IF(E58&gt;0, (G58/E58)*100, 0)</f>
        <v/>
      </c>
      <c r="I58" s="22" t="n">
        <v>230</v>
      </c>
      <c r="J58" s="22" t="n">
        <v>186</v>
      </c>
      <c r="K58" s="22">
        <f>MAX(0, I58-J58)</f>
        <v/>
      </c>
      <c r="L58" s="73">
        <f>IF(I58&gt;0, (K58/I58)*100, 0)</f>
        <v/>
      </c>
      <c r="M58" s="22" t="n">
        <v>199</v>
      </c>
      <c r="N58" s="22" t="n">
        <v>159</v>
      </c>
      <c r="O58" s="22">
        <f>MAX(0, M58-N58)</f>
        <v/>
      </c>
      <c r="P58" s="73">
        <f>IF(M58&gt;0, (O58/M58)*100, 0)</f>
        <v/>
      </c>
      <c r="Q58" s="22" t="n">
        <v>118</v>
      </c>
      <c r="R58" s="22" t="n">
        <v>101</v>
      </c>
      <c r="S58" s="22">
        <f>MAX(0, Q58-R58)</f>
        <v/>
      </c>
      <c r="T58" s="73">
        <f>IF(Q58&gt;0, (S58/Q58)*100, 0)</f>
        <v/>
      </c>
      <c r="U58" s="22" t="n">
        <v>128</v>
      </c>
      <c r="V58" s="22" t="n">
        <v>103</v>
      </c>
      <c r="W58" s="22">
        <f>MAX(0, U58-V58)</f>
        <v/>
      </c>
      <c r="X58" s="73">
        <f>IF(U58&gt;0, (W58/U58)*100, 0)</f>
        <v/>
      </c>
      <c r="Y58" s="22">
        <f>E58+I58+M58+Q58+U58</f>
        <v/>
      </c>
      <c r="Z58" s="22">
        <f>F58+J58+N58+R58+V58</f>
        <v/>
      </c>
      <c r="AA58" s="22">
        <f>G58+K58+O58+S58+W58</f>
        <v/>
      </c>
      <c r="AB58" s="23">
        <f>IF(Y58&gt;0, (AA58/Y58)*100, 0)</f>
        <v/>
      </c>
    </row>
    <row r="59" ht="20" customHeight="1">
      <c r="A59" s="24" t="n">
        <v>54</v>
      </c>
      <c r="B59" s="33" t="inlineStr">
        <is>
          <t>FKIP</t>
        </is>
      </c>
      <c r="C59" s="33" t="inlineStr">
        <is>
          <t>BIMBINGAN KONSELING</t>
        </is>
      </c>
      <c r="D59" s="74" t="inlineStr">
        <is>
          <t>S1</t>
        </is>
      </c>
      <c r="E59" s="25" t="n">
        <v>172</v>
      </c>
      <c r="F59" s="25" t="n">
        <v>145</v>
      </c>
      <c r="G59" s="25">
        <f>MAX(0, E59-F59)</f>
        <v/>
      </c>
      <c r="H59" s="75">
        <f>IF(E59&gt;0, (G59/E59)*100, 0)</f>
        <v/>
      </c>
      <c r="I59" s="25" t="n">
        <v>168</v>
      </c>
      <c r="J59" s="25" t="n">
        <v>145</v>
      </c>
      <c r="K59" s="25">
        <f>MAX(0, I59-J59)</f>
        <v/>
      </c>
      <c r="L59" s="75">
        <f>IF(I59&gt;0, (K59/I59)*100, 0)</f>
        <v/>
      </c>
      <c r="M59" s="25" t="n">
        <v>127</v>
      </c>
      <c r="N59" s="25" t="n">
        <v>115</v>
      </c>
      <c r="O59" s="25">
        <f>MAX(0, M59-N59)</f>
        <v/>
      </c>
      <c r="P59" s="75">
        <f>IF(M59&gt;0, (O59/M59)*100, 0)</f>
        <v/>
      </c>
      <c r="Q59" s="25" t="n">
        <v>118</v>
      </c>
      <c r="R59" s="25" t="n">
        <v>101</v>
      </c>
      <c r="S59" s="25">
        <f>MAX(0, Q59-R59)</f>
        <v/>
      </c>
      <c r="T59" s="75">
        <f>IF(Q59&gt;0, (S59/Q59)*100, 0)</f>
        <v/>
      </c>
      <c r="U59" s="25" t="n">
        <v>106</v>
      </c>
      <c r="V59" s="25" t="n">
        <v>94</v>
      </c>
      <c r="W59" s="25">
        <f>MAX(0, U59-V59)</f>
        <v/>
      </c>
      <c r="X59" s="75">
        <f>IF(U59&gt;0, (W59/U59)*100, 0)</f>
        <v/>
      </c>
      <c r="Y59" s="25">
        <f>E59+I59+M59+Q59+U59</f>
        <v/>
      </c>
      <c r="Z59" s="25">
        <f>F59+J59+N59+R59+V59</f>
        <v/>
      </c>
      <c r="AA59" s="25">
        <f>G59+K59+O59+S59+W59</f>
        <v/>
      </c>
      <c r="AB59" s="26">
        <f>IF(Y59&gt;0, (AA59/Y59)*100, 0)</f>
        <v/>
      </c>
    </row>
    <row r="60" ht="20" customHeight="1">
      <c r="A60" s="21" t="n">
        <v>55</v>
      </c>
      <c r="B60" s="32" t="inlineStr">
        <is>
          <t>FKIP</t>
        </is>
      </c>
      <c r="C60" s="32" t="inlineStr">
        <is>
          <t>PENDIDIKAN GURU SEKOLAH DASAR</t>
        </is>
      </c>
      <c r="D60" s="72" t="inlineStr">
        <is>
          <t>S1</t>
        </is>
      </c>
      <c r="E60" s="22" t="n">
        <v>250</v>
      </c>
      <c r="F60" s="22" t="n">
        <v>217</v>
      </c>
      <c r="G60" s="22">
        <f>MAX(0, E60-F60)</f>
        <v/>
      </c>
      <c r="H60" s="73">
        <f>IF(E60&gt;0, (G60/E60)*100, 0)</f>
        <v/>
      </c>
      <c r="I60" s="22" t="n">
        <v>256</v>
      </c>
      <c r="J60" s="22" t="n">
        <v>204</v>
      </c>
      <c r="K60" s="22">
        <f>MAX(0, I60-J60)</f>
        <v/>
      </c>
      <c r="L60" s="73">
        <f>IF(I60&gt;0, (K60/I60)*100, 0)</f>
        <v/>
      </c>
      <c r="M60" s="22" t="n">
        <v>225</v>
      </c>
      <c r="N60" s="22" t="n">
        <v>188</v>
      </c>
      <c r="O60" s="22">
        <f>MAX(0, M60-N60)</f>
        <v/>
      </c>
      <c r="P60" s="73">
        <f>IF(M60&gt;0, (O60/M60)*100, 0)</f>
        <v/>
      </c>
      <c r="Q60" s="22" t="n">
        <v>148</v>
      </c>
      <c r="R60" s="22" t="n">
        <v>108</v>
      </c>
      <c r="S60" s="22">
        <f>MAX(0, Q60-R60)</f>
        <v/>
      </c>
      <c r="T60" s="73">
        <f>IF(Q60&gt;0, (S60/Q60)*100, 0)</f>
        <v/>
      </c>
      <c r="U60" s="22" t="n">
        <v>130</v>
      </c>
      <c r="V60" s="22" t="n">
        <v>105</v>
      </c>
      <c r="W60" s="22">
        <f>MAX(0, U60-V60)</f>
        <v/>
      </c>
      <c r="X60" s="73">
        <f>IF(U60&gt;0, (W60/U60)*100, 0)</f>
        <v/>
      </c>
      <c r="Y60" s="22">
        <f>E60+I60+M60+Q60+U60</f>
        <v/>
      </c>
      <c r="Z60" s="22">
        <f>F60+J60+N60+R60+V60</f>
        <v/>
      </c>
      <c r="AA60" s="22">
        <f>G60+K60+O60+S60+W60</f>
        <v/>
      </c>
      <c r="AB60" s="23">
        <f>IF(Y60&gt;0, (AA60/Y60)*100, 0)</f>
        <v/>
      </c>
    </row>
    <row r="61" ht="20" customHeight="1">
      <c r="A61" s="24" t="n">
        <v>56</v>
      </c>
      <c r="B61" s="33" t="inlineStr">
        <is>
          <t>Kedokteran</t>
        </is>
      </c>
      <c r="C61" s="33" t="inlineStr">
        <is>
          <t>PSIKOLOGI</t>
        </is>
      </c>
      <c r="D61" s="74" t="inlineStr">
        <is>
          <t>S1</t>
        </is>
      </c>
      <c r="E61" s="25" t="n">
        <v>100</v>
      </c>
      <c r="F61" s="25" t="n">
        <v>76</v>
      </c>
      <c r="G61" s="25">
        <f>MAX(0, E61-F61)</f>
        <v/>
      </c>
      <c r="H61" s="75">
        <f>IF(E61&gt;0, (G61/E61)*100, 0)</f>
        <v/>
      </c>
      <c r="I61" s="25" t="n">
        <v>98</v>
      </c>
      <c r="J61" s="25" t="n">
        <v>74</v>
      </c>
      <c r="K61" s="25">
        <f>MAX(0, I61-J61)</f>
        <v/>
      </c>
      <c r="L61" s="75">
        <f>IF(I61&gt;0, (K61/I61)*100, 0)</f>
        <v/>
      </c>
      <c r="M61" s="25" t="n">
        <v>97</v>
      </c>
      <c r="N61" s="25" t="n">
        <v>76</v>
      </c>
      <c r="O61" s="25">
        <f>MAX(0, M61-N61)</f>
        <v/>
      </c>
      <c r="P61" s="75">
        <f>IF(M61&gt;0, (O61/M61)*100, 0)</f>
        <v/>
      </c>
      <c r="Q61" s="25" t="n">
        <v>83</v>
      </c>
      <c r="R61" s="25" t="n">
        <v>65</v>
      </c>
      <c r="S61" s="25">
        <f>MAX(0, Q61-R61)</f>
        <v/>
      </c>
      <c r="T61" s="75">
        <f>IF(Q61&gt;0, (S61/Q61)*100, 0)</f>
        <v/>
      </c>
      <c r="U61" s="25" t="n">
        <v>88</v>
      </c>
      <c r="V61" s="25" t="n">
        <v>76</v>
      </c>
      <c r="W61" s="25">
        <f>MAX(0, U61-V61)</f>
        <v/>
      </c>
      <c r="X61" s="75">
        <f>IF(U61&gt;0, (W61/U61)*100, 0)</f>
        <v/>
      </c>
      <c r="Y61" s="25">
        <f>E61+I61+M61+Q61+U61</f>
        <v/>
      </c>
      <c r="Z61" s="25">
        <f>F61+J61+N61+R61+V61</f>
        <v/>
      </c>
      <c r="AA61" s="25">
        <f>G61+K61+O61+S61+W61</f>
        <v/>
      </c>
      <c r="AB61" s="26">
        <f>IF(Y61&gt;0, (AA61/Y61)*100, 0)</f>
        <v/>
      </c>
    </row>
    <row r="62" ht="20" customHeight="1">
      <c r="A62" s="21" t="n">
        <v>57</v>
      </c>
      <c r="B62" s="32" t="inlineStr">
        <is>
          <t>FISIP</t>
        </is>
      </c>
      <c r="C62" s="32" t="inlineStr">
        <is>
          <t>ILMU POLITIK</t>
        </is>
      </c>
      <c r="D62" s="72" t="inlineStr">
        <is>
          <t>S1</t>
        </is>
      </c>
      <c r="E62" s="22" t="n">
        <v>184</v>
      </c>
      <c r="F62" s="22" t="n">
        <v>146</v>
      </c>
      <c r="G62" s="22">
        <f>MAX(0, E62-F62)</f>
        <v/>
      </c>
      <c r="H62" s="73">
        <f>IF(E62&gt;0, (G62/E62)*100, 0)</f>
        <v/>
      </c>
      <c r="I62" s="22" t="n">
        <v>159</v>
      </c>
      <c r="J62" s="22" t="n">
        <v>133</v>
      </c>
      <c r="K62" s="22">
        <f>MAX(0, I62-J62)</f>
        <v/>
      </c>
      <c r="L62" s="73">
        <f>IF(I62&gt;0, (K62/I62)*100, 0)</f>
        <v/>
      </c>
      <c r="M62" s="22" t="n">
        <v>171</v>
      </c>
      <c r="N62" s="22" t="n">
        <v>133</v>
      </c>
      <c r="O62" s="22">
        <f>MAX(0, M62-N62)</f>
        <v/>
      </c>
      <c r="P62" s="73">
        <f>IF(M62&gt;0, (O62/M62)*100, 0)</f>
        <v/>
      </c>
      <c r="Q62" s="22" t="n">
        <v>157</v>
      </c>
      <c r="R62" s="22" t="n">
        <v>120</v>
      </c>
      <c r="S62" s="22">
        <f>MAX(0, Q62-R62)</f>
        <v/>
      </c>
      <c r="T62" s="73">
        <f>IF(Q62&gt;0, (S62/Q62)*100, 0)</f>
        <v/>
      </c>
      <c r="U62" s="22" t="n">
        <v>154</v>
      </c>
      <c r="V62" s="22" t="n">
        <v>124</v>
      </c>
      <c r="W62" s="22">
        <f>MAX(0, U62-V62)</f>
        <v/>
      </c>
      <c r="X62" s="73">
        <f>IF(U62&gt;0, (W62/U62)*100, 0)</f>
        <v/>
      </c>
      <c r="Y62" s="22">
        <f>E62+I62+M62+Q62+U62</f>
        <v/>
      </c>
      <c r="Z62" s="22">
        <f>F62+J62+N62+R62+V62</f>
        <v/>
      </c>
      <c r="AA62" s="22">
        <f>G62+K62+O62+S62+W62</f>
        <v/>
      </c>
      <c r="AB62" s="23">
        <f>IF(Y62&gt;0, (AA62/Y62)*100, 0)</f>
        <v/>
      </c>
    </row>
    <row r="63" ht="20" customHeight="1">
      <c r="A63" s="24" t="n">
        <v>58</v>
      </c>
      <c r="B63" s="33" t="inlineStr">
        <is>
          <t>FISIP</t>
        </is>
      </c>
      <c r="C63" s="33" t="inlineStr">
        <is>
          <t>SOSIOLOGI</t>
        </is>
      </c>
      <c r="D63" s="74" t="inlineStr">
        <is>
          <t>S1</t>
        </is>
      </c>
      <c r="E63" s="25" t="n">
        <v>108</v>
      </c>
      <c r="F63" s="25" t="n">
        <v>92</v>
      </c>
      <c r="G63" s="25">
        <f>MAX(0, E63-F63)</f>
        <v/>
      </c>
      <c r="H63" s="75">
        <f>IF(E63&gt;0, (G63/E63)*100, 0)</f>
        <v/>
      </c>
      <c r="I63" s="25" t="n">
        <v>103</v>
      </c>
      <c r="J63" s="25" t="n">
        <v>84</v>
      </c>
      <c r="K63" s="25">
        <f>MAX(0, I63-J63)</f>
        <v/>
      </c>
      <c r="L63" s="75">
        <f>IF(I63&gt;0, (K63/I63)*100, 0)</f>
        <v/>
      </c>
      <c r="M63" s="25" t="n">
        <v>123</v>
      </c>
      <c r="N63" s="25" t="n">
        <v>102</v>
      </c>
      <c r="O63" s="25">
        <f>MAX(0, M63-N63)</f>
        <v/>
      </c>
      <c r="P63" s="75">
        <f>IF(M63&gt;0, (O63/M63)*100, 0)</f>
        <v/>
      </c>
      <c r="Q63" s="25" t="n">
        <v>119</v>
      </c>
      <c r="R63" s="25" t="n">
        <v>101</v>
      </c>
      <c r="S63" s="25">
        <f>MAX(0, Q63-R63)</f>
        <v/>
      </c>
      <c r="T63" s="75">
        <f>IF(Q63&gt;0, (S63/Q63)*100, 0)</f>
        <v/>
      </c>
      <c r="U63" s="25" t="n">
        <v>135</v>
      </c>
      <c r="V63" s="25" t="n">
        <v>108</v>
      </c>
      <c r="W63" s="25">
        <f>MAX(0, U63-V63)</f>
        <v/>
      </c>
      <c r="X63" s="75">
        <f>IF(U63&gt;0, (W63/U63)*100, 0)</f>
        <v/>
      </c>
      <c r="Y63" s="25">
        <f>E63+I63+M63+Q63+U63</f>
        <v/>
      </c>
      <c r="Z63" s="25">
        <f>F63+J63+N63+R63+V63</f>
        <v/>
      </c>
      <c r="AA63" s="25">
        <f>G63+K63+O63+S63+W63</f>
        <v/>
      </c>
      <c r="AB63" s="26">
        <f>IF(Y63&gt;0, (AA63/Y63)*100, 0)</f>
        <v/>
      </c>
    </row>
    <row r="64" ht="20" customHeight="1">
      <c r="A64" s="21" t="n">
        <v>59</v>
      </c>
      <c r="B64" s="32" t="inlineStr">
        <is>
          <t>FISIP</t>
        </is>
      </c>
      <c r="C64" s="32" t="inlineStr">
        <is>
          <t>ILMU KOMUNIKASI</t>
        </is>
      </c>
      <c r="D64" s="72" t="inlineStr">
        <is>
          <t>S1</t>
        </is>
      </c>
      <c r="E64" s="22" t="n">
        <v>206</v>
      </c>
      <c r="F64" s="22" t="n">
        <v>180</v>
      </c>
      <c r="G64" s="22">
        <f>MAX(0, E64-F64)</f>
        <v/>
      </c>
      <c r="H64" s="73">
        <f>IF(E64&gt;0, (G64/E64)*100, 0)</f>
        <v/>
      </c>
      <c r="I64" s="22" t="n">
        <v>209</v>
      </c>
      <c r="J64" s="22" t="n">
        <v>181</v>
      </c>
      <c r="K64" s="22">
        <f>MAX(0, I64-J64)</f>
        <v/>
      </c>
      <c r="L64" s="73">
        <f>IF(I64&gt;0, (K64/I64)*100, 0)</f>
        <v/>
      </c>
      <c r="M64" s="22" t="n">
        <v>204</v>
      </c>
      <c r="N64" s="22" t="n">
        <v>177</v>
      </c>
      <c r="O64" s="22">
        <f>MAX(0, M64-N64)</f>
        <v/>
      </c>
      <c r="P64" s="73">
        <f>IF(M64&gt;0, (O64/M64)*100, 0)</f>
        <v/>
      </c>
      <c r="Q64" s="22" t="n">
        <v>157</v>
      </c>
      <c r="R64" s="22" t="n">
        <v>136</v>
      </c>
      <c r="S64" s="22">
        <f>MAX(0, Q64-R64)</f>
        <v/>
      </c>
      <c r="T64" s="73">
        <f>IF(Q64&gt;0, (S64/Q64)*100, 0)</f>
        <v/>
      </c>
      <c r="U64" s="22" t="n">
        <v>152</v>
      </c>
      <c r="V64" s="22" t="n">
        <v>140</v>
      </c>
      <c r="W64" s="22">
        <f>MAX(0, U64-V64)</f>
        <v/>
      </c>
      <c r="X64" s="73">
        <f>IF(U64&gt;0, (W64/U64)*100, 0)</f>
        <v/>
      </c>
      <c r="Y64" s="22">
        <f>E64+I64+M64+Q64+U64</f>
        <v/>
      </c>
      <c r="Z64" s="22">
        <f>F64+J64+N64+R64+V64</f>
        <v/>
      </c>
      <c r="AA64" s="22">
        <f>G64+K64+O64+S64+W64</f>
        <v/>
      </c>
      <c r="AB64" s="23">
        <f>IF(Y64&gt;0, (AA64/Y64)*100, 0)</f>
        <v/>
      </c>
    </row>
    <row r="65" ht="20" customHeight="1">
      <c r="A65" s="24" t="n">
        <v>60</v>
      </c>
      <c r="B65" s="33" t="inlineStr">
        <is>
          <t>FKIP</t>
        </is>
      </c>
      <c r="C65" s="33" t="inlineStr">
        <is>
          <t>PENDIDIKAN GURU PAUD</t>
        </is>
      </c>
      <c r="D65" s="74" t="inlineStr">
        <is>
          <t>S1</t>
        </is>
      </c>
      <c r="E65" s="25" t="n">
        <v>132</v>
      </c>
      <c r="F65" s="25" t="n">
        <v>103</v>
      </c>
      <c r="G65" s="25">
        <f>MAX(0, E65-F65)</f>
        <v/>
      </c>
      <c r="H65" s="75">
        <f>IF(E65&gt;0, (G65/E65)*100, 0)</f>
        <v/>
      </c>
      <c r="I65" s="25" t="n">
        <v>120</v>
      </c>
      <c r="J65" s="25" t="n">
        <v>99</v>
      </c>
      <c r="K65" s="25">
        <f>MAX(0, I65-J65)</f>
        <v/>
      </c>
      <c r="L65" s="75">
        <f>IF(I65&gt;0, (K65/I65)*100, 0)</f>
        <v/>
      </c>
      <c r="M65" s="25" t="n">
        <v>120</v>
      </c>
      <c r="N65" s="25" t="n">
        <v>97</v>
      </c>
      <c r="O65" s="25">
        <f>MAX(0, M65-N65)</f>
        <v/>
      </c>
      <c r="P65" s="75">
        <f>IF(M65&gt;0, (O65/M65)*100, 0)</f>
        <v/>
      </c>
      <c r="Q65" s="25" t="n">
        <v>101</v>
      </c>
      <c r="R65" s="25" t="n">
        <v>78</v>
      </c>
      <c r="S65" s="25">
        <f>MAX(0, Q65-R65)</f>
        <v/>
      </c>
      <c r="T65" s="75">
        <f>IF(Q65&gt;0, (S65/Q65)*100, 0)</f>
        <v/>
      </c>
      <c r="U65" s="25" t="n">
        <v>102</v>
      </c>
      <c r="V65" s="25" t="n">
        <v>85</v>
      </c>
      <c r="W65" s="25">
        <f>MAX(0, U65-V65)</f>
        <v/>
      </c>
      <c r="X65" s="75">
        <f>IF(U65&gt;0, (W65/U65)*100, 0)</f>
        <v/>
      </c>
      <c r="Y65" s="25">
        <f>E65+I65+M65+Q65+U65</f>
        <v/>
      </c>
      <c r="Z65" s="25">
        <f>F65+J65+N65+R65+V65</f>
        <v/>
      </c>
      <c r="AA65" s="25">
        <f>G65+K65+O65+S65+W65</f>
        <v/>
      </c>
      <c r="AB65" s="26">
        <f>IF(Y65&gt;0, (AA65/Y65)*100, 0)</f>
        <v/>
      </c>
    </row>
    <row r="66" ht="20" customHeight="1">
      <c r="A66" s="21" t="n">
        <v>61</v>
      </c>
      <c r="B66" s="32" t="inlineStr">
        <is>
          <t>FISIP</t>
        </is>
      </c>
      <c r="C66" s="32" t="inlineStr">
        <is>
          <t>ILMU PEMERINTAHAN</t>
        </is>
      </c>
      <c r="D66" s="72" t="inlineStr">
        <is>
          <t>S1</t>
        </is>
      </c>
      <c r="E66" s="22" t="n">
        <v>212</v>
      </c>
      <c r="F66" s="22" t="n">
        <v>181</v>
      </c>
      <c r="G66" s="22">
        <f>MAX(0, E66-F66)</f>
        <v/>
      </c>
      <c r="H66" s="73">
        <f>IF(E66&gt;0, (G66/E66)*100, 0)</f>
        <v/>
      </c>
      <c r="I66" s="22" t="n">
        <v>212</v>
      </c>
      <c r="J66" s="22" t="n">
        <v>174</v>
      </c>
      <c r="K66" s="22">
        <f>MAX(0, I66-J66)</f>
        <v/>
      </c>
      <c r="L66" s="73">
        <f>IF(I66&gt;0, (K66/I66)*100, 0)</f>
        <v/>
      </c>
      <c r="M66" s="22" t="n">
        <v>200</v>
      </c>
      <c r="N66" s="22" t="n">
        <v>172</v>
      </c>
      <c r="O66" s="22">
        <f>MAX(0, M66-N66)</f>
        <v/>
      </c>
      <c r="P66" s="73">
        <f>IF(M66&gt;0, (O66/M66)*100, 0)</f>
        <v/>
      </c>
      <c r="Q66" s="22" t="n">
        <v>161</v>
      </c>
      <c r="R66" s="22" t="n">
        <v>136</v>
      </c>
      <c r="S66" s="22">
        <f>MAX(0, Q66-R66)</f>
        <v/>
      </c>
      <c r="T66" s="73">
        <f>IF(Q66&gt;0, (S66/Q66)*100, 0)</f>
        <v/>
      </c>
      <c r="U66" s="22" t="n">
        <v>150</v>
      </c>
      <c r="V66" s="22" t="n">
        <v>132</v>
      </c>
      <c r="W66" s="22">
        <f>MAX(0, U66-V66)</f>
        <v/>
      </c>
      <c r="X66" s="73">
        <f>IF(U66&gt;0, (W66/U66)*100, 0)</f>
        <v/>
      </c>
      <c r="Y66" s="22">
        <f>E66+I66+M66+Q66+U66</f>
        <v/>
      </c>
      <c r="Z66" s="22">
        <f>F66+J66+N66+R66+V66</f>
        <v/>
      </c>
      <c r="AA66" s="22">
        <f>G66+K66+O66+S66+W66</f>
        <v/>
      </c>
      <c r="AB66" s="23">
        <f>IF(Y66&gt;0, (AA66/Y66)*100, 0)</f>
        <v/>
      </c>
    </row>
    <row r="67" ht="20" customHeight="1">
      <c r="A67" s="24" t="n">
        <v>62</v>
      </c>
      <c r="B67" s="33" t="inlineStr">
        <is>
          <t>Ekonomi dan Bisnis</t>
        </is>
      </c>
      <c r="C67" s="33" t="inlineStr">
        <is>
          <t>EKONOMI ISLAM</t>
        </is>
      </c>
      <c r="D67" s="74" t="inlineStr">
        <is>
          <t>S1</t>
        </is>
      </c>
      <c r="E67" s="25" t="n">
        <v>138</v>
      </c>
      <c r="F67" s="25" t="n">
        <v>122</v>
      </c>
      <c r="G67" s="25">
        <f>MAX(0, E67-F67)</f>
        <v/>
      </c>
      <c r="H67" s="75">
        <f>IF(E67&gt;0, (G67/E67)*100, 0)</f>
        <v/>
      </c>
      <c r="I67" s="25" t="n">
        <v>146</v>
      </c>
      <c r="J67" s="25" t="n">
        <v>123</v>
      </c>
      <c r="K67" s="25">
        <f>MAX(0, I67-J67)</f>
        <v/>
      </c>
      <c r="L67" s="75">
        <f>IF(I67&gt;0, (K67/I67)*100, 0)</f>
        <v/>
      </c>
      <c r="M67" s="25" t="n">
        <v>157</v>
      </c>
      <c r="N67" s="25" t="n">
        <v>130</v>
      </c>
      <c r="O67" s="25">
        <f>MAX(0, M67-N67)</f>
        <v/>
      </c>
      <c r="P67" s="75">
        <f>IF(M67&gt;0, (O67/M67)*100, 0)</f>
        <v/>
      </c>
      <c r="Q67" s="25" t="n">
        <v>154</v>
      </c>
      <c r="R67" s="25" t="n">
        <v>130</v>
      </c>
      <c r="S67" s="25">
        <f>MAX(0, Q67-R67)</f>
        <v/>
      </c>
      <c r="T67" s="75">
        <f>IF(Q67&gt;0, (S67/Q67)*100, 0)</f>
        <v/>
      </c>
      <c r="U67" s="25" t="n">
        <v>197</v>
      </c>
      <c r="V67" s="25" t="n">
        <v>165</v>
      </c>
      <c r="W67" s="25">
        <f>MAX(0, U67-V67)</f>
        <v/>
      </c>
      <c r="X67" s="75">
        <f>IF(U67&gt;0, (W67/U67)*100, 0)</f>
        <v/>
      </c>
      <c r="Y67" s="25">
        <f>E67+I67+M67+Q67+U67</f>
        <v/>
      </c>
      <c r="Z67" s="25">
        <f>F67+J67+N67+R67+V67</f>
        <v/>
      </c>
      <c r="AA67" s="25">
        <f>G67+K67+O67+S67+W67</f>
        <v/>
      </c>
      <c r="AB67" s="26">
        <f>IF(Y67&gt;0, (AA67/Y67)*100, 0)</f>
        <v/>
      </c>
    </row>
    <row r="68" ht="20" customHeight="1">
      <c r="A68" s="21" t="n">
        <v>63</v>
      </c>
      <c r="B68" s="32" t="inlineStr">
        <is>
          <t>PSDKU Gayo Lues</t>
        </is>
      </c>
      <c r="C68" s="32" t="inlineStr">
        <is>
          <t>MANAJEMEN (PDD GAYO LUES)</t>
        </is>
      </c>
      <c r="D68" s="72" t="inlineStr">
        <is>
          <t>S1</t>
        </is>
      </c>
      <c r="E68" s="22" t="n">
        <v>22</v>
      </c>
      <c r="F68" s="22" t="n">
        <v>13</v>
      </c>
      <c r="G68" s="22">
        <f>MAX(0, E68-F68)</f>
        <v/>
      </c>
      <c r="H68" s="73">
        <f>IF(E68&gt;0, (G68/E68)*100, 0)</f>
        <v/>
      </c>
      <c r="I68" s="22" t="n">
        <v>25</v>
      </c>
      <c r="J68" s="22" t="n">
        <v>14</v>
      </c>
      <c r="K68" s="22">
        <f>MAX(0, I68-J68)</f>
        <v/>
      </c>
      <c r="L68" s="73">
        <f>IF(I68&gt;0, (K68/I68)*100, 0)</f>
        <v/>
      </c>
      <c r="M68" s="22" t="n">
        <v>37</v>
      </c>
      <c r="N68" s="22" t="n">
        <v>24</v>
      </c>
      <c r="O68" s="22">
        <f>MAX(0, M68-N68)</f>
        <v/>
      </c>
      <c r="P68" s="73">
        <f>IF(M68&gt;0, (O68/M68)*100, 0)</f>
        <v/>
      </c>
      <c r="Q68" s="22" t="n">
        <v>38</v>
      </c>
      <c r="R68" s="22" t="n">
        <v>26</v>
      </c>
      <c r="S68" s="22">
        <f>MAX(0, Q68-R68)</f>
        <v/>
      </c>
      <c r="T68" s="73">
        <f>IF(Q68&gt;0, (S68/Q68)*100, 0)</f>
        <v/>
      </c>
      <c r="U68" s="22" t="n">
        <v>19</v>
      </c>
      <c r="V68" s="22" t="n">
        <v>14</v>
      </c>
      <c r="W68" s="22">
        <f>MAX(0, U68-V68)</f>
        <v/>
      </c>
      <c r="X68" s="73">
        <f>IF(U68&gt;0, (W68/U68)*100, 0)</f>
        <v/>
      </c>
      <c r="Y68" s="22">
        <f>E68+I68+M68+Q68+U68</f>
        <v/>
      </c>
      <c r="Z68" s="22">
        <f>F68+J68+N68+R68+V68</f>
        <v/>
      </c>
      <c r="AA68" s="22">
        <f>G68+K68+O68+S68+W68</f>
        <v/>
      </c>
      <c r="AB68" s="38">
        <f>IF(Y68&gt;0, (AA68/Y68)*100, 0)</f>
        <v/>
      </c>
    </row>
    <row r="69" ht="20" customHeight="1">
      <c r="A69" s="24" t="n">
        <v>64</v>
      </c>
      <c r="B69" s="33" t="inlineStr">
        <is>
          <t>Ekonomi dan Bisnis</t>
        </is>
      </c>
      <c r="C69" s="33" t="inlineStr">
        <is>
          <t>AKUNTANSI PERPAJAKAN</t>
        </is>
      </c>
      <c r="D69" s="74" t="inlineStr">
        <is>
          <t>D4</t>
        </is>
      </c>
      <c r="E69" s="25" t="n">
        <v>74</v>
      </c>
      <c r="F69" s="25" t="n">
        <v>59</v>
      </c>
      <c r="G69" s="25">
        <f>MAX(0, E69-F69)</f>
        <v/>
      </c>
      <c r="H69" s="75">
        <f>IF(E69&gt;0, (G69/E69)*100, 0)</f>
        <v/>
      </c>
      <c r="I69" s="25" t="n">
        <v>89</v>
      </c>
      <c r="J69" s="25" t="n">
        <v>50</v>
      </c>
      <c r="K69" s="25">
        <f>MAX(0, I69-J69)</f>
        <v/>
      </c>
      <c r="L69" s="75">
        <f>IF(I69&gt;0, (K69/I69)*100, 0)</f>
        <v/>
      </c>
      <c r="M69" s="25" t="n">
        <v>86</v>
      </c>
      <c r="N69" s="25" t="n">
        <v>71</v>
      </c>
      <c r="O69" s="25">
        <f>MAX(0, M69-N69)</f>
        <v/>
      </c>
      <c r="P69" s="75">
        <f>IF(M69&gt;0, (O69/M69)*100, 0)</f>
        <v/>
      </c>
      <c r="Q69" s="25" t="n">
        <v>32</v>
      </c>
      <c r="R69" s="25" t="n">
        <v>21</v>
      </c>
      <c r="S69" s="25">
        <f>MAX(0, Q69-R69)</f>
        <v/>
      </c>
      <c r="T69" s="75">
        <f>IF(Q69&gt;0, (S69/Q69)*100, 0)</f>
        <v/>
      </c>
      <c r="U69" s="25" t="n">
        <v>17</v>
      </c>
      <c r="V69" s="25" t="n">
        <v>13</v>
      </c>
      <c r="W69" s="25">
        <f>MAX(0, U69-V69)</f>
        <v/>
      </c>
      <c r="X69" s="75">
        <f>IF(U69&gt;0, (W69/U69)*100, 0)</f>
        <v/>
      </c>
      <c r="Y69" s="25">
        <f>E69+I69+M69+Q69+U69</f>
        <v/>
      </c>
      <c r="Z69" s="25">
        <f>F69+J69+N69+R69+V69</f>
        <v/>
      </c>
      <c r="AA69" s="25">
        <f>G69+K69+O69+S69+W69</f>
        <v/>
      </c>
      <c r="AB69" s="26">
        <f>IF(Y69&gt;0, (AA69/Y69)*100, 0)</f>
        <v/>
      </c>
    </row>
    <row r="70" ht="20" customHeight="1">
      <c r="A70" s="21" t="n">
        <v>65</v>
      </c>
      <c r="B70" s="32" t="inlineStr">
        <is>
          <t>Kedokteran Hewan</t>
        </is>
      </c>
      <c r="C70" s="32" t="inlineStr">
        <is>
          <t>KESEHATAN HEWAN</t>
        </is>
      </c>
      <c r="D70" s="72" t="inlineStr">
        <is>
          <t>D3</t>
        </is>
      </c>
      <c r="E70" s="22" t="n">
        <v>26</v>
      </c>
      <c r="F70" s="22" t="n">
        <v>15</v>
      </c>
      <c r="G70" s="22">
        <f>MAX(0, E70-F70)</f>
        <v/>
      </c>
      <c r="H70" s="73">
        <f>IF(E70&gt;0, (G70/E70)*100, 0)</f>
        <v/>
      </c>
      <c r="I70" s="22" t="n">
        <v>29</v>
      </c>
      <c r="J70" s="22" t="n">
        <v>13</v>
      </c>
      <c r="K70" s="22">
        <f>MAX(0, I70-J70)</f>
        <v/>
      </c>
      <c r="L70" s="73">
        <f>IF(I70&gt;0, (K70/I70)*100, 0)</f>
        <v/>
      </c>
      <c r="M70" s="22" t="n">
        <v>28</v>
      </c>
      <c r="N70" s="22" t="n">
        <v>8</v>
      </c>
      <c r="O70" s="22">
        <f>MAX(0, M70-N70)</f>
        <v/>
      </c>
      <c r="P70" s="73">
        <f>IF(M70&gt;0, (O70/M70)*100, 0)</f>
        <v/>
      </c>
      <c r="Q70" s="22" t="n">
        <v>74</v>
      </c>
      <c r="R70" s="22" t="n">
        <v>62</v>
      </c>
      <c r="S70" s="22">
        <f>MAX(0, Q70-R70)</f>
        <v/>
      </c>
      <c r="T70" s="73">
        <f>IF(Q70&gt;0, (S70/Q70)*100, 0)</f>
        <v/>
      </c>
      <c r="U70" s="22" t="n">
        <v>0</v>
      </c>
      <c r="V70" s="22" t="n">
        <v>0</v>
      </c>
      <c r="W70" s="22">
        <f>MAX(0, U70-V70)</f>
        <v/>
      </c>
      <c r="X70" s="73">
        <f>IF(U70&gt;0, (W70/U70)*100, 0)</f>
        <v/>
      </c>
      <c r="Y70" s="22">
        <f>E70+I70+M70+Q70+U70</f>
        <v/>
      </c>
      <c r="Z70" s="22">
        <f>F70+J70+N70+R70+V70</f>
        <v/>
      </c>
      <c r="AA70" s="22">
        <f>G70+K70+O70+S70+W70</f>
        <v/>
      </c>
      <c r="AB70" s="38">
        <f>IF(Y70&gt;0, (AA70/Y70)*100, 0)</f>
        <v/>
      </c>
    </row>
    <row r="71" ht="20" customHeight="1">
      <c r="A71" s="24" t="n">
        <v>66</v>
      </c>
      <c r="B71" s="33" t="inlineStr">
        <is>
          <t>Pertanian</t>
        </is>
      </c>
      <c r="C71" s="33" t="inlineStr">
        <is>
          <t>MANAJEMEN AGRIBISNIS</t>
        </is>
      </c>
      <c r="D71" s="74" t="inlineStr">
        <is>
          <t>D3</t>
        </is>
      </c>
      <c r="E71" s="25" t="n">
        <v>71</v>
      </c>
      <c r="F71" s="25" t="n">
        <v>27</v>
      </c>
      <c r="G71" s="25">
        <f>MAX(0, E71-F71)</f>
        <v/>
      </c>
      <c r="H71" s="75">
        <f>IF(E71&gt;0, (G71/E71)*100, 0)</f>
        <v/>
      </c>
      <c r="I71" s="25" t="n">
        <v>71</v>
      </c>
      <c r="J71" s="25" t="n">
        <v>32</v>
      </c>
      <c r="K71" s="25">
        <f>MAX(0, I71-J71)</f>
        <v/>
      </c>
      <c r="L71" s="75">
        <f>IF(I71&gt;0, (K71/I71)*100, 0)</f>
        <v/>
      </c>
      <c r="M71" s="25" t="n">
        <v>57</v>
      </c>
      <c r="N71" s="25" t="n">
        <v>26</v>
      </c>
      <c r="O71" s="25">
        <f>MAX(0, M71-N71)</f>
        <v/>
      </c>
      <c r="P71" s="75">
        <f>IF(M71&gt;0, (O71/M71)*100, 0)</f>
        <v/>
      </c>
      <c r="Q71" s="25" t="n">
        <v>28</v>
      </c>
      <c r="R71" s="25" t="n">
        <v>18</v>
      </c>
      <c r="S71" s="25">
        <f>MAX(0, Q71-R71)</f>
        <v/>
      </c>
      <c r="T71" s="75">
        <f>IF(Q71&gt;0, (S71/Q71)*100, 0)</f>
        <v/>
      </c>
      <c r="U71" s="25" t="n">
        <v>0</v>
      </c>
      <c r="V71" s="25" t="n">
        <v>0</v>
      </c>
      <c r="W71" s="25">
        <f>MAX(0, U71-V71)</f>
        <v/>
      </c>
      <c r="X71" s="75">
        <f>IF(U71&gt;0, (W71/U71)*100, 0)</f>
        <v/>
      </c>
      <c r="Y71" s="25">
        <f>E71+I71+M71+Q71+U71</f>
        <v/>
      </c>
      <c r="Z71" s="25">
        <f>F71+J71+N71+R71+V71</f>
        <v/>
      </c>
      <c r="AA71" s="25">
        <f>G71+K71+O71+S71+W71</f>
        <v/>
      </c>
      <c r="AB71" s="38">
        <f>IF(Y71&gt;0, (AA71/Y71)*100, 0)</f>
        <v/>
      </c>
    </row>
    <row r="72" ht="20" customHeight="1">
      <c r="A72" s="21" t="n">
        <v>67</v>
      </c>
      <c r="B72" s="32" t="inlineStr">
        <is>
          <t>Teknik</t>
        </is>
      </c>
      <c r="C72" s="32" t="inlineStr">
        <is>
          <t>TEKNIK LISTRIK</t>
        </is>
      </c>
      <c r="D72" s="72" t="inlineStr">
        <is>
          <t>D3</t>
        </is>
      </c>
      <c r="E72" s="22" t="n">
        <v>35</v>
      </c>
      <c r="F72" s="22" t="n">
        <v>22</v>
      </c>
      <c r="G72" s="22">
        <f>MAX(0, E72-F72)</f>
        <v/>
      </c>
      <c r="H72" s="73">
        <f>IF(E72&gt;0, (G72/E72)*100, 0)</f>
        <v/>
      </c>
      <c r="I72" s="22" t="n">
        <v>36</v>
      </c>
      <c r="J72" s="22" t="n">
        <v>20</v>
      </c>
      <c r="K72" s="22">
        <f>MAX(0, I72-J72)</f>
        <v/>
      </c>
      <c r="L72" s="73">
        <f>IF(I72&gt;0, (K72/I72)*100, 0)</f>
        <v/>
      </c>
      <c r="M72" s="22" t="n">
        <v>32</v>
      </c>
      <c r="N72" s="22" t="n">
        <v>22</v>
      </c>
      <c r="O72" s="22">
        <f>MAX(0, M72-N72)</f>
        <v/>
      </c>
      <c r="P72" s="73">
        <f>IF(M72&gt;0, (O72/M72)*100, 0)</f>
        <v/>
      </c>
      <c r="Q72" s="22" t="n">
        <v>15</v>
      </c>
      <c r="R72" s="22" t="n">
        <v>10</v>
      </c>
      <c r="S72" s="22">
        <f>MAX(0, Q72-R72)</f>
        <v/>
      </c>
      <c r="T72" s="73">
        <f>IF(Q72&gt;0, (S72/Q72)*100, 0)</f>
        <v/>
      </c>
      <c r="U72" s="22" t="n">
        <v>0</v>
      </c>
      <c r="V72" s="22" t="n">
        <v>0</v>
      </c>
      <c r="W72" s="22">
        <f>MAX(0, U72-V72)</f>
        <v/>
      </c>
      <c r="X72" s="73">
        <f>IF(U72&gt;0, (W72/U72)*100, 0)</f>
        <v/>
      </c>
      <c r="Y72" s="22">
        <f>E72+I72+M72+Q72+U72</f>
        <v/>
      </c>
      <c r="Z72" s="22">
        <f>F72+J72+N72+R72+V72</f>
        <v/>
      </c>
      <c r="AA72" s="22">
        <f>G72+K72+O72+S72+W72</f>
        <v/>
      </c>
      <c r="AB72" s="38">
        <f>IF(Y72&gt;0, (AA72/Y72)*100, 0)</f>
        <v/>
      </c>
    </row>
    <row r="73" ht="20" customHeight="1">
      <c r="A73" s="24" t="n">
        <v>68</v>
      </c>
      <c r="B73" s="33" t="inlineStr">
        <is>
          <t>Pertanian</t>
        </is>
      </c>
      <c r="C73" s="33" t="inlineStr">
        <is>
          <t>BUDIDAYA PETERNAKAN</t>
        </is>
      </c>
      <c r="D73" s="74" t="inlineStr">
        <is>
          <t>D3</t>
        </is>
      </c>
      <c r="E73" s="25" t="n">
        <v>42</v>
      </c>
      <c r="F73" s="25" t="n">
        <v>23</v>
      </c>
      <c r="G73" s="25">
        <f>MAX(0, E73-F73)</f>
        <v/>
      </c>
      <c r="H73" s="75">
        <f>IF(E73&gt;0, (G73/E73)*100, 0)</f>
        <v/>
      </c>
      <c r="I73" s="25" t="n">
        <v>42</v>
      </c>
      <c r="J73" s="25" t="n">
        <v>22</v>
      </c>
      <c r="K73" s="25">
        <f>MAX(0, I73-J73)</f>
        <v/>
      </c>
      <c r="L73" s="75">
        <f>IF(I73&gt;0, (K73/I73)*100, 0)</f>
        <v/>
      </c>
      <c r="M73" s="25" t="n">
        <v>29</v>
      </c>
      <c r="N73" s="25" t="n">
        <v>10</v>
      </c>
      <c r="O73" s="25">
        <f>MAX(0, M73-N73)</f>
        <v/>
      </c>
      <c r="P73" s="75">
        <f>IF(M73&gt;0, (O73/M73)*100, 0)</f>
        <v/>
      </c>
      <c r="Q73" s="25" t="n">
        <v>16</v>
      </c>
      <c r="R73" s="25" t="n">
        <v>9</v>
      </c>
      <c r="S73" s="25">
        <f>MAX(0, Q73-R73)</f>
        <v/>
      </c>
      <c r="T73" s="75">
        <f>IF(Q73&gt;0, (S73/Q73)*100, 0)</f>
        <v/>
      </c>
      <c r="U73" s="25" t="n">
        <v>0</v>
      </c>
      <c r="V73" s="25" t="n">
        <v>0</v>
      </c>
      <c r="W73" s="25">
        <f>MAX(0, U73-V73)</f>
        <v/>
      </c>
      <c r="X73" s="75">
        <f>IF(U73&gt;0, (W73/U73)*100, 0)</f>
        <v/>
      </c>
      <c r="Y73" s="25">
        <f>E73+I73+M73+Q73+U73</f>
        <v/>
      </c>
      <c r="Z73" s="25">
        <f>F73+J73+N73+R73+V73</f>
        <v/>
      </c>
      <c r="AA73" s="25">
        <f>G73+K73+O73+S73+W73</f>
        <v/>
      </c>
      <c r="AB73" s="38">
        <f>IF(Y73&gt;0, (AA73/Y73)*100, 0)</f>
        <v/>
      </c>
    </row>
    <row r="74" ht="20" customHeight="1">
      <c r="A74" s="21" t="n">
        <v>69</v>
      </c>
      <c r="B74" s="32" t="inlineStr">
        <is>
          <t>Teknik</t>
        </is>
      </c>
      <c r="C74" s="32" t="inlineStr">
        <is>
          <t>TEKNIK MESIN</t>
        </is>
      </c>
      <c r="D74" s="72" t="inlineStr">
        <is>
          <t>D3</t>
        </is>
      </c>
      <c r="E74" s="22" t="n">
        <v>35</v>
      </c>
      <c r="F74" s="22" t="n">
        <v>23</v>
      </c>
      <c r="G74" s="22">
        <f>MAX(0, E74-F74)</f>
        <v/>
      </c>
      <c r="H74" s="73">
        <f>IF(E74&gt;0, (G74/E74)*100, 0)</f>
        <v/>
      </c>
      <c r="I74" s="22" t="n">
        <v>32</v>
      </c>
      <c r="J74" s="22" t="n">
        <v>23</v>
      </c>
      <c r="K74" s="22">
        <f>MAX(0, I74-J74)</f>
        <v/>
      </c>
      <c r="L74" s="73">
        <f>IF(I74&gt;0, (K74/I74)*100, 0)</f>
        <v/>
      </c>
      <c r="M74" s="22" t="n">
        <v>34</v>
      </c>
      <c r="N74" s="22" t="n">
        <v>19</v>
      </c>
      <c r="O74" s="22">
        <f>MAX(0, M74-N74)</f>
        <v/>
      </c>
      <c r="P74" s="73">
        <f>IF(M74&gt;0, (O74/M74)*100, 0)</f>
        <v/>
      </c>
      <c r="Q74" s="22" t="n">
        <v>21</v>
      </c>
      <c r="R74" s="22" t="n">
        <v>12</v>
      </c>
      <c r="S74" s="22">
        <f>MAX(0, Q74-R74)</f>
        <v/>
      </c>
      <c r="T74" s="73">
        <f>IF(Q74&gt;0, (S74/Q74)*100, 0)</f>
        <v/>
      </c>
      <c r="U74" s="22" t="n">
        <v>0</v>
      </c>
      <c r="V74" s="22" t="n">
        <v>0</v>
      </c>
      <c r="W74" s="22">
        <f>MAX(0, U74-V74)</f>
        <v/>
      </c>
      <c r="X74" s="73">
        <f>IF(U74&gt;0, (W74/U74)*100, 0)</f>
        <v/>
      </c>
      <c r="Y74" s="22">
        <f>E74+I74+M74+Q74+U74</f>
        <v/>
      </c>
      <c r="Z74" s="22">
        <f>F74+J74+N74+R74+V74</f>
        <v/>
      </c>
      <c r="AA74" s="22">
        <f>G74+K74+O74+S74+W74</f>
        <v/>
      </c>
      <c r="AB74" s="38">
        <f>IF(Y74&gt;0, (AA74/Y74)*100, 0)</f>
        <v/>
      </c>
    </row>
    <row r="75" ht="20" customHeight="1">
      <c r="A75" s="24" t="n">
        <v>70</v>
      </c>
      <c r="B75" s="33" t="inlineStr">
        <is>
          <t>Teknik</t>
        </is>
      </c>
      <c r="C75" s="33" t="inlineStr">
        <is>
          <t>TEKNIK SIPIL</t>
        </is>
      </c>
      <c r="D75" s="74" t="inlineStr">
        <is>
          <t>D3</t>
        </is>
      </c>
      <c r="E75" s="25" t="n">
        <v>83</v>
      </c>
      <c r="F75" s="25" t="n">
        <v>55</v>
      </c>
      <c r="G75" s="25">
        <f>MAX(0, E75-F75)</f>
        <v/>
      </c>
      <c r="H75" s="75">
        <f>IF(E75&gt;0, (G75/E75)*100, 0)</f>
        <v/>
      </c>
      <c r="I75" s="25" t="n">
        <v>63</v>
      </c>
      <c r="J75" s="25" t="n">
        <v>36</v>
      </c>
      <c r="K75" s="25">
        <f>MAX(0, I75-J75)</f>
        <v/>
      </c>
      <c r="L75" s="75">
        <f>IF(I75&gt;0, (K75/I75)*100, 0)</f>
        <v/>
      </c>
      <c r="M75" s="25" t="n">
        <v>62</v>
      </c>
      <c r="N75" s="25" t="n">
        <v>39</v>
      </c>
      <c r="O75" s="25">
        <f>MAX(0, M75-N75)</f>
        <v/>
      </c>
      <c r="P75" s="75">
        <f>IF(M75&gt;0, (O75/M75)*100, 0)</f>
        <v/>
      </c>
      <c r="Q75" s="25" t="n">
        <v>7</v>
      </c>
      <c r="R75" s="25" t="n">
        <v>0</v>
      </c>
      <c r="S75" s="25">
        <f>MAX(0, Q75-R75)</f>
        <v/>
      </c>
      <c r="T75" s="75">
        <f>IF(Q75&gt;0, (S75/Q75)*100, 0)</f>
        <v/>
      </c>
      <c r="U75" s="25" t="n">
        <v>0</v>
      </c>
      <c r="V75" s="25" t="n">
        <v>0</v>
      </c>
      <c r="W75" s="25">
        <f>MAX(0, U75-V75)</f>
        <v/>
      </c>
      <c r="X75" s="75">
        <f>IF(U75&gt;0, (W75/U75)*100, 0)</f>
        <v/>
      </c>
      <c r="Y75" s="25">
        <f>E75+I75+M75+Q75+U75</f>
        <v/>
      </c>
      <c r="Z75" s="25">
        <f>F75+J75+N75+R75+V75</f>
        <v/>
      </c>
      <c r="AA75" s="25">
        <f>G75+K75+O75+S75+W75</f>
        <v/>
      </c>
      <c r="AB75" s="38">
        <f>IF(Y75&gt;0, (AA75/Y75)*100, 0)</f>
        <v/>
      </c>
    </row>
    <row r="76" ht="20" customHeight="1">
      <c r="A76" s="21" t="n">
        <v>71</v>
      </c>
      <c r="B76" s="32" t="inlineStr">
        <is>
          <t>Ekonomi dan Bisnis</t>
        </is>
      </c>
      <c r="C76" s="32" t="inlineStr">
        <is>
          <t>SEKRETARI</t>
        </is>
      </c>
      <c r="D76" s="72" t="inlineStr">
        <is>
          <t>D3</t>
        </is>
      </c>
      <c r="E76" s="22" t="n">
        <v>27</v>
      </c>
      <c r="F76" s="22" t="n">
        <v>18</v>
      </c>
      <c r="G76" s="22">
        <f>MAX(0, E76-F76)</f>
        <v/>
      </c>
      <c r="H76" s="73">
        <f>IF(E76&gt;0, (G76/E76)*100, 0)</f>
        <v/>
      </c>
      <c r="I76" s="22" t="n">
        <v>32</v>
      </c>
      <c r="J76" s="22" t="n">
        <v>21</v>
      </c>
      <c r="K76" s="22">
        <f>MAX(0, I76-J76)</f>
        <v/>
      </c>
      <c r="L76" s="73">
        <f>IF(I76&gt;0, (K76/I76)*100, 0)</f>
        <v/>
      </c>
      <c r="M76" s="22" t="n">
        <v>33</v>
      </c>
      <c r="N76" s="22" t="n">
        <v>16</v>
      </c>
      <c r="O76" s="22">
        <f>MAX(0, M76-N76)</f>
        <v/>
      </c>
      <c r="P76" s="73">
        <f>IF(M76&gt;0, (O76/M76)*100, 0)</f>
        <v/>
      </c>
      <c r="Q76" s="22" t="n">
        <v>37</v>
      </c>
      <c r="R76" s="22" t="n">
        <v>28</v>
      </c>
      <c r="S76" s="22">
        <f>MAX(0, Q76-R76)</f>
        <v/>
      </c>
      <c r="T76" s="73">
        <f>IF(Q76&gt;0, (S76/Q76)*100, 0)</f>
        <v/>
      </c>
      <c r="U76" s="22" t="n">
        <v>0</v>
      </c>
      <c r="V76" s="22" t="n">
        <v>0</v>
      </c>
      <c r="W76" s="22">
        <f>MAX(0, U76-V76)</f>
        <v/>
      </c>
      <c r="X76" s="73">
        <f>IF(U76&gt;0, (W76/U76)*100, 0)</f>
        <v/>
      </c>
      <c r="Y76" s="22">
        <f>E76+I76+M76+Q76+U76</f>
        <v/>
      </c>
      <c r="Z76" s="22">
        <f>F76+J76+N76+R76+V76</f>
        <v/>
      </c>
      <c r="AA76" s="22">
        <f>G76+K76+O76+S76+W76</f>
        <v/>
      </c>
      <c r="AB76" s="38">
        <f>IF(Y76&gt;0, (AA76/Y76)*100, 0)</f>
        <v/>
      </c>
    </row>
    <row r="77" ht="20" customHeight="1">
      <c r="A77" s="24" t="n">
        <v>72</v>
      </c>
      <c r="B77" s="33" t="inlineStr">
        <is>
          <t>Ekonomi dan Bisnis</t>
        </is>
      </c>
      <c r="C77" s="33" t="inlineStr">
        <is>
          <t>MANAJEMEN PERUSAHAAN</t>
        </is>
      </c>
      <c r="D77" s="74" t="inlineStr">
        <is>
          <t>D3</t>
        </is>
      </c>
      <c r="E77" s="25" t="n">
        <v>35</v>
      </c>
      <c r="F77" s="25" t="n">
        <v>18</v>
      </c>
      <c r="G77" s="25">
        <f>MAX(0, E77-F77)</f>
        <v/>
      </c>
      <c r="H77" s="75">
        <f>IF(E77&gt;0, (G77/E77)*100, 0)</f>
        <v/>
      </c>
      <c r="I77" s="25" t="n">
        <v>35</v>
      </c>
      <c r="J77" s="25" t="n">
        <v>26</v>
      </c>
      <c r="K77" s="25">
        <f>MAX(0, I77-J77)</f>
        <v/>
      </c>
      <c r="L77" s="75">
        <f>IF(I77&gt;0, (K77/I77)*100, 0)</f>
        <v/>
      </c>
      <c r="M77" s="25" t="n">
        <v>37</v>
      </c>
      <c r="N77" s="25" t="n">
        <v>17</v>
      </c>
      <c r="O77" s="25">
        <f>MAX(0, M77-N77)</f>
        <v/>
      </c>
      <c r="P77" s="75">
        <f>IF(M77&gt;0, (O77/M77)*100, 0)</f>
        <v/>
      </c>
      <c r="Q77" s="25" t="n">
        <v>9</v>
      </c>
      <c r="R77" s="25" t="n">
        <v>9</v>
      </c>
      <c r="S77" s="25">
        <f>MAX(0, Q77-R77)</f>
        <v/>
      </c>
      <c r="T77" s="75">
        <f>IF(Q77&gt;0, (S77/Q77)*100, 0)</f>
        <v/>
      </c>
      <c r="U77" s="25" t="n">
        <v>0</v>
      </c>
      <c r="V77" s="25" t="n">
        <v>0</v>
      </c>
      <c r="W77" s="25">
        <f>MAX(0, U77-V77)</f>
        <v/>
      </c>
      <c r="X77" s="75">
        <f>IF(U77&gt;0, (W77/U77)*100, 0)</f>
        <v/>
      </c>
      <c r="Y77" s="25">
        <f>E77+I77+M77+Q77+U77</f>
        <v/>
      </c>
      <c r="Z77" s="25">
        <f>F77+J77+N77+R77+V77</f>
        <v/>
      </c>
      <c r="AA77" s="25">
        <f>G77+K77+O77+S77+W77</f>
        <v/>
      </c>
      <c r="AB77" s="38">
        <f>IF(Y77&gt;0, (AA77/Y77)*100, 0)</f>
        <v/>
      </c>
    </row>
    <row r="78" ht="20" customHeight="1">
      <c r="A78" s="21" t="n">
        <v>73</v>
      </c>
      <c r="B78" s="32" t="inlineStr">
        <is>
          <t>Ekonomi dan Bisnis</t>
        </is>
      </c>
      <c r="C78" s="32" t="inlineStr">
        <is>
          <t>AKUNTANSI</t>
        </is>
      </c>
      <c r="D78" s="72" t="inlineStr">
        <is>
          <t>D3</t>
        </is>
      </c>
      <c r="E78" s="22" t="n">
        <v>71</v>
      </c>
      <c r="F78" s="22" t="n">
        <v>49</v>
      </c>
      <c r="G78" s="22">
        <f>MAX(0, E78-F78)</f>
        <v/>
      </c>
      <c r="H78" s="73">
        <f>IF(E78&gt;0, (G78/E78)*100, 0)</f>
        <v/>
      </c>
      <c r="I78" s="22" t="n">
        <v>65</v>
      </c>
      <c r="J78" s="22" t="n">
        <v>47</v>
      </c>
      <c r="K78" s="22">
        <f>MAX(0, I78-J78)</f>
        <v/>
      </c>
      <c r="L78" s="73">
        <f>IF(I78&gt;0, (K78/I78)*100, 0)</f>
        <v/>
      </c>
      <c r="M78" s="22" t="n">
        <v>64</v>
      </c>
      <c r="N78" s="22" t="n">
        <v>40</v>
      </c>
      <c r="O78" s="22">
        <f>MAX(0, M78-N78)</f>
        <v/>
      </c>
      <c r="P78" s="73">
        <f>IF(M78&gt;0, (O78/M78)*100, 0)</f>
        <v/>
      </c>
      <c r="Q78" s="22" t="n">
        <v>26</v>
      </c>
      <c r="R78" s="22" t="n">
        <v>19</v>
      </c>
      <c r="S78" s="22">
        <f>MAX(0, Q78-R78)</f>
        <v/>
      </c>
      <c r="T78" s="73">
        <f>IF(Q78&gt;0, (S78/Q78)*100, 0)</f>
        <v/>
      </c>
      <c r="U78" s="22" t="n">
        <v>0</v>
      </c>
      <c r="V78" s="22" t="n">
        <v>0</v>
      </c>
      <c r="W78" s="22">
        <f>MAX(0, U78-V78)</f>
        <v/>
      </c>
      <c r="X78" s="73">
        <f>IF(U78&gt;0, (W78/U78)*100, 0)</f>
        <v/>
      </c>
      <c r="Y78" s="22">
        <f>E78+I78+M78+Q78+U78</f>
        <v/>
      </c>
      <c r="Z78" s="22">
        <f>F78+J78+N78+R78+V78</f>
        <v/>
      </c>
      <c r="AA78" s="22">
        <f>G78+K78+O78+S78+W78</f>
        <v/>
      </c>
      <c r="AB78" s="38">
        <f>IF(Y78&gt;0, (AA78/Y78)*100, 0)</f>
        <v/>
      </c>
    </row>
    <row r="79" ht="20" customHeight="1">
      <c r="A79" s="24" t="n">
        <v>74</v>
      </c>
      <c r="B79" s="33" t="inlineStr">
        <is>
          <t>Ekonomi dan Bisnis</t>
        </is>
      </c>
      <c r="C79" s="33" t="inlineStr">
        <is>
          <t>KEUANGAN DAN PERBANKAN</t>
        </is>
      </c>
      <c r="D79" s="74" t="inlineStr">
        <is>
          <t>D3</t>
        </is>
      </c>
      <c r="E79" s="25" t="n">
        <v>60</v>
      </c>
      <c r="F79" s="25" t="n">
        <v>36</v>
      </c>
      <c r="G79" s="25">
        <f>MAX(0, E79-F79)</f>
        <v/>
      </c>
      <c r="H79" s="75">
        <f>IF(E79&gt;0, (G79/E79)*100, 0)</f>
        <v/>
      </c>
      <c r="I79" s="25" t="n">
        <v>63</v>
      </c>
      <c r="J79" s="25" t="n">
        <v>41</v>
      </c>
      <c r="K79" s="25">
        <f>MAX(0, I79-J79)</f>
        <v/>
      </c>
      <c r="L79" s="75">
        <f>IF(I79&gt;0, (K79/I79)*100, 0)</f>
        <v/>
      </c>
      <c r="M79" s="25" t="n">
        <v>66</v>
      </c>
      <c r="N79" s="25" t="n">
        <v>32</v>
      </c>
      <c r="O79" s="25">
        <f>MAX(0, M79-N79)</f>
        <v/>
      </c>
      <c r="P79" s="75">
        <f>IF(M79&gt;0, (O79/M79)*100, 0)</f>
        <v/>
      </c>
      <c r="Q79" s="25" t="n">
        <v>7</v>
      </c>
      <c r="R79" s="25" t="n">
        <v>0</v>
      </c>
      <c r="S79" s="25">
        <f>MAX(0, Q79-R79)</f>
        <v/>
      </c>
      <c r="T79" s="75">
        <f>IF(Q79&gt;0, (S79/Q79)*100, 0)</f>
        <v/>
      </c>
      <c r="U79" s="25" t="n">
        <v>0</v>
      </c>
      <c r="V79" s="25" t="n">
        <v>0</v>
      </c>
      <c r="W79" s="25">
        <f>MAX(0, U79-V79)</f>
        <v/>
      </c>
      <c r="X79" s="75">
        <f>IF(U79&gt;0, (W79/U79)*100, 0)</f>
        <v/>
      </c>
      <c r="Y79" s="25">
        <f>E79+I79+M79+Q79+U79</f>
        <v/>
      </c>
      <c r="Z79" s="25">
        <f>F79+J79+N79+R79+V79</f>
        <v/>
      </c>
      <c r="AA79" s="25">
        <f>G79+K79+O79+S79+W79</f>
        <v/>
      </c>
      <c r="AB79" s="38">
        <f>IF(Y79&gt;0, (AA79/Y79)*100, 0)</f>
        <v/>
      </c>
    </row>
    <row r="80" ht="20" customHeight="1">
      <c r="A80" s="21" t="n">
        <v>75</v>
      </c>
      <c r="B80" s="32" t="inlineStr">
        <is>
          <t>MIPA</t>
        </is>
      </c>
      <c r="C80" s="32" t="inlineStr">
        <is>
          <t>MANAJEMEN INFORMATIKA</t>
        </is>
      </c>
      <c r="D80" s="72" t="inlineStr">
        <is>
          <t>D3</t>
        </is>
      </c>
      <c r="E80" s="22" t="n">
        <v>81</v>
      </c>
      <c r="F80" s="22" t="n">
        <v>58</v>
      </c>
      <c r="G80" s="22">
        <f>MAX(0, E80-F80)</f>
        <v/>
      </c>
      <c r="H80" s="73">
        <f>IF(E80&gt;0, (G80/E80)*100, 0)</f>
        <v/>
      </c>
      <c r="I80" s="22" t="n">
        <v>80</v>
      </c>
      <c r="J80" s="22" t="n">
        <v>66</v>
      </c>
      <c r="K80" s="22">
        <f>MAX(0, I80-J80)</f>
        <v/>
      </c>
      <c r="L80" s="73">
        <f>IF(I80&gt;0, (K80/I80)*100, 0)</f>
        <v/>
      </c>
      <c r="M80" s="22" t="n">
        <v>74</v>
      </c>
      <c r="N80" s="22" t="n">
        <v>57</v>
      </c>
      <c r="O80" s="22">
        <f>MAX(0, M80-N80)</f>
        <v/>
      </c>
      <c r="P80" s="73">
        <f>IF(M80&gt;0, (O80/M80)*100, 0)</f>
        <v/>
      </c>
      <c r="Q80" s="22" t="n">
        <v>50</v>
      </c>
      <c r="R80" s="22" t="n">
        <v>32</v>
      </c>
      <c r="S80" s="22">
        <f>MAX(0, Q80-R80)</f>
        <v/>
      </c>
      <c r="T80" s="73">
        <f>IF(Q80&gt;0, (S80/Q80)*100, 0)</f>
        <v/>
      </c>
      <c r="U80" s="22" t="n">
        <v>0</v>
      </c>
      <c r="V80" s="22" t="n">
        <v>0</v>
      </c>
      <c r="W80" s="22">
        <f>MAX(0, U80-V80)</f>
        <v/>
      </c>
      <c r="X80" s="73">
        <f>IF(U80&gt;0, (W80/U80)*100, 0)</f>
        <v/>
      </c>
      <c r="Y80" s="22">
        <f>E80+I80+M80+Q80+U80</f>
        <v/>
      </c>
      <c r="Z80" s="22">
        <f>F80+J80+N80+R80+V80</f>
        <v/>
      </c>
      <c r="AA80" s="22">
        <f>G80+K80+O80+S80+W80</f>
        <v/>
      </c>
      <c r="AB80" s="23">
        <f>IF(Y80&gt;0, (AA80/Y80)*100, 0)</f>
        <v/>
      </c>
    </row>
    <row r="81" ht="20" customHeight="1">
      <c r="A81" s="24" t="n">
        <v>76</v>
      </c>
      <c r="B81" s="33" t="inlineStr">
        <is>
          <t>Kelautan dan Perikanan</t>
        </is>
      </c>
      <c r="C81" s="33" t="inlineStr">
        <is>
          <t>TEKNOLOGI INDUSTRI HASIL PERIKANAN</t>
        </is>
      </c>
      <c r="D81" s="74" t="inlineStr">
        <is>
          <t>S1</t>
        </is>
      </c>
      <c r="E81" s="25" t="n">
        <v>45</v>
      </c>
      <c r="F81" s="25" t="n">
        <v>36</v>
      </c>
      <c r="G81" s="25">
        <f>MAX(0, E81-F81)</f>
        <v/>
      </c>
      <c r="H81" s="75">
        <f>IF(E81&gt;0, (G81/E81)*100, 0)</f>
        <v/>
      </c>
      <c r="I81" s="25" t="n">
        <v>36</v>
      </c>
      <c r="J81" s="25" t="n">
        <v>32</v>
      </c>
      <c r="K81" s="25">
        <f>MAX(0, I81-J81)</f>
        <v/>
      </c>
      <c r="L81" s="75">
        <f>IF(I81&gt;0, (K81/I81)*100, 0)</f>
        <v/>
      </c>
      <c r="M81" s="25" t="n">
        <v>0</v>
      </c>
      <c r="N81" s="25" t="n">
        <v>0</v>
      </c>
      <c r="O81" s="25">
        <f>MAX(0, M81-N81)</f>
        <v/>
      </c>
      <c r="P81" s="75">
        <f>IF(M81&gt;0, (O81/M81)*100, 0)</f>
        <v/>
      </c>
      <c r="Q81" s="25" t="n">
        <v>55</v>
      </c>
      <c r="R81" s="25" t="n">
        <v>36</v>
      </c>
      <c r="S81" s="25">
        <f>MAX(0, Q81-R81)</f>
        <v/>
      </c>
      <c r="T81" s="75">
        <f>IF(Q81&gt;0, (S81/Q81)*100, 0)</f>
        <v/>
      </c>
      <c r="U81" s="25" t="n">
        <v>0</v>
      </c>
      <c r="V81" s="25" t="n">
        <v>0</v>
      </c>
      <c r="W81" s="25">
        <f>MAX(0, U81-V81)</f>
        <v/>
      </c>
      <c r="X81" s="75">
        <f>IF(U81&gt;0, (W81/U81)*100, 0)</f>
        <v/>
      </c>
      <c r="Y81" s="25">
        <f>E81+I81+M81+Q81+U81</f>
        <v/>
      </c>
      <c r="Z81" s="25">
        <f>F81+J81+N81+R81+V81</f>
        <v/>
      </c>
      <c r="AA81" s="25">
        <f>G81+K81+O81+S81+W81</f>
        <v/>
      </c>
      <c r="AB81" s="26">
        <f>IF(Y81&gt;0, (AA81/Y81)*100, 0)</f>
        <v/>
      </c>
    </row>
    <row r="82" ht="20" customHeight="1">
      <c r="A82" s="21" t="n">
        <v>77</v>
      </c>
      <c r="B82" s="32" t="inlineStr">
        <is>
          <t>Teknik</t>
        </is>
      </c>
      <c r="C82" s="32" t="inlineStr">
        <is>
          <t>TEKNIK LINGKUNGAN</t>
        </is>
      </c>
      <c r="D82" s="72" t="inlineStr">
        <is>
          <t>S1</t>
        </is>
      </c>
      <c r="E82" s="22" t="n">
        <v>66</v>
      </c>
      <c r="F82" s="22" t="n">
        <v>50</v>
      </c>
      <c r="G82" s="22">
        <f>MAX(0, E82-F82)</f>
        <v/>
      </c>
      <c r="H82" s="73">
        <f>IF(E82&gt;0, (G82/E82)*100, 0)</f>
        <v/>
      </c>
      <c r="I82" s="22" t="n">
        <v>12</v>
      </c>
      <c r="J82" s="22" t="n">
        <v>55</v>
      </c>
      <c r="K82" s="22">
        <f>MAX(0, I82-J82)</f>
        <v/>
      </c>
      <c r="L82" s="73">
        <f>IF(I82&gt;0, (K82/I82)*100, 0)</f>
        <v/>
      </c>
      <c r="M82" s="22" t="n">
        <v>0</v>
      </c>
      <c r="N82" s="22" t="n">
        <v>0</v>
      </c>
      <c r="O82" s="22">
        <f>MAX(0, M82-N82)</f>
        <v/>
      </c>
      <c r="P82" s="73">
        <f>IF(M82&gt;0, (O82/M82)*100, 0)</f>
        <v/>
      </c>
      <c r="Q82" s="22" t="n">
        <v>0</v>
      </c>
      <c r="R82" s="22" t="n">
        <v>0</v>
      </c>
      <c r="S82" s="22">
        <f>MAX(0, Q82-R82)</f>
        <v/>
      </c>
      <c r="T82" s="73">
        <f>IF(Q82&gt;0, (S82/Q82)*100, 0)</f>
        <v/>
      </c>
      <c r="U82" s="22" t="n">
        <v>0</v>
      </c>
      <c r="V82" s="22" t="n">
        <v>0</v>
      </c>
      <c r="W82" s="22">
        <f>MAX(0, U82-V82)</f>
        <v/>
      </c>
      <c r="X82" s="73">
        <f>IF(U82&gt;0, (W82/U82)*100, 0)</f>
        <v/>
      </c>
      <c r="Y82" s="22">
        <f>E82+I82+M82+Q82+U82</f>
        <v/>
      </c>
      <c r="Z82" s="22">
        <f>F82+J82+N82+R82+V82</f>
        <v/>
      </c>
      <c r="AA82" s="22">
        <f>G82+K82+O82+S82+W82</f>
        <v/>
      </c>
      <c r="AB82" s="39">
        <f>IF(Y82&gt;0, (AA82/Y82)*100, 0)</f>
        <v/>
      </c>
    </row>
    <row r="83" ht="20" customHeight="1">
      <c r="A83" s="24" t="n">
        <v>78</v>
      </c>
      <c r="B83" s="33" t="inlineStr">
        <is>
          <t>Teknik</t>
        </is>
      </c>
      <c r="C83" s="33" t="inlineStr">
        <is>
          <t>TEKNIK SUMBER DAYA AIR</t>
        </is>
      </c>
      <c r="D83" s="74" t="inlineStr">
        <is>
          <t>S1</t>
        </is>
      </c>
      <c r="E83" s="25" t="n">
        <v>55</v>
      </c>
      <c r="F83" s="25" t="n">
        <v>52</v>
      </c>
      <c r="G83" s="25">
        <f>MAX(0, E83-F83)</f>
        <v/>
      </c>
      <c r="H83" s="75">
        <f>IF(E83&gt;0, (G83/E83)*100, 0)</f>
        <v/>
      </c>
      <c r="I83" s="25" t="n">
        <v>10</v>
      </c>
      <c r="J83" s="25" t="n">
        <v>51</v>
      </c>
      <c r="K83" s="25">
        <f>MAX(0, I83-J83)</f>
        <v/>
      </c>
      <c r="L83" s="75">
        <f>IF(I83&gt;0, (K83/I83)*100, 0)</f>
        <v/>
      </c>
      <c r="M83" s="25" t="n">
        <v>0</v>
      </c>
      <c r="N83" s="25" t="n">
        <v>0</v>
      </c>
      <c r="O83" s="25">
        <f>MAX(0, M83-N83)</f>
        <v/>
      </c>
      <c r="P83" s="75">
        <f>IF(M83&gt;0, (O83/M83)*100, 0)</f>
        <v/>
      </c>
      <c r="Q83" s="25" t="n">
        <v>0</v>
      </c>
      <c r="R83" s="25" t="n">
        <v>0</v>
      </c>
      <c r="S83" s="25">
        <f>MAX(0, Q83-R83)</f>
        <v/>
      </c>
      <c r="T83" s="75">
        <f>IF(Q83&gt;0, (S83/Q83)*100, 0)</f>
        <v/>
      </c>
      <c r="U83" s="25" t="n">
        <v>0</v>
      </c>
      <c r="V83" s="25" t="n">
        <v>0</v>
      </c>
      <c r="W83" s="25">
        <f>MAX(0, U83-V83)</f>
        <v/>
      </c>
      <c r="X83" s="75">
        <f>IF(U83&gt;0, (W83/U83)*100, 0)</f>
        <v/>
      </c>
      <c r="Y83" s="25">
        <f>E83+I83+M83+Q83+U83</f>
        <v/>
      </c>
      <c r="Z83" s="25">
        <f>F83+J83+N83+R83+V83</f>
        <v/>
      </c>
      <c r="AA83" s="25">
        <f>G83+K83+O83+S83+W83</f>
        <v/>
      </c>
      <c r="AB83" s="39">
        <f>IF(Y83&gt;0, (AA83/Y83)*100, 0)</f>
        <v/>
      </c>
    </row>
    <row r="84" ht="20" customHeight="1">
      <c r="A84" s="21" t="n">
        <v>79</v>
      </c>
      <c r="B84" s="32" t="inlineStr">
        <is>
          <t>Ekonomi dan Bisnis</t>
        </is>
      </c>
      <c r="C84" s="32" t="inlineStr">
        <is>
          <t>BISNIS DIGITAL</t>
        </is>
      </c>
      <c r="D84" s="72" t="inlineStr">
        <is>
          <t>S1</t>
        </is>
      </c>
      <c r="E84" s="22" t="n">
        <v>90</v>
      </c>
      <c r="F84" s="22" t="n">
        <v>78</v>
      </c>
      <c r="G84" s="22">
        <f>MAX(0, E84-F84)</f>
        <v/>
      </c>
      <c r="H84" s="73">
        <f>IF(E84&gt;0, (G84/E84)*100, 0)</f>
        <v/>
      </c>
      <c r="I84" s="22" t="n">
        <v>7</v>
      </c>
      <c r="J84" s="22" t="n">
        <v>72</v>
      </c>
      <c r="K84" s="22">
        <f>MAX(0, I84-J84)</f>
        <v/>
      </c>
      <c r="L84" s="73">
        <f>IF(I84&gt;0, (K84/I84)*100, 0)</f>
        <v/>
      </c>
      <c r="M84" s="22" t="n">
        <v>0</v>
      </c>
      <c r="N84" s="22" t="n">
        <v>0</v>
      </c>
      <c r="O84" s="22">
        <f>MAX(0, M84-N84)</f>
        <v/>
      </c>
      <c r="P84" s="73">
        <f>IF(M84&gt;0, (O84/M84)*100, 0)</f>
        <v/>
      </c>
      <c r="Q84" s="22" t="n">
        <v>0</v>
      </c>
      <c r="R84" s="22" t="n">
        <v>0</v>
      </c>
      <c r="S84" s="22">
        <f>MAX(0, Q84-R84)</f>
        <v/>
      </c>
      <c r="T84" s="73">
        <f>IF(Q84&gt;0, (S84/Q84)*100, 0)</f>
        <v/>
      </c>
      <c r="U84" s="22" t="n">
        <v>0</v>
      </c>
      <c r="V84" s="22" t="n">
        <v>0</v>
      </c>
      <c r="W84" s="22">
        <f>MAX(0, U84-V84)</f>
        <v/>
      </c>
      <c r="X84" s="73">
        <f>IF(U84&gt;0, (W84/U84)*100, 0)</f>
        <v/>
      </c>
      <c r="Y84" s="22">
        <f>E84+I84+M84+Q84+U84</f>
        <v/>
      </c>
      <c r="Z84" s="22">
        <f>F84+J84+N84+R84+V84</f>
        <v/>
      </c>
      <c r="AA84" s="22">
        <f>G84+K84+O84+S84+W84</f>
        <v/>
      </c>
      <c r="AB84" s="39">
        <f>IF(Y84&gt;0, (AA84/Y84)*100, 0)</f>
        <v/>
      </c>
    </row>
    <row r="85" ht="20" customHeight="1">
      <c r="A85" s="24" t="n">
        <v>80</v>
      </c>
      <c r="B85" s="33" t="inlineStr">
        <is>
          <t>Teknik</t>
        </is>
      </c>
      <c r="C85" s="33" t="inlineStr">
        <is>
          <t>TEKNIK PERMINYAKAN</t>
        </is>
      </c>
      <c r="D85" s="74" t="inlineStr">
        <is>
          <t>S1</t>
        </is>
      </c>
      <c r="E85" s="25" t="n">
        <v>66</v>
      </c>
      <c r="F85" s="25" t="n">
        <v>52</v>
      </c>
      <c r="G85" s="25">
        <f>MAX(0, E85-F85)</f>
        <v/>
      </c>
      <c r="H85" s="75">
        <f>IF(E85&gt;0, (G85/E85)*100, 0)</f>
        <v/>
      </c>
      <c r="I85" s="25" t="n">
        <v>120</v>
      </c>
      <c r="J85" s="25" t="n">
        <v>120</v>
      </c>
      <c r="K85" s="25">
        <f>MAX(0, I85-J85)</f>
        <v/>
      </c>
      <c r="L85" s="75">
        <f>IF(I85&gt;0, (K85/I85)*100, 0)</f>
        <v/>
      </c>
      <c r="M85" s="25" t="n">
        <v>0</v>
      </c>
      <c r="N85" s="25" t="n">
        <v>0</v>
      </c>
      <c r="O85" s="25">
        <f>MAX(0, M85-N85)</f>
        <v/>
      </c>
      <c r="P85" s="75">
        <f>IF(M85&gt;0, (O85/M85)*100, 0)</f>
        <v/>
      </c>
      <c r="Q85" s="25" t="n">
        <v>0</v>
      </c>
      <c r="R85" s="25" t="n">
        <v>0</v>
      </c>
      <c r="S85" s="25">
        <f>MAX(0, Q85-R85)</f>
        <v/>
      </c>
      <c r="T85" s="75">
        <f>IF(Q85&gt;0, (S85/Q85)*100, 0)</f>
        <v/>
      </c>
      <c r="U85" s="25" t="n">
        <v>0</v>
      </c>
      <c r="V85" s="25" t="n">
        <v>0</v>
      </c>
      <c r="W85" s="25">
        <f>MAX(0, U85-V85)</f>
        <v/>
      </c>
      <c r="X85" s="75">
        <f>IF(U85&gt;0, (W85/U85)*100, 0)</f>
        <v/>
      </c>
      <c r="Y85" s="25">
        <f>E85+I85+M85+Q85+U85</f>
        <v/>
      </c>
      <c r="Z85" s="25">
        <f>F85+J85+N85+R85+V85</f>
        <v/>
      </c>
      <c r="AA85" s="25">
        <f>G85+K85+O85+S85+W85</f>
        <v/>
      </c>
      <c r="AB85" s="39">
        <f>IF(Y85&gt;0, (AA85/Y85)*100, 0)</f>
        <v/>
      </c>
    </row>
    <row r="86" ht="20" customHeight="1">
      <c r="A86" s="21" t="n">
        <v>81</v>
      </c>
      <c r="B86" s="32" t="inlineStr">
        <is>
          <t>FISIP</t>
        </is>
      </c>
      <c r="C86" s="32" t="inlineStr">
        <is>
          <t>HUBUNGAN INTERNASIONAL</t>
        </is>
      </c>
      <c r="D86" s="72" t="inlineStr">
        <is>
          <t>S1</t>
        </is>
      </c>
      <c r="E86" s="22" t="n">
        <v>87</v>
      </c>
      <c r="F86" s="22" t="n">
        <v>73</v>
      </c>
      <c r="G86" s="22">
        <f>MAX(0, E86-F86)</f>
        <v/>
      </c>
      <c r="H86" s="73">
        <f>IF(E86&gt;0, (G86/E86)*100, 0)</f>
        <v/>
      </c>
      <c r="I86" s="22" t="n">
        <v>0</v>
      </c>
      <c r="J86" s="22" t="n">
        <v>0</v>
      </c>
      <c r="K86" s="22">
        <f>MAX(0, I86-J86)</f>
        <v/>
      </c>
      <c r="L86" s="73">
        <f>IF(I86&gt;0, (K86/I86)*100, 0)</f>
        <v/>
      </c>
      <c r="M86" s="22" t="n">
        <v>0</v>
      </c>
      <c r="N86" s="22" t="n">
        <v>0</v>
      </c>
      <c r="O86" s="22">
        <f>MAX(0, M86-N86)</f>
        <v/>
      </c>
      <c r="P86" s="73">
        <f>IF(M86&gt;0, (O86/M86)*100, 0)</f>
        <v/>
      </c>
      <c r="Q86" s="22" t="n">
        <v>0</v>
      </c>
      <c r="R86" s="22" t="n">
        <v>0</v>
      </c>
      <c r="S86" s="22">
        <f>MAX(0, Q86-R86)</f>
        <v/>
      </c>
      <c r="T86" s="73">
        <f>IF(Q86&gt;0, (S86/Q86)*100, 0)</f>
        <v/>
      </c>
      <c r="U86" s="22" t="n">
        <v>0</v>
      </c>
      <c r="V86" s="22" t="n">
        <v>0</v>
      </c>
      <c r="W86" s="22">
        <f>MAX(0, U86-V86)</f>
        <v/>
      </c>
      <c r="X86" s="73">
        <f>IF(U86&gt;0, (W86/U86)*100, 0)</f>
        <v/>
      </c>
      <c r="Y86" s="22">
        <f>E86+I86+M86+Q86+U86</f>
        <v/>
      </c>
      <c r="Z86" s="22">
        <f>F86+J86+N86+R86+V86</f>
        <v/>
      </c>
      <c r="AA86" s="22">
        <f>G86+K86+O86+S86+W86</f>
        <v/>
      </c>
      <c r="AB86" s="23">
        <f>IF(Y86&gt;0, (AA86/Y86)*100, 0)</f>
        <v/>
      </c>
    </row>
    <row r="87" ht="24" customHeight="1">
      <c r="A87" s="27" t="inlineStr">
        <is>
          <t>TOTAL UNIVERSITAS SYIAH KUALA</t>
        </is>
      </c>
      <c r="B87" s="76" t="n"/>
      <c r="C87" s="76" t="n"/>
      <c r="D87" s="77" t="n"/>
      <c r="E87" s="28">
        <f>SUM(E6:E86)</f>
        <v/>
      </c>
      <c r="F87" s="28">
        <f>SUM(F6:F86)</f>
        <v/>
      </c>
      <c r="G87" s="28">
        <f>SUM(G6:G86)</f>
        <v/>
      </c>
      <c r="H87" s="78">
        <f>IF(E87&gt;0, (G87/E87)*100, 0)</f>
        <v/>
      </c>
      <c r="I87" s="28">
        <f>SUM(I6:I86)</f>
        <v/>
      </c>
      <c r="J87" s="28">
        <f>SUM(J6:J86)</f>
        <v/>
      </c>
      <c r="K87" s="28">
        <f>SUM(K6:K86)</f>
        <v/>
      </c>
      <c r="L87" s="78">
        <f>IF(I87&gt;0, (K87/I87)*100, 0)</f>
        <v/>
      </c>
      <c r="M87" s="28">
        <f>SUM(M6:M86)</f>
        <v/>
      </c>
      <c r="N87" s="28">
        <f>SUM(N6:N86)</f>
        <v/>
      </c>
      <c r="O87" s="28">
        <f>SUM(O6:O86)</f>
        <v/>
      </c>
      <c r="P87" s="78">
        <f>IF(M87&gt;0, (O87/M87)*100, 0)</f>
        <v/>
      </c>
      <c r="Q87" s="28">
        <f>SUM(Q6:Q86)</f>
        <v/>
      </c>
      <c r="R87" s="28">
        <f>SUM(R6:R86)</f>
        <v/>
      </c>
      <c r="S87" s="28">
        <f>SUM(S6:S86)</f>
        <v/>
      </c>
      <c r="T87" s="78">
        <f>IF(Q87&gt;0, (S87/Q87)*100, 0)</f>
        <v/>
      </c>
      <c r="U87" s="28">
        <f>SUM(U6:U86)</f>
        <v/>
      </c>
      <c r="V87" s="28">
        <f>SUM(V6:V86)</f>
        <v/>
      </c>
      <c r="W87" s="28">
        <f>SUM(W6:W86)</f>
        <v/>
      </c>
      <c r="X87" s="78">
        <f>IF(U87&gt;0, (W87/U87)*100, 0)</f>
        <v/>
      </c>
      <c r="Y87" s="28">
        <f>SUM(Y6:Y86)</f>
        <v/>
      </c>
      <c r="Z87" s="28">
        <f>SUM(Z6:Z86)</f>
        <v/>
      </c>
      <c r="AA87" s="28">
        <f>SUM(AA6:AA86)</f>
        <v/>
      </c>
      <c r="AB87" s="29">
        <f>IF(Y87&gt;0, (AA87/Y87)*100, 0)</f>
        <v/>
      </c>
    </row>
  </sheetData>
  <mergeCells count="10">
    <mergeCell ref="A2:AB2"/>
    <mergeCell ref="M4:P4"/>
    <mergeCell ref="Q4:T4"/>
    <mergeCell ref="U4:X4"/>
    <mergeCell ref="A4:D4"/>
    <mergeCell ref="E4:H4"/>
    <mergeCell ref="I4:L4"/>
    <mergeCell ref="Y4:AB4"/>
    <mergeCell ref="A87:D87"/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2026-10-18T17:02:46Z</dcterms:created>
  <dcterms:modified xmlns:dcterms="http://purl.org/dc/terms/" xmlns:xsi="http://www.w3.org/2001/XMLSchema-instance" xsi:type="dcterms:W3CDTF">2026-10-18T17:02:46Z</dcterms:modified>
</cp:coreProperties>
</file>