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Eksekutif" sheetId="1" state="visible" r:id="rId1"/>
    <sheet xmlns:r="http://schemas.openxmlformats.org/officeDocument/2006/relationships" name="Rincian_Semua_Tahun" sheetId="2" state="visible" r:id="rId2"/>
    <sheet xmlns:r="http://schemas.openxmlformats.org/officeDocument/2006/relationships" name="Tahun_2026" sheetId="3" state="visible" r:id="rId3"/>
    <sheet xmlns:r="http://schemas.openxmlformats.org/officeDocument/2006/relationships" name="Tahun_2025" sheetId="4" state="visible" r:id="rId4"/>
    <sheet xmlns:r="http://schemas.openxmlformats.org/officeDocument/2006/relationships" name="Tahun_2024" sheetId="5" state="visible" r:id="rId5"/>
    <sheet xmlns:r="http://schemas.openxmlformats.org/officeDocument/2006/relationships" name="Tahun_2023" sheetId="6" state="visible" r:id="rId6"/>
    <sheet xmlns:r="http://schemas.openxmlformats.org/officeDocument/2006/relationships" name="Tahun_202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6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E0E7FF"/>
      <sz val="10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color rgb="001E293B"/>
      <sz val="9"/>
    </font>
    <font>
      <name val="Segoe UI"/>
      <b val="1"/>
      <color rgb="00991B1B"/>
      <sz val="9"/>
    </font>
    <font>
      <name val="Segoe UI"/>
      <b val="1"/>
      <color rgb="000F172A"/>
      <sz val="9"/>
    </font>
    <font>
      <name val="Segoe UI"/>
      <b val="1"/>
      <color rgb="00FFFFFF"/>
      <sz val="12"/>
    </font>
    <font>
      <name val="Segoe UI"/>
      <b val="1"/>
      <color rgb="00475569"/>
      <sz val="9"/>
    </font>
    <font>
      <name val="Segoe UI"/>
      <b val="1"/>
      <color rgb="001E3A8A"/>
      <sz val="18"/>
    </font>
    <font>
      <name val="Segoe UI"/>
      <i val="1"/>
      <color rgb="0064748B"/>
      <sz val="8"/>
    </font>
    <font>
      <name val="Segoe UI"/>
      <b val="1"/>
      <color rgb="00065F46"/>
      <sz val="18"/>
    </font>
    <font>
      <name val="Segoe UI"/>
      <b val="1"/>
      <color rgb="0092400E"/>
      <sz val="18"/>
    </font>
    <font>
      <name val="Segoe UI"/>
      <b val="1"/>
      <color rgb="009F1239"/>
      <sz val="18"/>
    </font>
    <font>
      <name val="Segoe UI"/>
      <b val="1"/>
      <color rgb="001B365D"/>
      <sz val="11"/>
    </font>
  </fonts>
  <fills count="2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365"/>
        <bgColor rgb="002A4365"/>
      </patternFill>
    </fill>
    <fill>
      <patternFill patternType="solid">
        <fgColor rgb="00334155"/>
        <bgColor rgb="00334155"/>
      </patternFill>
    </fill>
    <fill>
      <patternFill patternType="solid">
        <fgColor rgb="006366F1"/>
        <bgColor rgb="006366F1"/>
      </patternFill>
    </fill>
    <fill>
      <patternFill patternType="solid">
        <fgColor rgb="00D97706"/>
        <bgColor rgb="00D97706"/>
      </patternFill>
    </fill>
    <fill>
      <patternFill patternType="solid">
        <fgColor rgb="000D9488"/>
        <bgColor rgb="000D9488"/>
      </patternFill>
    </fill>
    <fill>
      <patternFill patternType="solid">
        <fgColor rgb="000284C7"/>
        <bgColor rgb="000284C7"/>
      </patternFill>
    </fill>
    <fill>
      <patternFill patternType="solid">
        <fgColor rgb="001E3A8A"/>
        <bgColor rgb="001E3A8A"/>
      </patternFill>
    </fill>
    <fill>
      <patternFill patternType="solid">
        <fgColor rgb="000F172A"/>
        <bgColor rgb="000F172A"/>
      </patternFill>
    </fill>
    <fill>
      <patternFill patternType="solid">
        <fgColor rgb="00475569"/>
        <bgColor rgb="00475569"/>
      </patternFill>
    </fill>
    <fill>
      <patternFill patternType="solid">
        <fgColor rgb="004F46E5"/>
        <bgColor rgb="004F46E5"/>
      </patternFill>
    </fill>
    <fill>
      <patternFill patternType="solid">
        <fgColor rgb="00DC2626"/>
        <bgColor rgb="00DC2626"/>
      </patternFill>
    </fill>
    <fill>
      <patternFill patternType="solid">
        <fgColor rgb="002563EB"/>
        <bgColor rgb="002563EB"/>
      </patternFill>
    </fill>
    <fill>
      <patternFill patternType="solid">
        <fgColor rgb="001E293B"/>
        <bgColor rgb="001E293B"/>
      </patternFill>
    </fill>
    <fill>
      <patternFill patternType="solid">
        <fgColor rgb="00991B1B"/>
        <bgColor rgb="00991B1B"/>
      </patternFill>
    </fill>
    <fill>
      <patternFill patternType="solid">
        <fgColor rgb="00FFFFFF"/>
        <bgColor rgb="00FFFFFF"/>
      </patternFill>
    </fill>
    <fill>
      <patternFill patternType="solid">
        <fgColor rgb="00FFE4E6"/>
        <bgColor rgb="00FFE4E6"/>
      </patternFill>
    </fill>
    <fill>
      <patternFill patternType="solid">
        <fgColor rgb="00F8FAFC"/>
        <bgColor rgb="00F8FAFC"/>
      </patternFill>
    </fill>
    <fill>
      <patternFill patternType="solid">
        <fgColor rgb="00B45309"/>
        <bgColor rgb="00B45309"/>
      </patternFill>
    </fill>
    <fill>
      <patternFill patternType="solid">
        <fgColor rgb="000F766E"/>
        <bgColor rgb="000F766E"/>
      </patternFill>
    </fill>
    <fill>
      <patternFill patternType="solid">
        <fgColor rgb="000369A1"/>
        <bgColor rgb="000369A1"/>
      </patternFill>
    </fill>
    <fill>
      <patternFill patternType="solid">
        <fgColor rgb="001E40AF"/>
        <bgColor rgb="001E40AF"/>
      </patternFill>
    </fill>
    <fill>
      <patternFill patternType="solid">
        <fgColor rgb="00EFF6FF"/>
        <bgColor rgb="00EFF6FF"/>
      </patternFill>
    </fill>
    <fill>
      <patternFill patternType="solid">
        <fgColor rgb="00F0FDF4"/>
        <bgColor rgb="00F0FDF4"/>
      </patternFill>
    </fill>
    <fill>
      <patternFill patternType="solid">
        <fgColor rgb="00FEF3C7"/>
        <bgColor rgb="00FEF3C7"/>
      </patternFill>
    </fill>
    <fill>
      <patternFill patternType="solid">
        <fgColor rgb="00FFF1F2"/>
        <bgColor rgb="00FFF1F2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double">
        <color rgb="001B365D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9" fillId="24" borderId="1" applyAlignment="1" pivotButton="0" quotePrefix="0" xfId="0">
      <alignment horizontal="center" vertical="center" wrapText="1"/>
    </xf>
    <xf numFmtId="0" fontId="0" fillId="24" borderId="1" pivotButton="0" quotePrefix="0" xfId="0"/>
    <xf numFmtId="0" fontId="9" fillId="25" borderId="1" applyAlignment="1" pivotButton="0" quotePrefix="0" xfId="0">
      <alignment horizontal="center" vertical="center" wrapText="1"/>
    </xf>
    <xf numFmtId="0" fontId="0" fillId="25" borderId="1" pivotButton="0" quotePrefix="0" xfId="0"/>
    <xf numFmtId="0" fontId="9" fillId="26" borderId="1" applyAlignment="1" pivotButton="0" quotePrefix="0" xfId="0">
      <alignment horizontal="center" vertical="center" wrapText="1"/>
    </xf>
    <xf numFmtId="0" fontId="0" fillId="26" borderId="1" pivotButton="0" quotePrefix="0" xfId="0"/>
    <xf numFmtId="0" fontId="9" fillId="27" borderId="1" applyAlignment="1" pivotButton="0" quotePrefix="0" xfId="0">
      <alignment horizontal="center" vertical="center" wrapText="1"/>
    </xf>
    <xf numFmtId="0" fontId="0" fillId="27" borderId="1" pivotButton="0" quotePrefix="0" xfId="0"/>
    <xf numFmtId="3" fontId="10" fillId="24" borderId="1" applyAlignment="1" pivotButton="0" quotePrefix="0" xfId="0">
      <alignment horizontal="center" vertical="center" wrapText="1"/>
    </xf>
    <xf numFmtId="3" fontId="12" fillId="25" borderId="1" applyAlignment="1" pivotButton="0" quotePrefix="0" xfId="0">
      <alignment horizontal="center" vertical="center" wrapText="1"/>
    </xf>
    <xf numFmtId="3" fontId="13" fillId="26" borderId="1" applyAlignment="1" pivotButton="0" quotePrefix="0" xfId="0">
      <alignment horizontal="center" vertical="center" wrapText="1"/>
    </xf>
    <xf numFmtId="3" fontId="14" fillId="27" borderId="1" applyAlignment="1" pivotButton="0" quotePrefix="0" xfId="0">
      <alignment horizontal="center" vertical="center" wrapText="1"/>
    </xf>
    <xf numFmtId="0" fontId="11" fillId="24" borderId="1" applyAlignment="1" pivotButton="0" quotePrefix="0" xfId="0">
      <alignment horizontal="center" vertical="center" wrapText="1"/>
    </xf>
    <xf numFmtId="0" fontId="11" fillId="25" borderId="1" applyAlignment="1" pivotButton="0" quotePrefix="0" xfId="0">
      <alignment horizontal="center" vertical="center" wrapText="1"/>
    </xf>
    <xf numFmtId="0" fontId="11" fillId="26" borderId="1" applyAlignment="1" pivotButton="0" quotePrefix="0" xfId="0">
      <alignment horizontal="center" vertical="center" wrapText="1"/>
    </xf>
    <xf numFmtId="0" fontId="11" fillId="27" borderId="1" applyAlignment="1" pivotButton="0" quotePrefix="0" xfId="0">
      <alignment horizontal="center" vertical="center" wrapText="1"/>
    </xf>
    <xf numFmtId="0" fontId="15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3" fontId="5" fillId="17" borderId="1" pivotButton="0" quotePrefix="0" xfId="0"/>
    <xf numFmtId="3" fontId="6" fillId="18" borderId="1" pivotButton="0" quotePrefix="0" xfId="0"/>
    <xf numFmtId="164" fontId="5" fillId="17" borderId="1" pivotButton="0" quotePrefix="0" xfId="0"/>
    <xf numFmtId="2" fontId="5" fillId="17" borderId="1" pivotButton="0" quotePrefix="0" xfId="0"/>
    <xf numFmtId="0" fontId="5" fillId="19" borderId="1" applyAlignment="1" pivotButton="0" quotePrefix="0" xfId="0">
      <alignment horizontal="center" vertical="center" wrapText="1"/>
    </xf>
    <xf numFmtId="3" fontId="5" fillId="19" borderId="1" pivotButton="0" quotePrefix="0" xfId="0"/>
    <xf numFmtId="164" fontId="5" fillId="19" borderId="1" pivotButton="0" quotePrefix="0" xfId="0"/>
    <xf numFmtId="2" fontId="5" fillId="19" borderId="1" pivotButton="0" quotePrefix="0" xfId="0"/>
    <xf numFmtId="0" fontId="3" fillId="10" borderId="2" applyAlignment="1" pivotButton="0" quotePrefix="0" xfId="0">
      <alignment horizontal="center" vertical="center" wrapText="1"/>
    </xf>
    <xf numFmtId="3" fontId="3" fillId="10" borderId="2" pivotButton="0" quotePrefix="0" xfId="0"/>
    <xf numFmtId="164" fontId="3" fillId="10" borderId="2" pivotButton="0" quotePrefix="0" xfId="0"/>
    <xf numFmtId="2" fontId="3" fillId="10" borderId="2" pivotButton="0" quotePrefix="0" xfId="0"/>
    <xf numFmtId="0" fontId="5" fillId="17" borderId="1" applyAlignment="1" pivotButton="0" quotePrefix="0" xfId="0">
      <alignment horizontal="left" vertical="center"/>
    </xf>
    <xf numFmtId="0" fontId="5" fillId="19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3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3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3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3" fontId="7" fillId="17" borderId="1" pivotButton="0" quotePrefix="0" xfId="0"/>
    <xf numFmtId="3" fontId="7" fillId="19" borderId="1" pivotButton="0" quotePrefix="0" xfId="0"/>
    <xf numFmtId="0" fontId="3" fillId="10" borderId="2" pivotButton="0" quotePrefix="0" xfId="0"/>
    <xf numFmtId="0" fontId="3" fillId="2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4" fillId="22" borderId="1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0" customWidth="1" min="3" max="3"/>
    <col width="18" customWidth="1" min="4" max="4"/>
    <col width="20" customWidth="1" min="5" max="5"/>
    <col width="18" customWidth="1" min="6" max="6"/>
    <col width="15" customWidth="1" min="7" max="7"/>
    <col width="16" customWidth="1" min="8" max="8"/>
    <col width="25" customWidth="1" min="9" max="9"/>
    <col width="16" customWidth="1" min="10" max="10"/>
    <col width="16" customWidth="1" min="11" max="11"/>
  </cols>
  <sheetData>
    <row r="1" ht="24" customHeight="1">
      <c r="A1" s="1" t="inlineStr">
        <is>
          <t>UNIVERSITAS SYIAH KUALA - DASHBOARD EKSEKUTIF DAYA TAMPUNG, PEMINAT &amp; SISA KUOTA</t>
        </is>
      </c>
    </row>
    <row r="2" ht="24" customHeight="1"/>
    <row r="3" ht="18" customHeight="1">
      <c r="A3" s="2" t="inlineStr">
        <is>
          <t>Monitoring Kapasitas Kuota, Daya Serap Mahasiswa Masuk &amp; Beban Sisa Bangku Kosong (2022–2026)</t>
        </is>
      </c>
    </row>
    <row r="5" ht="18" customHeight="1">
      <c r="A5" s="3" t="inlineStr">
        <is>
          <t>TOTAL DAYA TAMPUNG (5-THN)</t>
        </is>
      </c>
      <c r="B5" s="4" t="n"/>
      <c r="D5" s="5" t="inlineStr">
        <is>
          <t>TOTAL PEMINAT (DEMAND)</t>
        </is>
      </c>
      <c r="E5" s="6" t="n"/>
      <c r="G5" s="7" t="inlineStr">
        <is>
          <t>TOTAL MAHASISWA MASUK (DU)</t>
        </is>
      </c>
      <c r="H5" s="8" t="n"/>
      <c r="J5" s="9" t="inlineStr">
        <is>
          <t>TOTAL SISA KUOTA (KOSONG)</t>
        </is>
      </c>
      <c r="K5" s="10" t="n"/>
    </row>
    <row r="6" ht="28" customHeight="1">
      <c r="A6" s="11">
        <f>Rincian_Semua_Tahun!Z87</f>
        <v/>
      </c>
      <c r="B6" s="4" t="n"/>
      <c r="D6" s="12">
        <f>Rincian_Semua_Tahun!AA87</f>
        <v/>
      </c>
      <c r="E6" s="6" t="n"/>
      <c r="G6" s="13">
        <f>Rincian_Semua_Tahun!AB87</f>
        <v/>
      </c>
      <c r="H6" s="8" t="n"/>
      <c r="J6" s="14">
        <f>Rincian_Semua_Tahun!AC87</f>
        <v/>
      </c>
      <c r="K6" s="10" t="n"/>
    </row>
    <row r="7" ht="16" customHeight="1">
      <c r="A7" s="15" t="inlineStr">
        <is>
          <t>Kapasitas Resmi Dibuka (Kursi)</t>
        </is>
      </c>
      <c r="B7" s="4" t="n"/>
      <c r="D7" s="16" t="inlineStr">
        <is>
          <t>Rata Keketatan: 6,22 : 1</t>
        </is>
      </c>
      <c r="E7" s="6" t="n"/>
      <c r="G7" s="17">
        <f>CONCATENATE("Fill Rate: ", TEXT(Rincian_Semua_Tahun!AD87,"0.0"), "%")</f>
        <v/>
      </c>
      <c r="H7" s="8" t="n"/>
      <c r="J7" s="18" t="inlineStr">
        <is>
          <t>23,2% Kuota Tidak Terisi</t>
        </is>
      </c>
      <c r="K7" s="10" t="n"/>
    </row>
    <row r="10" ht="22" customHeight="1">
      <c r="A10" s="19" t="inlineStr">
        <is>
          <t>TABEL 1: TREN TAHUNAN DAYA TAMPUNG, PEMINAT &amp; SISA KUOTA (2022–2026)</t>
        </is>
      </c>
    </row>
    <row r="11" ht="24" customHeight="1">
      <c r="A11" s="20" t="inlineStr">
        <is>
          <t>Tahun Akademik</t>
        </is>
      </c>
      <c r="B11" s="20" t="inlineStr">
        <is>
          <t>Total Daya Tampung</t>
        </is>
      </c>
      <c r="C11" s="20" t="inlineStr">
        <is>
          <t>Total Peminat</t>
        </is>
      </c>
      <c r="D11" s="20" t="inlineStr">
        <is>
          <t>Daftar Ulang (DU)</t>
        </is>
      </c>
      <c r="E11" s="20" t="inlineStr">
        <is>
          <t>Sisa Kuota</t>
        </is>
      </c>
      <c r="F11" s="20" t="inlineStr">
        <is>
          <t>Fill Rate (%)</t>
        </is>
      </c>
      <c r="G11" s="20" t="inlineStr">
        <is>
          <t>Keketatan (x)</t>
        </is>
      </c>
      <c r="H11" s="20" t="inlineStr">
        <is>
          <t>Status Evaluasi</t>
        </is>
      </c>
    </row>
    <row r="12" ht="20" customHeight="1">
      <c r="A12" s="21" t="inlineStr">
        <is>
          <t>2022</t>
        </is>
      </c>
      <c r="B12" s="22">
        <f>Rincian_Semua_Tahun!V87</f>
        <v/>
      </c>
      <c r="C12" s="22">
        <f>Rincian_Semua_Tahun!W87</f>
        <v/>
      </c>
      <c r="D12" s="22">
        <f>Rincian_Semua_Tahun!X87</f>
        <v/>
      </c>
      <c r="E12" s="23">
        <f>Rincian_Semua_Tahun!Y87</f>
        <v/>
      </c>
      <c r="F12" s="24">
        <f>IF(B12&gt;0, (D12/B12)*100, 0)</f>
        <v/>
      </c>
      <c r="G12" s="25">
        <f>IF(B12&gt;0, C12/B12, 0)</f>
        <v/>
      </c>
      <c r="H12" s="21" t="inlineStr">
        <is>
          <t>Batas Ideal</t>
        </is>
      </c>
    </row>
    <row r="13" ht="20" customHeight="1">
      <c r="A13" s="26" t="inlineStr">
        <is>
          <t>2023</t>
        </is>
      </c>
      <c r="B13" s="27">
        <f>Rincian_Semua_Tahun!R87</f>
        <v/>
      </c>
      <c r="C13" s="27">
        <f>Rincian_Semua_Tahun!S87</f>
        <v/>
      </c>
      <c r="D13" s="27">
        <f>Rincian_Semua_Tahun!T87</f>
        <v/>
      </c>
      <c r="E13" s="23">
        <f>Rincian_Semua_Tahun!U87</f>
        <v/>
      </c>
      <c r="F13" s="28">
        <f>IF(B13&gt;0, (D13/B13)*100, 0)</f>
        <v/>
      </c>
      <c r="G13" s="29">
        <f>IF(B13&gt;0, C13/B13, 0)</f>
        <v/>
      </c>
      <c r="H13" s="26" t="inlineStr">
        <is>
          <t>Penurunan Keterisian</t>
        </is>
      </c>
    </row>
    <row r="14" ht="20" customHeight="1">
      <c r="A14" s="21" t="inlineStr">
        <is>
          <t>2024</t>
        </is>
      </c>
      <c r="B14" s="22">
        <f>Rincian_Semua_Tahun!N87</f>
        <v/>
      </c>
      <c r="C14" s="22">
        <f>Rincian_Semua_Tahun!O87</f>
        <v/>
      </c>
      <c r="D14" s="22">
        <f>Rincian_Semua_Tahun!P87</f>
        <v/>
      </c>
      <c r="E14" s="23">
        <f>Rincian_Semua_Tahun!Q87</f>
        <v/>
      </c>
      <c r="F14" s="24">
        <f>IF(B14&gt;0, (D14/B14)*100, 0)</f>
        <v/>
      </c>
      <c r="G14" s="25">
        <f>IF(B14&gt;0, C14/B14, 0)</f>
        <v/>
      </c>
      <c r="H14" s="21" t="inlineStr">
        <is>
          <t>Ekspansi Kuota PTN-BH</t>
        </is>
      </c>
    </row>
    <row r="15" ht="20" customHeight="1">
      <c r="A15" s="26" t="inlineStr">
        <is>
          <t>2025</t>
        </is>
      </c>
      <c r="B15" s="27">
        <f>Rincian_Semua_Tahun!J87</f>
        <v/>
      </c>
      <c r="C15" s="27">
        <f>Rincian_Semua_Tahun!K87</f>
        <v/>
      </c>
      <c r="D15" s="27">
        <f>Rincian_Semua_Tahun!L87</f>
        <v/>
      </c>
      <c r="E15" s="23">
        <f>Rincian_Semua_Tahun!M87</f>
        <v/>
      </c>
      <c r="F15" s="28">
        <f>IF(B15&gt;0, (D15/B15)*100, 0)</f>
        <v/>
      </c>
      <c r="G15" s="29">
        <f>IF(B15&gt;0, C15/B15, 0)</f>
        <v/>
      </c>
      <c r="H15" s="26" t="inlineStr">
        <is>
          <t>Puncak Peminat 70K</t>
        </is>
      </c>
    </row>
    <row r="16" ht="20" customHeight="1">
      <c r="A16" s="21" t="inlineStr">
        <is>
          <t>2026</t>
        </is>
      </c>
      <c r="B16" s="22">
        <f>Rincian_Semua_Tahun!F87</f>
        <v/>
      </c>
      <c r="C16" s="22">
        <f>Rincian_Semua_Tahun!G87</f>
        <v/>
      </c>
      <c r="D16" s="22">
        <f>Rincian_Semua_Tahun!H87</f>
        <v/>
      </c>
      <c r="E16" s="23">
        <f>Rincian_Semua_Tahun!I87</f>
        <v/>
      </c>
      <c r="F16" s="24">
        <f>IF(B16&gt;0, (D16/B16)*100, 0)</f>
        <v/>
      </c>
      <c r="G16" s="25">
        <f>IF(B16&gt;0, C16/B16, 0)</f>
        <v/>
      </c>
      <c r="H16" s="21" t="inlineStr">
        <is>
          <t>Realisasi Tertinggi DU 8.3K</t>
        </is>
      </c>
    </row>
    <row r="17" ht="22" customHeight="1">
      <c r="A17" s="30" t="inlineStr">
        <is>
          <t>TOTAL 5 TAHUN</t>
        </is>
      </c>
      <c r="B17" s="31">
        <f>SUM(B12:B16)</f>
        <v/>
      </c>
      <c r="C17" s="31">
        <f>SUM(C12:C16)</f>
        <v/>
      </c>
      <c r="D17" s="31">
        <f>SUM(D12:D16)</f>
        <v/>
      </c>
      <c r="E17" s="31">
        <f>SUM(E12:E16)</f>
        <v/>
      </c>
      <c r="F17" s="32">
        <f>IF(B17&gt;0, (D17/B17)*100, 0)</f>
        <v/>
      </c>
      <c r="G17" s="33">
        <f>IF(B17&gt;0, C17/B17, 0)</f>
        <v/>
      </c>
      <c r="H17" s="30" t="inlineStr">
        <is>
          <t>76,8% Keterisian Kumulatif</t>
        </is>
      </c>
    </row>
    <row r="19" ht="22" customHeight="1">
      <c r="A19" s="19" t="inlineStr">
        <is>
          <t>TABEL 2: REKAPITULASI KAPASITAS &amp; SISA KUOTA PER FAKULTAS (2022–2026)</t>
        </is>
      </c>
    </row>
    <row r="20" ht="24" customHeight="1">
      <c r="A20" s="20" t="inlineStr">
        <is>
          <t>Fakultas / Unit</t>
        </is>
      </c>
      <c r="B20" s="20" t="inlineStr">
        <is>
          <t>Jumlah Prodi</t>
        </is>
      </c>
      <c r="C20" s="20" t="inlineStr">
        <is>
          <t>Total Daya Tampung</t>
        </is>
      </c>
      <c r="D20" s="20" t="inlineStr">
        <is>
          <t>Total Peminat</t>
        </is>
      </c>
      <c r="E20" s="20" t="inlineStr">
        <is>
          <t>Total Daftar Ulang</t>
        </is>
      </c>
      <c r="F20" s="20" t="inlineStr">
        <is>
          <t>Total Sisa Kuota</t>
        </is>
      </c>
      <c r="G20" s="20" t="inlineStr">
        <is>
          <t>Fill Rate (%)</t>
        </is>
      </c>
      <c r="H20" s="20" t="inlineStr">
        <is>
          <t>Keketatan (x)</t>
        </is>
      </c>
      <c r="I20" s="20" t="inlineStr">
        <is>
          <t>Evaluasi Portofolio</t>
        </is>
      </c>
    </row>
    <row r="21" ht="20" customHeight="1">
      <c r="A21" s="34" t="inlineStr">
        <is>
          <t>Kedokteran Gigi</t>
        </is>
      </c>
      <c r="B21" s="21">
        <f>COUNTIF(Rincian_Semua_Tahun!$E$6:$E$86, "Kedokteran Gigi")</f>
        <v/>
      </c>
      <c r="C21" s="22">
        <f>SUMIF(Rincian_Semua_Tahun!$E$6:$E$86, "Kedokteran Gigi", Rincian_Semua_Tahun!$Z$6:$Z$86)</f>
        <v/>
      </c>
      <c r="D21" s="22">
        <f>SUMIF(Rincian_Semua_Tahun!$E$6:$E$86, "Kedokteran Gigi", Rincian_Semua_Tahun!$AA$6:$AA$86)</f>
        <v/>
      </c>
      <c r="E21" s="22">
        <f>SUMIF(Rincian_Semua_Tahun!$E$6:$E$86, "Kedokteran Gigi", Rincian_Semua_Tahun!$AB$6:$AB$86)</f>
        <v/>
      </c>
      <c r="F21" s="23">
        <f>SUMIF(Rincian_Semua_Tahun!$E$6:$E$86, "Kedokteran Gigi", Rincian_Semua_Tahun!$AC$6:$AC$86)</f>
        <v/>
      </c>
      <c r="G21" s="24">
        <f>IF(C21&gt;0, (E21/C21)*100, 0)</f>
        <v/>
      </c>
      <c r="H21" s="25">
        <f>IF(C21&gt;0, D21/C21, 0)</f>
        <v/>
      </c>
      <c r="I21" s="21" t="inlineStr">
        <is>
          <t>Prima (Zero Deficit)</t>
        </is>
      </c>
    </row>
    <row r="22" ht="20" customHeight="1">
      <c r="A22" s="35" t="inlineStr">
        <is>
          <t>Hukum</t>
        </is>
      </c>
      <c r="B22" s="26">
        <f>COUNTIF(Rincian_Semua_Tahun!$E$6:$E$86, "Hukum")</f>
        <v/>
      </c>
      <c r="C22" s="27">
        <f>SUMIF(Rincian_Semua_Tahun!$E$6:$E$86, "Hukum", Rincian_Semua_Tahun!$Z$6:$Z$86)</f>
        <v/>
      </c>
      <c r="D22" s="27">
        <f>SUMIF(Rincian_Semua_Tahun!$E$6:$E$86, "Hukum", Rincian_Semua_Tahun!$AA$6:$AA$86)</f>
        <v/>
      </c>
      <c r="E22" s="27">
        <f>SUMIF(Rincian_Semua_Tahun!$E$6:$E$86, "Hukum", Rincian_Semua_Tahun!$AB$6:$AB$86)</f>
        <v/>
      </c>
      <c r="F22" s="23">
        <f>SUMIF(Rincian_Semua_Tahun!$E$6:$E$86, "Hukum", Rincian_Semua_Tahun!$AC$6:$AC$86)</f>
        <v/>
      </c>
      <c r="G22" s="28">
        <f>IF(C22&gt;0, (E22/C22)*100, 0)</f>
        <v/>
      </c>
      <c r="H22" s="29">
        <f>IF(C22&gt;0, D22/C22, 0)</f>
        <v/>
      </c>
      <c r="I22" s="26" t="inlineStr">
        <is>
          <t>Prima (Sangat Stabil)</t>
        </is>
      </c>
    </row>
    <row r="23" ht="20" customHeight="1">
      <c r="A23" s="34" t="inlineStr">
        <is>
          <t>Kedokteran</t>
        </is>
      </c>
      <c r="B23" s="21">
        <f>COUNTIF(Rincian_Semua_Tahun!$E$6:$E$86, "Kedokteran")</f>
        <v/>
      </c>
      <c r="C23" s="22">
        <f>SUMIF(Rincian_Semua_Tahun!$E$6:$E$86, "Kedokteran", Rincian_Semua_Tahun!$Z$6:$Z$86)</f>
        <v/>
      </c>
      <c r="D23" s="22">
        <f>SUMIF(Rincian_Semua_Tahun!$E$6:$E$86, "Kedokteran", Rincian_Semua_Tahun!$AA$6:$AA$86)</f>
        <v/>
      </c>
      <c r="E23" s="22">
        <f>SUMIF(Rincian_Semua_Tahun!$E$6:$E$86, "Kedokteran", Rincian_Semua_Tahun!$AB$6:$AB$86)</f>
        <v/>
      </c>
      <c r="F23" s="23">
        <f>SUMIF(Rincian_Semua_Tahun!$E$6:$E$86, "Kedokteran", Rincian_Semua_Tahun!$AC$6:$AC$86)</f>
        <v/>
      </c>
      <c r="G23" s="24">
        <f>IF(C23&gt;0, (E23/C23)*100, 0)</f>
        <v/>
      </c>
      <c r="H23" s="25">
        <f>IF(C23&gt;0, D23/C23, 0)</f>
        <v/>
      </c>
      <c r="I23" s="21" t="inlineStr">
        <is>
          <t>Prima (Favorit Tinggi)</t>
        </is>
      </c>
    </row>
    <row r="24" ht="20" customHeight="1">
      <c r="A24" s="35" t="inlineStr">
        <is>
          <t>Kedokteran Hewan</t>
        </is>
      </c>
      <c r="B24" s="26">
        <f>COUNTIF(Rincian_Semua_Tahun!$E$6:$E$86, "Kedokteran Hewan")</f>
        <v/>
      </c>
      <c r="C24" s="27">
        <f>SUMIF(Rincian_Semua_Tahun!$E$6:$E$86, "Kedokteran Hewan", Rincian_Semua_Tahun!$Z$6:$Z$86)</f>
        <v/>
      </c>
      <c r="D24" s="27">
        <f>SUMIF(Rincian_Semua_Tahun!$E$6:$E$86, "Kedokteran Hewan", Rincian_Semua_Tahun!$AA$6:$AA$86)</f>
        <v/>
      </c>
      <c r="E24" s="27">
        <f>SUMIF(Rincian_Semua_Tahun!$E$6:$E$86, "Kedokteran Hewan", Rincian_Semua_Tahun!$AB$6:$AB$86)</f>
        <v/>
      </c>
      <c r="F24" s="23">
        <f>SUMIF(Rincian_Semua_Tahun!$E$6:$E$86, "Kedokteran Hewan", Rincian_Semua_Tahun!$AC$6:$AC$86)</f>
        <v/>
      </c>
      <c r="G24" s="28">
        <f>IF(C24&gt;0, (E24/C24)*100, 0)</f>
        <v/>
      </c>
      <c r="H24" s="29">
        <f>IF(C24&gt;0, D24/C24, 0)</f>
        <v/>
      </c>
      <c r="I24" s="26" t="inlineStr">
        <is>
          <t>Ideal Konsisten</t>
        </is>
      </c>
    </row>
    <row r="25" ht="20" customHeight="1">
      <c r="A25" s="34" t="inlineStr">
        <is>
          <t>Ekonomi dan Bisnis</t>
        </is>
      </c>
      <c r="B25" s="21">
        <f>COUNTIF(Rincian_Semua_Tahun!$E$6:$E$86, "Ekonomi dan Bisnis")</f>
        <v/>
      </c>
      <c r="C25" s="22">
        <f>SUMIF(Rincian_Semua_Tahun!$E$6:$E$86, "Ekonomi dan Bisnis", Rincian_Semua_Tahun!$Z$6:$Z$86)</f>
        <v/>
      </c>
      <c r="D25" s="22">
        <f>SUMIF(Rincian_Semua_Tahun!$E$6:$E$86, "Ekonomi dan Bisnis", Rincian_Semua_Tahun!$AA$6:$AA$86)</f>
        <v/>
      </c>
      <c r="E25" s="22">
        <f>SUMIF(Rincian_Semua_Tahun!$E$6:$E$86, "Ekonomi dan Bisnis", Rincian_Semua_Tahun!$AB$6:$AB$86)</f>
        <v/>
      </c>
      <c r="F25" s="23">
        <f>SUMIF(Rincian_Semua_Tahun!$E$6:$E$86, "Ekonomi dan Bisnis", Rincian_Semua_Tahun!$AC$6:$AC$86)</f>
        <v/>
      </c>
      <c r="G25" s="24">
        <f>IF(C25&gt;0, (E25/C25)*100, 0)</f>
        <v/>
      </c>
      <c r="H25" s="25">
        <f>IF(C25&gt;0, D25/C25, 0)</f>
        <v/>
      </c>
      <c r="I25" s="21" t="inlineStr">
        <is>
          <t>Ideal Bertumbuh</t>
        </is>
      </c>
    </row>
    <row r="26" ht="20" customHeight="1">
      <c r="A26" s="35" t="inlineStr">
        <is>
          <t>FISIP</t>
        </is>
      </c>
      <c r="B26" s="26">
        <f>COUNTIF(Rincian_Semua_Tahun!$E$6:$E$86, "FISIP")</f>
        <v/>
      </c>
      <c r="C26" s="27">
        <f>SUMIF(Rincian_Semua_Tahun!$E$6:$E$86, "FISIP", Rincian_Semua_Tahun!$Z$6:$Z$86)</f>
        <v/>
      </c>
      <c r="D26" s="27">
        <f>SUMIF(Rincian_Semua_Tahun!$E$6:$E$86, "FISIP", Rincian_Semua_Tahun!$AA$6:$AA$86)</f>
        <v/>
      </c>
      <c r="E26" s="27">
        <f>SUMIF(Rincian_Semua_Tahun!$E$6:$E$86, "FISIP", Rincian_Semua_Tahun!$AB$6:$AB$86)</f>
        <v/>
      </c>
      <c r="F26" s="23">
        <f>SUMIF(Rincian_Semua_Tahun!$E$6:$E$86, "FISIP", Rincian_Semua_Tahun!$AC$6:$AC$86)</f>
        <v/>
      </c>
      <c r="G26" s="28">
        <f>IF(C26&gt;0, (E26/C26)*100, 0)</f>
        <v/>
      </c>
      <c r="H26" s="29">
        <f>IF(C26&gt;0, D26/C26, 0)</f>
        <v/>
      </c>
      <c r="I26" s="26" t="inlineStr">
        <is>
          <t>Ideal Stabil</t>
        </is>
      </c>
    </row>
    <row r="27" ht="20" customHeight="1">
      <c r="A27" s="34" t="inlineStr">
        <is>
          <t>Keperawatan</t>
        </is>
      </c>
      <c r="B27" s="21">
        <f>COUNTIF(Rincian_Semua_Tahun!$E$6:$E$86, "Keperawatan")</f>
        <v/>
      </c>
      <c r="C27" s="22">
        <f>SUMIF(Rincian_Semua_Tahun!$E$6:$E$86, "Keperawatan", Rincian_Semua_Tahun!$Z$6:$Z$86)</f>
        <v/>
      </c>
      <c r="D27" s="22">
        <f>SUMIF(Rincian_Semua_Tahun!$E$6:$E$86, "Keperawatan", Rincian_Semua_Tahun!$AA$6:$AA$86)</f>
        <v/>
      </c>
      <c r="E27" s="22">
        <f>SUMIF(Rincian_Semua_Tahun!$E$6:$E$86, "Keperawatan", Rincian_Semua_Tahun!$AB$6:$AB$86)</f>
        <v/>
      </c>
      <c r="F27" s="23">
        <f>SUMIF(Rincian_Semua_Tahun!$E$6:$E$86, "Keperawatan", Rincian_Semua_Tahun!$AC$6:$AC$86)</f>
        <v/>
      </c>
      <c r="G27" s="24">
        <f>IF(C27&gt;0, (E27/C27)*100, 0)</f>
        <v/>
      </c>
      <c r="H27" s="25">
        <f>IF(C27&gt;0, D27/C27, 0)</f>
        <v/>
      </c>
      <c r="I27" s="21" t="inlineStr">
        <is>
          <t>Ideal Moderat</t>
        </is>
      </c>
    </row>
    <row r="28" ht="20" customHeight="1">
      <c r="A28" s="35" t="inlineStr">
        <is>
          <t>MIPA</t>
        </is>
      </c>
      <c r="B28" s="26">
        <f>COUNTIF(Rincian_Semua_Tahun!$E$6:$E$86, "MIPA")</f>
        <v/>
      </c>
      <c r="C28" s="27">
        <f>SUMIF(Rincian_Semua_Tahun!$E$6:$E$86, "MIPA", Rincian_Semua_Tahun!$Z$6:$Z$86)</f>
        <v/>
      </c>
      <c r="D28" s="27">
        <f>SUMIF(Rincian_Semua_Tahun!$E$6:$E$86, "MIPA", Rincian_Semua_Tahun!$AA$6:$AA$86)</f>
        <v/>
      </c>
      <c r="E28" s="27">
        <f>SUMIF(Rincian_Semua_Tahun!$E$6:$E$86, "MIPA", Rincian_Semua_Tahun!$AB$6:$AB$86)</f>
        <v/>
      </c>
      <c r="F28" s="23">
        <f>SUMIF(Rincian_Semua_Tahun!$E$6:$E$86, "MIPA", Rincian_Semua_Tahun!$AC$6:$AC$86)</f>
        <v/>
      </c>
      <c r="G28" s="28">
        <f>IF(C28&gt;0, (E28/C28)*100, 0)</f>
        <v/>
      </c>
      <c r="H28" s="29">
        <f>IF(C28&gt;0, D28/C28, 0)</f>
        <v/>
      </c>
      <c r="I28" s="26" t="inlineStr">
        <is>
          <t>Rentan (&lt;80%)</t>
        </is>
      </c>
    </row>
    <row r="29" ht="20" customHeight="1">
      <c r="A29" s="34" t="inlineStr">
        <is>
          <t>Teknik</t>
        </is>
      </c>
      <c r="B29" s="21">
        <f>COUNTIF(Rincian_Semua_Tahun!$E$6:$E$86, "Teknik")</f>
        <v/>
      </c>
      <c r="C29" s="22">
        <f>SUMIF(Rincian_Semua_Tahun!$E$6:$E$86, "Teknik", Rincian_Semua_Tahun!$Z$6:$Z$86)</f>
        <v/>
      </c>
      <c r="D29" s="22">
        <f>SUMIF(Rincian_Semua_Tahun!$E$6:$E$86, "Teknik", Rincian_Semua_Tahun!$AA$6:$AA$86)</f>
        <v/>
      </c>
      <c r="E29" s="22">
        <f>SUMIF(Rincian_Semua_Tahun!$E$6:$E$86, "Teknik", Rincian_Semua_Tahun!$AB$6:$AB$86)</f>
        <v/>
      </c>
      <c r="F29" s="23">
        <f>SUMIF(Rincian_Semua_Tahun!$E$6:$E$86, "Teknik", Rincian_Semua_Tahun!$AC$6:$AC$86)</f>
        <v/>
      </c>
      <c r="G29" s="24">
        <f>IF(C29&gt;0, (E29/C29)*100, 0)</f>
        <v/>
      </c>
      <c r="H29" s="25">
        <f>IF(C29&gt;0, D29/C29, 0)</f>
        <v/>
      </c>
      <c r="I29" s="21" t="inlineStr">
        <is>
          <t>Defisit Kuota Masif</t>
        </is>
      </c>
    </row>
    <row r="30" ht="20" customHeight="1">
      <c r="A30" s="35" t="inlineStr">
        <is>
          <t>FKIP</t>
        </is>
      </c>
      <c r="B30" s="26">
        <f>COUNTIF(Rincian_Semua_Tahun!$E$6:$E$86, "FKIP")</f>
        <v/>
      </c>
      <c r="C30" s="27">
        <f>SUMIF(Rincian_Semua_Tahun!$E$6:$E$86, "FKIP", Rincian_Semua_Tahun!$Z$6:$Z$86)</f>
        <v/>
      </c>
      <c r="D30" s="27">
        <f>SUMIF(Rincian_Semua_Tahun!$E$6:$E$86, "FKIP", Rincian_Semua_Tahun!$AA$6:$AA$86)</f>
        <v/>
      </c>
      <c r="E30" s="27">
        <f>SUMIF(Rincian_Semua_Tahun!$E$6:$E$86, "FKIP", Rincian_Semua_Tahun!$AB$6:$AB$86)</f>
        <v/>
      </c>
      <c r="F30" s="23">
        <f>SUMIF(Rincian_Semua_Tahun!$E$6:$E$86, "FKIP", Rincian_Semua_Tahun!$AC$6:$AC$86)</f>
        <v/>
      </c>
      <c r="G30" s="28">
        <f>IF(C30&gt;0, (E30/C30)*100, 0)</f>
        <v/>
      </c>
      <c r="H30" s="29">
        <f>IF(C30&gt;0, D30/C30, 0)</f>
        <v/>
      </c>
      <c r="I30" s="26" t="inlineStr">
        <is>
          <t>Episentrum Sisa Kuota</t>
        </is>
      </c>
    </row>
    <row r="31" ht="20" customHeight="1">
      <c r="A31" s="34" t="inlineStr">
        <is>
          <t>Pertanian</t>
        </is>
      </c>
      <c r="B31" s="21">
        <f>COUNTIF(Rincian_Semua_Tahun!$E$6:$E$86, "Pertanian")</f>
        <v/>
      </c>
      <c r="C31" s="22">
        <f>SUMIF(Rincian_Semua_Tahun!$E$6:$E$86, "Pertanian", Rincian_Semua_Tahun!$Z$6:$Z$86)</f>
        <v/>
      </c>
      <c r="D31" s="22">
        <f>SUMIF(Rincian_Semua_Tahun!$E$6:$E$86, "Pertanian", Rincian_Semua_Tahun!$AA$6:$AA$86)</f>
        <v/>
      </c>
      <c r="E31" s="22">
        <f>SUMIF(Rincian_Semua_Tahun!$E$6:$E$86, "Pertanian", Rincian_Semua_Tahun!$AB$6:$AB$86)</f>
        <v/>
      </c>
      <c r="F31" s="23">
        <f>SUMIF(Rincian_Semua_Tahun!$E$6:$E$86, "Pertanian", Rincian_Semua_Tahun!$AC$6:$AC$86)</f>
        <v/>
      </c>
      <c r="G31" s="24">
        <f>IF(C31&gt;0, (E31/C31)*100, 0)</f>
        <v/>
      </c>
      <c r="H31" s="25">
        <f>IF(C31&gt;0, D31/C31, 0)</f>
        <v/>
      </c>
      <c r="I31" s="21" t="inlineStr">
        <is>
          <t>Krisis Kronis</t>
        </is>
      </c>
    </row>
    <row r="32" ht="20" customHeight="1">
      <c r="A32" s="35" t="inlineStr">
        <is>
          <t>Kelautan dan Perikanan</t>
        </is>
      </c>
      <c r="B32" s="26">
        <f>COUNTIF(Rincian_Semua_Tahun!$E$6:$E$86, "Kelautan dan Perikanan")</f>
        <v/>
      </c>
      <c r="C32" s="27">
        <f>SUMIF(Rincian_Semua_Tahun!$E$6:$E$86, "Kelautan dan Perikanan", Rincian_Semua_Tahun!$Z$6:$Z$86)</f>
        <v/>
      </c>
      <c r="D32" s="27">
        <f>SUMIF(Rincian_Semua_Tahun!$E$6:$E$86, "Kelautan dan Perikanan", Rincian_Semua_Tahun!$AA$6:$AA$86)</f>
        <v/>
      </c>
      <c r="E32" s="27">
        <f>SUMIF(Rincian_Semua_Tahun!$E$6:$E$86, "Kelautan dan Perikanan", Rincian_Semua_Tahun!$AB$6:$AB$86)</f>
        <v/>
      </c>
      <c r="F32" s="23">
        <f>SUMIF(Rincian_Semua_Tahun!$E$6:$E$86, "Kelautan dan Perikanan", Rincian_Semua_Tahun!$AC$6:$AC$86)</f>
        <v/>
      </c>
      <c r="G32" s="28">
        <f>IF(C32&gt;0, (E32/C32)*100, 0)</f>
        <v/>
      </c>
      <c r="H32" s="29">
        <f>IF(C32&gt;0, D32/C32, 0)</f>
        <v/>
      </c>
      <c r="I32" s="26" t="inlineStr">
        <is>
          <t>Kritis Akut (&lt;65%)</t>
        </is>
      </c>
    </row>
    <row r="33" ht="22" customHeight="1">
      <c r="A33" s="30" t="inlineStr">
        <is>
          <t>TOTAL SELURUH FAKULTAS</t>
        </is>
      </c>
      <c r="B33" s="31">
        <f>SUM(B21:B32)</f>
        <v/>
      </c>
      <c r="C33" s="31">
        <f>SUM(C21:C32)</f>
        <v/>
      </c>
      <c r="D33" s="31">
        <f>SUM(D21:D32)</f>
        <v/>
      </c>
      <c r="E33" s="31">
        <f>SUM(E21:E32)</f>
        <v/>
      </c>
      <c r="F33" s="31">
        <f>SUM(F21:F32)</f>
        <v/>
      </c>
      <c r="G33" s="32">
        <f>IF(C33&gt;0, (E33/C33)*100, 0)</f>
        <v/>
      </c>
      <c r="H33" s="33">
        <f>IF(C33&gt;0, D33/C33, 0)</f>
        <v/>
      </c>
      <c r="I33" s="30" t="inlineStr">
        <is>
          <t>Benchmark Kampus</t>
        </is>
      </c>
    </row>
  </sheetData>
  <mergeCells count="14">
    <mergeCell ref="D6:E6"/>
    <mergeCell ref="D7:E7"/>
    <mergeCell ref="A7:B7"/>
    <mergeCell ref="A3:K3"/>
    <mergeCell ref="G7:H7"/>
    <mergeCell ref="J5:K5"/>
    <mergeCell ref="J6:K6"/>
    <mergeCell ref="D5:E5"/>
    <mergeCell ref="A5:B5"/>
    <mergeCell ref="G5:H5"/>
    <mergeCell ref="J7:K7"/>
    <mergeCell ref="G6:H6"/>
    <mergeCell ref="A6:B6"/>
    <mergeCell ref="A1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7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38" customWidth="1" min="3" max="3"/>
    <col width="11" customWidth="1" min="4" max="4"/>
    <col width="2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" customHeight="1">
      <c r="A1" s="1" t="inlineStr">
        <is>
          <t>REKAPITULASI DAYA TAMPUNG, PEMINAT &amp; SISA KUOTA UNIVERSITAS SYIAH KUALA (2022–2026)</t>
        </is>
      </c>
    </row>
    <row r="2" ht="24" customHeight="1"/>
    <row r="3" ht="18" customHeight="1">
      <c r="A3" s="2" t="inlineStr">
        <is>
          <t>Sumber: Database Master PMB USK | Formula Sisa Kuota = Total Daya Tampung - Total Daftar Ulang</t>
        </is>
      </c>
    </row>
    <row r="4" ht="25" customHeight="1">
      <c r="A4" s="36" t="inlineStr">
        <is>
          <t>IDENTITAS PROGRAM STUDI</t>
        </is>
      </c>
      <c r="B4" s="37" t="n"/>
      <c r="C4" s="37" t="n"/>
      <c r="D4" s="37" t="n"/>
      <c r="E4" s="37" t="n"/>
      <c r="F4" s="38" t="inlineStr">
        <is>
          <t>TAHUN 2026</t>
        </is>
      </c>
      <c r="G4" s="39" t="n"/>
      <c r="H4" s="39" t="n"/>
      <c r="I4" s="39" t="n"/>
      <c r="J4" s="40" t="inlineStr">
        <is>
          <t>TAHUN 2025</t>
        </is>
      </c>
      <c r="K4" s="41" t="n"/>
      <c r="L4" s="41" t="n"/>
      <c r="M4" s="41" t="n"/>
      <c r="N4" s="42" t="inlineStr">
        <is>
          <t>TAHUN 2024</t>
        </is>
      </c>
      <c r="O4" s="43" t="n"/>
      <c r="P4" s="43" t="n"/>
      <c r="Q4" s="43" t="n"/>
      <c r="R4" s="44" t="inlineStr">
        <is>
          <t>TAHUN 2023</t>
        </is>
      </c>
      <c r="S4" s="45" t="n"/>
      <c r="T4" s="45" t="n"/>
      <c r="U4" s="45" t="n"/>
      <c r="V4" s="46" t="inlineStr">
        <is>
          <t>TAHUN 2022</t>
        </is>
      </c>
      <c r="W4" s="47" t="n"/>
      <c r="X4" s="47" t="n"/>
      <c r="Y4" s="47" t="n"/>
      <c r="Z4" s="48" t="inlineStr">
        <is>
          <t>TOTAL AKUMULASI 5 TAHUN (2022–2026)</t>
        </is>
      </c>
      <c r="AA4" s="49" t="n"/>
      <c r="AB4" s="49" t="n"/>
      <c r="AC4" s="49" t="n"/>
      <c r="AD4" s="49" t="n"/>
      <c r="AE4" s="49" t="n"/>
    </row>
    <row r="5" ht="25" customHeight="1">
      <c r="A5" s="50" t="inlineStr">
        <is>
          <t>No</t>
        </is>
      </c>
      <c r="B5" s="50" t="inlineStr">
        <is>
          <t>Kode Prodi</t>
        </is>
      </c>
      <c r="C5" s="50" t="inlineStr">
        <is>
          <t>Nama Program Studi</t>
        </is>
      </c>
      <c r="D5" s="50" t="inlineStr">
        <is>
          <t>Jenjang</t>
        </is>
      </c>
      <c r="E5" s="50" t="inlineStr">
        <is>
          <t>Fakultas</t>
        </is>
      </c>
      <c r="F5" s="51" t="inlineStr">
        <is>
          <t>Total DT</t>
        </is>
      </c>
      <c r="G5" s="51" t="inlineStr">
        <is>
          <t>Peminat</t>
        </is>
      </c>
      <c r="H5" s="51" t="inlineStr">
        <is>
          <t>Daftar Ulang</t>
        </is>
      </c>
      <c r="I5" s="52" t="inlineStr">
        <is>
          <t>Sisa Kuota</t>
        </is>
      </c>
      <c r="J5" s="53" t="inlineStr">
        <is>
          <t>Total DT</t>
        </is>
      </c>
      <c r="K5" s="53" t="inlineStr">
        <is>
          <t>Peminat</t>
        </is>
      </c>
      <c r="L5" s="53" t="inlineStr">
        <is>
          <t>Daftar Ulang</t>
        </is>
      </c>
      <c r="M5" s="52" t="inlineStr">
        <is>
          <t>Sisa Kuota</t>
        </is>
      </c>
      <c r="N5" s="54" t="inlineStr">
        <is>
          <t>Total DT</t>
        </is>
      </c>
      <c r="O5" s="54" t="inlineStr">
        <is>
          <t>Peminat</t>
        </is>
      </c>
      <c r="P5" s="54" t="inlineStr">
        <is>
          <t>Daftar Ulang</t>
        </is>
      </c>
      <c r="Q5" s="52" t="inlineStr">
        <is>
          <t>Sisa Kuota</t>
        </is>
      </c>
      <c r="R5" s="55" t="inlineStr">
        <is>
          <t>Total DT</t>
        </is>
      </c>
      <c r="S5" s="55" t="inlineStr">
        <is>
          <t>Peminat</t>
        </is>
      </c>
      <c r="T5" s="55" t="inlineStr">
        <is>
          <t>Daftar Ulang</t>
        </is>
      </c>
      <c r="U5" s="52" t="inlineStr">
        <is>
          <t>Sisa Kuota</t>
        </is>
      </c>
      <c r="V5" s="56" t="inlineStr">
        <is>
          <t>Total DT</t>
        </is>
      </c>
      <c r="W5" s="56" t="inlineStr">
        <is>
          <t>Peminat</t>
        </is>
      </c>
      <c r="X5" s="56" t="inlineStr">
        <is>
          <t>Daftar Ulang</t>
        </is>
      </c>
      <c r="Y5" s="52" t="inlineStr">
        <is>
          <t>Sisa Kuota</t>
        </is>
      </c>
      <c r="Z5" s="57" t="inlineStr">
        <is>
          <t>Total DT</t>
        </is>
      </c>
      <c r="AA5" s="57" t="inlineStr">
        <is>
          <t>Total Peminat</t>
        </is>
      </c>
      <c r="AB5" s="57" t="inlineStr">
        <is>
          <t>Total DU</t>
        </is>
      </c>
      <c r="AC5" s="58" t="inlineStr">
        <is>
          <t>Total Sisa</t>
        </is>
      </c>
      <c r="AD5" s="57" t="inlineStr">
        <is>
          <t>Fill Rate %</t>
        </is>
      </c>
      <c r="AE5" s="57" t="inlineStr">
        <is>
          <t>Keketatan</t>
        </is>
      </c>
    </row>
    <row r="6" ht="20" customHeight="1">
      <c r="A6" s="21" t="n">
        <v>1</v>
      </c>
      <c r="B6" s="21" t="inlineStr">
        <is>
          <t>0210101</t>
        </is>
      </c>
      <c r="C6" s="34" t="inlineStr">
        <is>
          <t>PENDIDIKAN DOKTER HEWAN</t>
        </is>
      </c>
      <c r="D6" s="21" t="inlineStr">
        <is>
          <t>S1</t>
        </is>
      </c>
      <c r="E6" s="34" t="inlineStr">
        <is>
          <t>Kedokteran Hewan</t>
        </is>
      </c>
      <c r="F6" s="22" t="n">
        <v>240</v>
      </c>
      <c r="G6" s="22" t="n">
        <v>897</v>
      </c>
      <c r="H6" s="22" t="n">
        <v>224</v>
      </c>
      <c r="I6" s="23">
        <f>F6-H6</f>
        <v/>
      </c>
      <c r="J6" s="22" t="n">
        <v>240</v>
      </c>
      <c r="K6" s="22" t="n">
        <v>1010</v>
      </c>
      <c r="L6" s="22" t="n">
        <v>227</v>
      </c>
      <c r="M6" s="23">
        <f>J6-L6</f>
        <v/>
      </c>
      <c r="N6" s="22" t="n">
        <v>240</v>
      </c>
      <c r="O6" s="22" t="n">
        <v>984</v>
      </c>
      <c r="P6" s="22" t="n">
        <v>219</v>
      </c>
      <c r="Q6" s="23">
        <f>N6-P6</f>
        <v/>
      </c>
      <c r="R6" s="22" t="n">
        <v>200</v>
      </c>
      <c r="S6" s="22" t="n">
        <v>952</v>
      </c>
      <c r="T6" s="22" t="n">
        <v>174</v>
      </c>
      <c r="U6" s="23">
        <f>R6-T6</f>
        <v/>
      </c>
      <c r="V6" s="22" t="n">
        <v>220</v>
      </c>
      <c r="W6" s="22" t="n">
        <v>1344</v>
      </c>
      <c r="X6" s="22" t="n">
        <v>193</v>
      </c>
      <c r="Y6" s="23">
        <f>V6-X6</f>
        <v/>
      </c>
      <c r="Z6" s="59">
        <f>F6+J6+N6+R6+V6</f>
        <v/>
      </c>
      <c r="AA6" s="59">
        <f>G6+K6+O6+S6+W6</f>
        <v/>
      </c>
      <c r="AB6" s="59">
        <f>H6+L6+P6+T6+X6</f>
        <v/>
      </c>
      <c r="AC6" s="59">
        <f>I6+M6+Q6+U6+Y6</f>
        <v/>
      </c>
      <c r="AD6" s="24">
        <f>IF(Z6&gt;0, (AB6/Z6)*100, 0)</f>
        <v/>
      </c>
      <c r="AE6" s="25">
        <f>IF(Z6&gt;0, AA6/Z6, 0)</f>
        <v/>
      </c>
    </row>
    <row r="7" ht="20" customHeight="1">
      <c r="A7" s="26" t="n">
        <v>2</v>
      </c>
      <c r="B7" s="26" t="inlineStr">
        <is>
          <t>0400101</t>
        </is>
      </c>
      <c r="C7" s="35" t="inlineStr">
        <is>
          <t>TEKNIK SIPIL</t>
        </is>
      </c>
      <c r="D7" s="26" t="inlineStr">
        <is>
          <t>S1</t>
        </is>
      </c>
      <c r="E7" s="35" t="inlineStr">
        <is>
          <t>Teknik</t>
        </is>
      </c>
      <c r="F7" s="27" t="n">
        <v>280</v>
      </c>
      <c r="G7" s="27" t="n">
        <v>1416</v>
      </c>
      <c r="H7" s="27" t="n">
        <v>252</v>
      </c>
      <c r="I7" s="23">
        <f>F7-H7</f>
        <v/>
      </c>
      <c r="J7" s="27" t="n">
        <v>280</v>
      </c>
      <c r="K7" s="27" t="n">
        <v>1409</v>
      </c>
      <c r="L7" s="27" t="n">
        <v>232</v>
      </c>
      <c r="M7" s="23">
        <f>J7-L7</f>
        <v/>
      </c>
      <c r="N7" s="27" t="n">
        <v>280</v>
      </c>
      <c r="O7" s="27" t="n">
        <v>1305</v>
      </c>
      <c r="P7" s="27" t="n">
        <v>223</v>
      </c>
      <c r="Q7" s="23">
        <f>N7-P7</f>
        <v/>
      </c>
      <c r="R7" s="27" t="n">
        <v>215</v>
      </c>
      <c r="S7" s="27" t="n">
        <v>1064</v>
      </c>
      <c r="T7" s="27" t="n">
        <v>169</v>
      </c>
      <c r="U7" s="23">
        <f>R7-T7</f>
        <v/>
      </c>
      <c r="V7" s="27" t="n">
        <v>180</v>
      </c>
      <c r="W7" s="27" t="n">
        <v>1231</v>
      </c>
      <c r="X7" s="27" t="n">
        <v>154</v>
      </c>
      <c r="Y7" s="23">
        <f>V7-X7</f>
        <v/>
      </c>
      <c r="Z7" s="60">
        <f>F7+J7+N7+R7+V7</f>
        <v/>
      </c>
      <c r="AA7" s="60">
        <f>G7+K7+O7+S7+W7</f>
        <v/>
      </c>
      <c r="AB7" s="60">
        <f>H7+L7+P7+T7+X7</f>
        <v/>
      </c>
      <c r="AC7" s="60">
        <f>I7+M7+Q7+U7+Y7</f>
        <v/>
      </c>
      <c r="AD7" s="28">
        <f>IF(Z7&gt;0, (AB7/Z7)*100, 0)</f>
        <v/>
      </c>
      <c r="AE7" s="29">
        <f>IF(Z7&gt;0, AA7/Z7, 0)</f>
        <v/>
      </c>
    </row>
    <row r="8" ht="20" customHeight="1">
      <c r="A8" s="21" t="n">
        <v>3</v>
      </c>
      <c r="B8" s="21" t="inlineStr">
        <is>
          <t>0400201</t>
        </is>
      </c>
      <c r="C8" s="34" t="inlineStr">
        <is>
          <t>TEKNIK MESIN</t>
        </is>
      </c>
      <c r="D8" s="21" t="inlineStr">
        <is>
          <t>S1</t>
        </is>
      </c>
      <c r="E8" s="34" t="inlineStr">
        <is>
          <t>Teknik</t>
        </is>
      </c>
      <c r="F8" s="22" t="n">
        <v>120</v>
      </c>
      <c r="G8" s="22" t="n">
        <v>726</v>
      </c>
      <c r="H8" s="22" t="n">
        <v>98</v>
      </c>
      <c r="I8" s="23">
        <f>F8-H8</f>
        <v/>
      </c>
      <c r="J8" s="22" t="n">
        <v>120</v>
      </c>
      <c r="K8" s="22" t="n">
        <v>662</v>
      </c>
      <c r="L8" s="22" t="n">
        <v>101</v>
      </c>
      <c r="M8" s="23">
        <f>J8-L8</f>
        <v/>
      </c>
      <c r="N8" s="22" t="n">
        <v>120</v>
      </c>
      <c r="O8" s="22" t="n">
        <v>550</v>
      </c>
      <c r="P8" s="22" t="n">
        <v>101</v>
      </c>
      <c r="Q8" s="23">
        <f>N8-P8</f>
        <v/>
      </c>
      <c r="R8" s="22" t="n">
        <v>120</v>
      </c>
      <c r="S8" s="22" t="n">
        <v>457</v>
      </c>
      <c r="T8" s="22" t="n">
        <v>87</v>
      </c>
      <c r="U8" s="23">
        <f>R8-T8</f>
        <v/>
      </c>
      <c r="V8" s="22" t="n">
        <v>140</v>
      </c>
      <c r="W8" s="22" t="n">
        <v>442</v>
      </c>
      <c r="X8" s="22" t="n">
        <v>96</v>
      </c>
      <c r="Y8" s="23">
        <f>V8-X8</f>
        <v/>
      </c>
      <c r="Z8" s="59">
        <f>F8+J8+N8+R8+V8</f>
        <v/>
      </c>
      <c r="AA8" s="59">
        <f>G8+K8+O8+S8+W8</f>
        <v/>
      </c>
      <c r="AB8" s="59">
        <f>H8+L8+P8+T8+X8</f>
        <v/>
      </c>
      <c r="AC8" s="59">
        <f>I8+M8+Q8+U8+Y8</f>
        <v/>
      </c>
      <c r="AD8" s="24">
        <f>IF(Z8&gt;0, (AB8/Z8)*100, 0)</f>
        <v/>
      </c>
      <c r="AE8" s="25">
        <f>IF(Z8&gt;0, AA8/Z8, 0)</f>
        <v/>
      </c>
    </row>
    <row r="9" ht="20" customHeight="1">
      <c r="A9" s="26" t="n">
        <v>4</v>
      </c>
      <c r="B9" s="26" t="inlineStr">
        <is>
          <t>0410301</t>
        </is>
      </c>
      <c r="C9" s="35" t="inlineStr">
        <is>
          <t>TEKNIK KIMIA</t>
        </is>
      </c>
      <c r="D9" s="26" t="inlineStr">
        <is>
          <t>S1</t>
        </is>
      </c>
      <c r="E9" s="35" t="inlineStr">
        <is>
          <t>Teknik</t>
        </is>
      </c>
      <c r="F9" s="27" t="n">
        <v>180</v>
      </c>
      <c r="G9" s="27" t="n">
        <v>438</v>
      </c>
      <c r="H9" s="27" t="n">
        <v>120</v>
      </c>
      <c r="I9" s="23">
        <f>F9-H9</f>
        <v/>
      </c>
      <c r="J9" s="27" t="n">
        <v>180</v>
      </c>
      <c r="K9" s="27" t="n">
        <v>474</v>
      </c>
      <c r="L9" s="27" t="n">
        <v>116</v>
      </c>
      <c r="M9" s="23">
        <f>J9-L9</f>
        <v/>
      </c>
      <c r="N9" s="27" t="n">
        <v>160</v>
      </c>
      <c r="O9" s="27" t="n">
        <v>398</v>
      </c>
      <c r="P9" s="27" t="n">
        <v>100</v>
      </c>
      <c r="Q9" s="23">
        <f>N9-P9</f>
        <v/>
      </c>
      <c r="R9" s="27" t="n">
        <v>140</v>
      </c>
      <c r="S9" s="27" t="n">
        <v>293</v>
      </c>
      <c r="T9" s="27" t="n">
        <v>85</v>
      </c>
      <c r="U9" s="23">
        <f>R9-T9</f>
        <v/>
      </c>
      <c r="V9" s="27" t="n">
        <v>140</v>
      </c>
      <c r="W9" s="27" t="n">
        <v>344</v>
      </c>
      <c r="X9" s="27" t="n">
        <v>96</v>
      </c>
      <c r="Y9" s="23">
        <f>V9-X9</f>
        <v/>
      </c>
      <c r="Z9" s="60">
        <f>F9+J9+N9+R9+V9</f>
        <v/>
      </c>
      <c r="AA9" s="60">
        <f>G9+K9+O9+S9+W9</f>
        <v/>
      </c>
      <c r="AB9" s="60">
        <f>H9+L9+P9+T9+X9</f>
        <v/>
      </c>
      <c r="AC9" s="60">
        <f>I9+M9+Q9+U9+Y9</f>
        <v/>
      </c>
      <c r="AD9" s="28">
        <f>IF(Z9&gt;0, (AB9/Z9)*100, 0)</f>
        <v/>
      </c>
      <c r="AE9" s="29">
        <f>IF(Z9&gt;0, AA9/Z9, 0)</f>
        <v/>
      </c>
    </row>
    <row r="10" ht="20" customHeight="1">
      <c r="A10" s="21" t="n">
        <v>5</v>
      </c>
      <c r="B10" s="21" t="inlineStr">
        <is>
          <t>0410401</t>
        </is>
      </c>
      <c r="C10" s="34" t="inlineStr">
        <is>
          <t>ARSITEKTUR</t>
        </is>
      </c>
      <c r="D10" s="21" t="inlineStr">
        <is>
          <t>S1</t>
        </is>
      </c>
      <c r="E10" s="34" t="inlineStr">
        <is>
          <t>Teknik</t>
        </is>
      </c>
      <c r="F10" s="22" t="n">
        <v>160</v>
      </c>
      <c r="G10" s="22" t="n">
        <v>503</v>
      </c>
      <c r="H10" s="22" t="n">
        <v>131</v>
      </c>
      <c r="I10" s="23">
        <f>F10-H10</f>
        <v/>
      </c>
      <c r="J10" s="22" t="n">
        <v>160</v>
      </c>
      <c r="K10" s="22" t="n">
        <v>610</v>
      </c>
      <c r="L10" s="22" t="n">
        <v>120</v>
      </c>
      <c r="M10" s="23">
        <f>J10-L10</f>
        <v/>
      </c>
      <c r="N10" s="22" t="n">
        <v>160</v>
      </c>
      <c r="O10" s="22" t="n">
        <v>641</v>
      </c>
      <c r="P10" s="22" t="n">
        <v>122</v>
      </c>
      <c r="Q10" s="23">
        <f>N10-P10</f>
        <v/>
      </c>
      <c r="R10" s="22" t="n">
        <v>150</v>
      </c>
      <c r="S10" s="22" t="n">
        <v>558</v>
      </c>
      <c r="T10" s="22" t="n">
        <v>116</v>
      </c>
      <c r="U10" s="23">
        <f>R10-T10</f>
        <v/>
      </c>
      <c r="V10" s="22" t="n">
        <v>140</v>
      </c>
      <c r="W10" s="22" t="n">
        <v>720</v>
      </c>
      <c r="X10" s="22" t="n">
        <v>116</v>
      </c>
      <c r="Y10" s="23">
        <f>V10-X10</f>
        <v/>
      </c>
      <c r="Z10" s="59">
        <f>F10+J10+N10+R10+V10</f>
        <v/>
      </c>
      <c r="AA10" s="59">
        <f>G10+K10+O10+S10+W10</f>
        <v/>
      </c>
      <c r="AB10" s="59">
        <f>H10+L10+P10+T10+X10</f>
        <v/>
      </c>
      <c r="AC10" s="59">
        <f>I10+M10+Q10+U10+Y10</f>
        <v/>
      </c>
      <c r="AD10" s="24">
        <f>IF(Z10&gt;0, (AB10/Z10)*100, 0)</f>
        <v/>
      </c>
      <c r="AE10" s="25">
        <f>IF(Z10&gt;0, AA10/Z10, 0)</f>
        <v/>
      </c>
    </row>
    <row r="11" ht="20" customHeight="1">
      <c r="A11" s="26" t="n">
        <v>6</v>
      </c>
      <c r="B11" s="26" t="inlineStr">
        <is>
          <t>0410501</t>
        </is>
      </c>
      <c r="C11" s="35" t="inlineStr">
        <is>
          <t>TEKNIK ELEKTRO</t>
        </is>
      </c>
      <c r="D11" s="26" t="inlineStr">
        <is>
          <t>S1</t>
        </is>
      </c>
      <c r="E11" s="35" t="inlineStr">
        <is>
          <t>Teknik</t>
        </is>
      </c>
      <c r="F11" s="27" t="n">
        <v>160</v>
      </c>
      <c r="G11" s="27" t="n">
        <v>709</v>
      </c>
      <c r="H11" s="27" t="n">
        <v>112</v>
      </c>
      <c r="I11" s="23">
        <f>F11-H11</f>
        <v/>
      </c>
      <c r="J11" s="27" t="n">
        <v>160</v>
      </c>
      <c r="K11" s="27" t="n">
        <v>709</v>
      </c>
      <c r="L11" s="27" t="n">
        <v>113</v>
      </c>
      <c r="M11" s="23">
        <f>J11-L11</f>
        <v/>
      </c>
      <c r="N11" s="27" t="n">
        <v>160</v>
      </c>
      <c r="O11" s="27" t="n">
        <v>490</v>
      </c>
      <c r="P11" s="27" t="n">
        <v>113</v>
      </c>
      <c r="Q11" s="23">
        <f>N11-P11</f>
        <v/>
      </c>
      <c r="R11" s="27" t="n">
        <v>120</v>
      </c>
      <c r="S11" s="27" t="n">
        <v>410</v>
      </c>
      <c r="T11" s="27" t="n">
        <v>79</v>
      </c>
      <c r="U11" s="23">
        <f>R11-T11</f>
        <v/>
      </c>
      <c r="V11" s="27" t="n">
        <v>140</v>
      </c>
      <c r="W11" s="27" t="n">
        <v>449</v>
      </c>
      <c r="X11" s="27" t="n">
        <v>87</v>
      </c>
      <c r="Y11" s="23">
        <f>V11-X11</f>
        <v/>
      </c>
      <c r="Z11" s="60">
        <f>F11+J11+N11+R11+V11</f>
        <v/>
      </c>
      <c r="AA11" s="60">
        <f>G11+K11+O11+S11+W11</f>
        <v/>
      </c>
      <c r="AB11" s="60">
        <f>H11+L11+P11+T11+X11</f>
        <v/>
      </c>
      <c r="AC11" s="60">
        <f>I11+M11+Q11+U11+Y11</f>
        <v/>
      </c>
      <c r="AD11" s="28">
        <f>IF(Z11&gt;0, (AB11/Z11)*100, 0)</f>
        <v/>
      </c>
      <c r="AE11" s="29">
        <f>IF(Z11&gt;0, AA11/Z11, 0)</f>
        <v/>
      </c>
    </row>
    <row r="12" ht="20" customHeight="1">
      <c r="A12" s="21" t="n">
        <v>7</v>
      </c>
      <c r="B12" s="21" t="inlineStr">
        <is>
          <t>0510105</t>
        </is>
      </c>
      <c r="C12" s="34" t="inlineStr">
        <is>
          <t>AGROTEKNOLOGI</t>
        </is>
      </c>
      <c r="D12" s="21" t="inlineStr">
        <is>
          <t>S1</t>
        </is>
      </c>
      <c r="E12" s="34" t="inlineStr">
        <is>
          <t>Pertanian</t>
        </is>
      </c>
      <c r="F12" s="22" t="n">
        <v>120</v>
      </c>
      <c r="G12" s="22" t="n">
        <v>617</v>
      </c>
      <c r="H12" s="22" t="n">
        <v>94</v>
      </c>
      <c r="I12" s="23">
        <f>F12-H12</f>
        <v/>
      </c>
      <c r="J12" s="22" t="n">
        <v>120</v>
      </c>
      <c r="K12" s="22" t="n">
        <v>549</v>
      </c>
      <c r="L12" s="22" t="n">
        <v>88</v>
      </c>
      <c r="M12" s="23">
        <f>J12-L12</f>
        <v/>
      </c>
      <c r="N12" s="22" t="n">
        <v>120</v>
      </c>
      <c r="O12" s="22" t="n">
        <v>412</v>
      </c>
      <c r="P12" s="22" t="n">
        <v>75</v>
      </c>
      <c r="Q12" s="23">
        <f>N12-P12</f>
        <v/>
      </c>
      <c r="R12" s="22" t="n">
        <v>120</v>
      </c>
      <c r="S12" s="22" t="n">
        <v>380</v>
      </c>
      <c r="T12" s="22" t="n">
        <v>78</v>
      </c>
      <c r="U12" s="23">
        <f>R12-T12</f>
        <v/>
      </c>
      <c r="V12" s="22" t="n">
        <v>120</v>
      </c>
      <c r="W12" s="22" t="n">
        <v>528</v>
      </c>
      <c r="X12" s="22" t="n">
        <v>93</v>
      </c>
      <c r="Y12" s="23">
        <f>V12-X12</f>
        <v/>
      </c>
      <c r="Z12" s="59">
        <f>F12+J12+N12+R12+V12</f>
        <v/>
      </c>
      <c r="AA12" s="59">
        <f>G12+K12+O12+S12+W12</f>
        <v/>
      </c>
      <c r="AB12" s="59">
        <f>H12+L12+P12+T12+X12</f>
        <v/>
      </c>
      <c r="AC12" s="59">
        <f>I12+M12+Q12+U12+Y12</f>
        <v/>
      </c>
      <c r="AD12" s="24">
        <f>IF(Z12&gt;0, (AB12/Z12)*100, 0)</f>
        <v/>
      </c>
      <c r="AE12" s="25">
        <f>IF(Z12&gt;0, AA12/Z12, 0)</f>
        <v/>
      </c>
    </row>
    <row r="13" ht="20" customHeight="1">
      <c r="A13" s="26" t="n">
        <v>8</v>
      </c>
      <c r="B13" s="26" t="inlineStr">
        <is>
          <t>0510201</t>
        </is>
      </c>
      <c r="C13" s="35" t="inlineStr">
        <is>
          <t>AGRIBISNIS</t>
        </is>
      </c>
      <c r="D13" s="26" t="inlineStr">
        <is>
          <t>S1</t>
        </is>
      </c>
      <c r="E13" s="35" t="inlineStr">
        <is>
          <t>Pertanian</t>
        </is>
      </c>
      <c r="F13" s="27" t="n">
        <v>160</v>
      </c>
      <c r="G13" s="27" t="n">
        <v>869</v>
      </c>
      <c r="H13" s="27" t="n">
        <v>135</v>
      </c>
      <c r="I13" s="23">
        <f>F13-H13</f>
        <v/>
      </c>
      <c r="J13" s="27" t="n">
        <v>160</v>
      </c>
      <c r="K13" s="27" t="n">
        <v>789</v>
      </c>
      <c r="L13" s="27" t="n">
        <v>126</v>
      </c>
      <c r="M13" s="23">
        <f>J13-L13</f>
        <v/>
      </c>
      <c r="N13" s="27" t="n">
        <v>160</v>
      </c>
      <c r="O13" s="27" t="n">
        <v>735</v>
      </c>
      <c r="P13" s="27" t="n">
        <v>126</v>
      </c>
      <c r="Q13" s="23">
        <f>N13-P13</f>
        <v/>
      </c>
      <c r="R13" s="27" t="n">
        <v>110</v>
      </c>
      <c r="S13" s="27" t="n">
        <v>610</v>
      </c>
      <c r="T13" s="27" t="n">
        <v>81</v>
      </c>
      <c r="U13" s="23">
        <f>R13-T13</f>
        <v/>
      </c>
      <c r="V13" s="27" t="n">
        <v>110</v>
      </c>
      <c r="W13" s="27" t="n">
        <v>875</v>
      </c>
      <c r="X13" s="27" t="n">
        <v>98</v>
      </c>
      <c r="Y13" s="23">
        <f>V13-X13</f>
        <v/>
      </c>
      <c r="Z13" s="60">
        <f>F13+J13+N13+R13+V13</f>
        <v/>
      </c>
      <c r="AA13" s="60">
        <f>G13+K13+O13+S13+W13</f>
        <v/>
      </c>
      <c r="AB13" s="60">
        <f>H13+L13+P13+T13+X13</f>
        <v/>
      </c>
      <c r="AC13" s="60">
        <f>I13+M13+Q13+U13+Y13</f>
        <v/>
      </c>
      <c r="AD13" s="28">
        <f>IF(Z13&gt;0, (AB13/Z13)*100, 0)</f>
        <v/>
      </c>
      <c r="AE13" s="29">
        <f>IF(Z13&gt;0, AA13/Z13, 0)</f>
        <v/>
      </c>
    </row>
    <row r="14" ht="20" customHeight="1">
      <c r="A14" s="21" t="n">
        <v>9</v>
      </c>
      <c r="B14" s="21" t="inlineStr">
        <is>
          <t>0510401</t>
        </is>
      </c>
      <c r="C14" s="34" t="inlineStr">
        <is>
          <t>PETERNAKAN</t>
        </is>
      </c>
      <c r="D14" s="21" t="inlineStr">
        <is>
          <t>S1</t>
        </is>
      </c>
      <c r="E14" s="34" t="inlineStr">
        <is>
          <t>Pertanian</t>
        </is>
      </c>
      <c r="F14" s="22" t="n">
        <v>160</v>
      </c>
      <c r="G14" s="22" t="n">
        <v>331</v>
      </c>
      <c r="H14" s="22" t="n">
        <v>98</v>
      </c>
      <c r="I14" s="23">
        <f>F14-H14</f>
        <v/>
      </c>
      <c r="J14" s="22" t="n">
        <v>130</v>
      </c>
      <c r="K14" s="22" t="n">
        <v>290</v>
      </c>
      <c r="L14" s="22" t="n">
        <v>88</v>
      </c>
      <c r="M14" s="23">
        <f>J14-L14</f>
        <v/>
      </c>
      <c r="N14" s="22" t="n">
        <v>120</v>
      </c>
      <c r="O14" s="22" t="n">
        <v>276</v>
      </c>
      <c r="P14" s="22" t="n">
        <v>82</v>
      </c>
      <c r="Q14" s="23">
        <f>N14-P14</f>
        <v/>
      </c>
      <c r="R14" s="22" t="n">
        <v>115</v>
      </c>
      <c r="S14" s="22" t="n">
        <v>246</v>
      </c>
      <c r="T14" s="22" t="n">
        <v>76</v>
      </c>
      <c r="U14" s="23">
        <f>R14-T14</f>
        <v/>
      </c>
      <c r="V14" s="22" t="n">
        <v>118</v>
      </c>
      <c r="W14" s="22" t="n">
        <v>331</v>
      </c>
      <c r="X14" s="22" t="n">
        <v>81</v>
      </c>
      <c r="Y14" s="23">
        <f>V14-X14</f>
        <v/>
      </c>
      <c r="Z14" s="59">
        <f>F14+J14+N14+R14+V14</f>
        <v/>
      </c>
      <c r="AA14" s="59">
        <f>G14+K14+O14+S14+W14</f>
        <v/>
      </c>
      <c r="AB14" s="59">
        <f>H14+L14+P14+T14+X14</f>
        <v/>
      </c>
      <c r="AC14" s="59">
        <f>I14+M14+Q14+U14+Y14</f>
        <v/>
      </c>
      <c r="AD14" s="24">
        <f>IF(Z14&gt;0, (AB14/Z14)*100, 0)</f>
        <v/>
      </c>
      <c r="AE14" s="25">
        <f>IF(Z14&gt;0, AA14/Z14, 0)</f>
        <v/>
      </c>
    </row>
    <row r="15" ht="20" customHeight="1">
      <c r="A15" s="26" t="n">
        <v>10</v>
      </c>
      <c r="B15" s="26" t="inlineStr">
        <is>
          <t>0510501</t>
        </is>
      </c>
      <c r="C15" s="35" t="inlineStr">
        <is>
          <t>TEKNOLOGI HASIL PERTANIAN</t>
        </is>
      </c>
      <c r="D15" s="26" t="inlineStr">
        <is>
          <t>S1</t>
        </is>
      </c>
      <c r="E15" s="35" t="inlineStr">
        <is>
          <t>Pertanian</t>
        </is>
      </c>
      <c r="F15" s="27" t="n">
        <v>160</v>
      </c>
      <c r="G15" s="27" t="n">
        <v>510</v>
      </c>
      <c r="H15" s="27" t="n">
        <v>102</v>
      </c>
      <c r="I15" s="23">
        <f>F15-H15</f>
        <v/>
      </c>
      <c r="J15" s="27" t="n">
        <v>160</v>
      </c>
      <c r="K15" s="27" t="n">
        <v>378</v>
      </c>
      <c r="L15" s="27" t="n">
        <v>102</v>
      </c>
      <c r="M15" s="23">
        <f>J15-L15</f>
        <v/>
      </c>
      <c r="N15" s="27" t="n">
        <v>160</v>
      </c>
      <c r="O15" s="27" t="n">
        <v>265</v>
      </c>
      <c r="P15" s="27" t="n">
        <v>91</v>
      </c>
      <c r="Q15" s="23">
        <f>N15-P15</f>
        <v/>
      </c>
      <c r="R15" s="27" t="n">
        <v>100</v>
      </c>
      <c r="S15" s="27" t="n">
        <v>211</v>
      </c>
      <c r="T15" s="27" t="n">
        <v>60</v>
      </c>
      <c r="U15" s="23">
        <f>R15-T15</f>
        <v/>
      </c>
      <c r="V15" s="27" t="n">
        <v>80</v>
      </c>
      <c r="W15" s="27" t="n">
        <v>291</v>
      </c>
      <c r="X15" s="27" t="n">
        <v>52</v>
      </c>
      <c r="Y15" s="23">
        <f>V15-X15</f>
        <v/>
      </c>
      <c r="Z15" s="60">
        <f>F15+J15+N15+R15+V15</f>
        <v/>
      </c>
      <c r="AA15" s="60">
        <f>G15+K15+O15+S15+W15</f>
        <v/>
      </c>
      <c r="AB15" s="60">
        <f>H15+L15+P15+T15+X15</f>
        <v/>
      </c>
      <c r="AC15" s="60">
        <f>I15+M15+Q15+U15+Y15</f>
        <v/>
      </c>
      <c r="AD15" s="28">
        <f>IF(Z15&gt;0, (AB15/Z15)*100, 0)</f>
        <v/>
      </c>
      <c r="AE15" s="29">
        <f>IF(Z15&gt;0, AA15/Z15, 0)</f>
        <v/>
      </c>
    </row>
    <row r="16" ht="20" customHeight="1">
      <c r="A16" s="21" t="n">
        <v>11</v>
      </c>
      <c r="B16" s="21" t="inlineStr">
        <is>
          <t>0510601</t>
        </is>
      </c>
      <c r="C16" s="34" t="inlineStr">
        <is>
          <t>TEKNIK PERTANIAN</t>
        </is>
      </c>
      <c r="D16" s="21" t="inlineStr">
        <is>
          <t>S1</t>
        </is>
      </c>
      <c r="E16" s="34" t="inlineStr">
        <is>
          <t>Pertanian</t>
        </is>
      </c>
      <c r="F16" s="22" t="n">
        <v>140</v>
      </c>
      <c r="G16" s="22" t="n">
        <v>550</v>
      </c>
      <c r="H16" s="22" t="n">
        <v>101</v>
      </c>
      <c r="I16" s="23">
        <f>F16-H16</f>
        <v/>
      </c>
      <c r="J16" s="22" t="n">
        <v>160</v>
      </c>
      <c r="K16" s="22" t="n">
        <v>553</v>
      </c>
      <c r="L16" s="22" t="n">
        <v>118</v>
      </c>
      <c r="M16" s="23">
        <f>J16-L16</f>
        <v/>
      </c>
      <c r="N16" s="22" t="n">
        <v>160</v>
      </c>
      <c r="O16" s="22" t="n">
        <v>408</v>
      </c>
      <c r="P16" s="22" t="n">
        <v>99</v>
      </c>
      <c r="Q16" s="23">
        <f>N16-P16</f>
        <v/>
      </c>
      <c r="R16" s="22" t="n">
        <v>140</v>
      </c>
      <c r="S16" s="22" t="n">
        <v>431</v>
      </c>
      <c r="T16" s="22" t="n">
        <v>85</v>
      </c>
      <c r="U16" s="23">
        <f>R16-T16</f>
        <v/>
      </c>
      <c r="V16" s="22" t="n">
        <v>140</v>
      </c>
      <c r="W16" s="22" t="n">
        <v>515</v>
      </c>
      <c r="X16" s="22" t="n">
        <v>93</v>
      </c>
      <c r="Y16" s="23">
        <f>V16-X16</f>
        <v/>
      </c>
      <c r="Z16" s="59">
        <f>F16+J16+N16+R16+V16</f>
        <v/>
      </c>
      <c r="AA16" s="59">
        <f>G16+K16+O16+S16+W16</f>
        <v/>
      </c>
      <c r="AB16" s="59">
        <f>H16+L16+P16+T16+X16</f>
        <v/>
      </c>
      <c r="AC16" s="59">
        <f>I16+M16+Q16+U16+Y16</f>
        <v/>
      </c>
      <c r="AD16" s="24">
        <f>IF(Z16&gt;0, (AB16/Z16)*100, 0)</f>
        <v/>
      </c>
      <c r="AE16" s="25">
        <f>IF(Z16&gt;0, AA16/Z16, 0)</f>
        <v/>
      </c>
    </row>
    <row r="17" ht="20" customHeight="1">
      <c r="A17" s="26" t="n">
        <v>12</v>
      </c>
      <c r="B17" s="26" t="inlineStr">
        <is>
          <t>0610301</t>
        </is>
      </c>
      <c r="C17" s="35" t="inlineStr">
        <is>
          <t>PENDIDIKAN BIOLOGI</t>
        </is>
      </c>
      <c r="D17" s="26" t="inlineStr">
        <is>
          <t>S1</t>
        </is>
      </c>
      <c r="E17" s="35" t="inlineStr">
        <is>
          <t>FKIP</t>
        </is>
      </c>
      <c r="F17" s="27" t="n">
        <v>120</v>
      </c>
      <c r="G17" s="27" t="n">
        <v>638</v>
      </c>
      <c r="H17" s="27" t="n">
        <v>86</v>
      </c>
      <c r="I17" s="23">
        <f>F17-H17</f>
        <v/>
      </c>
      <c r="J17" s="27" t="n">
        <v>120</v>
      </c>
      <c r="K17" s="27" t="n">
        <v>533</v>
      </c>
      <c r="L17" s="27" t="n">
        <v>82</v>
      </c>
      <c r="M17" s="23">
        <f>J17-L17</f>
        <v/>
      </c>
      <c r="N17" s="27" t="n">
        <v>160</v>
      </c>
      <c r="O17" s="27" t="n">
        <v>492</v>
      </c>
      <c r="P17" s="27" t="n">
        <v>115</v>
      </c>
      <c r="Q17" s="23">
        <f>N17-P17</f>
        <v/>
      </c>
      <c r="R17" s="27" t="n">
        <v>130</v>
      </c>
      <c r="S17" s="27" t="n">
        <v>383</v>
      </c>
      <c r="T17" s="27" t="n">
        <v>82</v>
      </c>
      <c r="U17" s="23">
        <f>R17-T17</f>
        <v/>
      </c>
      <c r="V17" s="27" t="n">
        <v>120</v>
      </c>
      <c r="W17" s="27" t="n">
        <v>550</v>
      </c>
      <c r="X17" s="27" t="n">
        <v>84</v>
      </c>
      <c r="Y17" s="23">
        <f>V17-X17</f>
        <v/>
      </c>
      <c r="Z17" s="60">
        <f>F17+J17+N17+R17+V17</f>
        <v/>
      </c>
      <c r="AA17" s="60">
        <f>G17+K17+O17+S17+W17</f>
        <v/>
      </c>
      <c r="AB17" s="60">
        <f>H17+L17+P17+T17+X17</f>
        <v/>
      </c>
      <c r="AC17" s="60">
        <f>I17+M17+Q17+U17+Y17</f>
        <v/>
      </c>
      <c r="AD17" s="28">
        <f>IF(Z17&gt;0, (AB17/Z17)*100, 0)</f>
        <v/>
      </c>
      <c r="AE17" s="29">
        <f>IF(Z17&gt;0, AA17/Z17, 0)</f>
        <v/>
      </c>
    </row>
    <row r="18" ht="20" customHeight="1">
      <c r="A18" s="21" t="n">
        <v>13</v>
      </c>
      <c r="B18" s="21" t="inlineStr">
        <is>
          <t>0610302</t>
        </is>
      </c>
      <c r="C18" s="34" t="inlineStr">
        <is>
          <t>PENDIDIKAN MATEMATIKA</t>
        </is>
      </c>
      <c r="D18" s="21" t="inlineStr">
        <is>
          <t>S1</t>
        </is>
      </c>
      <c r="E18" s="34" t="inlineStr">
        <is>
          <t>FKIP</t>
        </is>
      </c>
      <c r="F18" s="22" t="n">
        <v>120</v>
      </c>
      <c r="G18" s="22" t="n">
        <v>448</v>
      </c>
      <c r="H18" s="22" t="n">
        <v>79</v>
      </c>
      <c r="I18" s="23">
        <f>F18-H18</f>
        <v/>
      </c>
      <c r="J18" s="22" t="n">
        <v>120</v>
      </c>
      <c r="K18" s="22" t="n">
        <v>521</v>
      </c>
      <c r="L18" s="22" t="n">
        <v>83</v>
      </c>
      <c r="M18" s="23">
        <f>J18-L18</f>
        <v/>
      </c>
      <c r="N18" s="22" t="n">
        <v>160</v>
      </c>
      <c r="O18" s="22" t="n">
        <v>500</v>
      </c>
      <c r="P18" s="22" t="n">
        <v>102</v>
      </c>
      <c r="Q18" s="23">
        <f>N18-P18</f>
        <v/>
      </c>
      <c r="R18" s="22" t="n">
        <v>130</v>
      </c>
      <c r="S18" s="22" t="n">
        <v>408</v>
      </c>
      <c r="T18" s="22" t="n">
        <v>86</v>
      </c>
      <c r="U18" s="23">
        <f>R18-T18</f>
        <v/>
      </c>
      <c r="V18" s="22" t="n">
        <v>120</v>
      </c>
      <c r="W18" s="22" t="n">
        <v>473</v>
      </c>
      <c r="X18" s="22" t="n">
        <v>82</v>
      </c>
      <c r="Y18" s="23">
        <f>V18-X18</f>
        <v/>
      </c>
      <c r="Z18" s="59">
        <f>F18+J18+N18+R18+V18</f>
        <v/>
      </c>
      <c r="AA18" s="59">
        <f>G18+K18+O18+S18+W18</f>
        <v/>
      </c>
      <c r="AB18" s="59">
        <f>H18+L18+P18+T18+X18</f>
        <v/>
      </c>
      <c r="AC18" s="59">
        <f>I18+M18+Q18+U18+Y18</f>
        <v/>
      </c>
      <c r="AD18" s="24">
        <f>IF(Z18&gt;0, (AB18/Z18)*100, 0)</f>
        <v/>
      </c>
      <c r="AE18" s="25">
        <f>IF(Z18&gt;0, AA18/Z18, 0)</f>
        <v/>
      </c>
    </row>
    <row r="19" ht="20" customHeight="1">
      <c r="A19" s="26" t="n">
        <v>14</v>
      </c>
      <c r="B19" s="26" t="inlineStr">
        <is>
          <t>0610303</t>
        </is>
      </c>
      <c r="C19" s="35" t="inlineStr">
        <is>
          <t>PENDIDIKAN FISIKA</t>
        </is>
      </c>
      <c r="D19" s="26" t="inlineStr">
        <is>
          <t>S1</t>
        </is>
      </c>
      <c r="E19" s="35" t="inlineStr">
        <is>
          <t>FKIP</t>
        </is>
      </c>
      <c r="F19" s="27" t="n">
        <v>120</v>
      </c>
      <c r="G19" s="27" t="n">
        <v>155</v>
      </c>
      <c r="H19" s="27" t="n">
        <v>78</v>
      </c>
      <c r="I19" s="23">
        <f>F19-H19</f>
        <v/>
      </c>
      <c r="J19" s="27" t="n">
        <v>120</v>
      </c>
      <c r="K19" s="27" t="n">
        <v>153</v>
      </c>
      <c r="L19" s="27" t="n">
        <v>65</v>
      </c>
      <c r="M19" s="23">
        <f>J19-L19</f>
        <v/>
      </c>
      <c r="N19" s="27" t="n">
        <v>160</v>
      </c>
      <c r="O19" s="27" t="n">
        <v>175</v>
      </c>
      <c r="P19" s="27" t="n">
        <v>79</v>
      </c>
      <c r="Q19" s="23">
        <f>N19-P19</f>
        <v/>
      </c>
      <c r="R19" s="27" t="n">
        <v>110</v>
      </c>
      <c r="S19" s="27" t="n">
        <v>129</v>
      </c>
      <c r="T19" s="27" t="n">
        <v>56</v>
      </c>
      <c r="U19" s="23">
        <f>R19-T19</f>
        <v/>
      </c>
      <c r="V19" s="27" t="n">
        <v>100</v>
      </c>
      <c r="W19" s="27" t="n">
        <v>175</v>
      </c>
      <c r="X19" s="27" t="n">
        <v>65</v>
      </c>
      <c r="Y19" s="23">
        <f>V19-X19</f>
        <v/>
      </c>
      <c r="Z19" s="60">
        <f>F19+J19+N19+R19+V19</f>
        <v/>
      </c>
      <c r="AA19" s="60">
        <f>G19+K19+O19+S19+W19</f>
        <v/>
      </c>
      <c r="AB19" s="60">
        <f>H19+L19+P19+T19+X19</f>
        <v/>
      </c>
      <c r="AC19" s="60">
        <f>I19+M19+Q19+U19+Y19</f>
        <v/>
      </c>
      <c r="AD19" s="28">
        <f>IF(Z19&gt;0, (AB19/Z19)*100, 0)</f>
        <v/>
      </c>
      <c r="AE19" s="29">
        <f>IF(Z19&gt;0, AA19/Z19, 0)</f>
        <v/>
      </c>
    </row>
    <row r="20" ht="20" customHeight="1">
      <c r="A20" s="21" t="n">
        <v>15</v>
      </c>
      <c r="B20" s="21" t="inlineStr">
        <is>
          <t>0610304</t>
        </is>
      </c>
      <c r="C20" s="34" t="inlineStr">
        <is>
          <t>PENDIDIKAN KIMIA</t>
        </is>
      </c>
      <c r="D20" s="21" t="inlineStr">
        <is>
          <t>S1</t>
        </is>
      </c>
      <c r="E20" s="34" t="inlineStr">
        <is>
          <t>FKIP</t>
        </is>
      </c>
      <c r="F20" s="22" t="n">
        <v>120</v>
      </c>
      <c r="G20" s="22" t="n">
        <v>206</v>
      </c>
      <c r="H20" s="22" t="n">
        <v>75</v>
      </c>
      <c r="I20" s="23">
        <f>F20-H20</f>
        <v/>
      </c>
      <c r="J20" s="22" t="n">
        <v>120</v>
      </c>
      <c r="K20" s="22" t="n">
        <v>216</v>
      </c>
      <c r="L20" s="22" t="n">
        <v>73</v>
      </c>
      <c r="M20" s="23">
        <f>J20-L20</f>
        <v/>
      </c>
      <c r="N20" s="22" t="n">
        <v>120</v>
      </c>
      <c r="O20" s="22" t="n">
        <v>178</v>
      </c>
      <c r="P20" s="22" t="n">
        <v>72</v>
      </c>
      <c r="Q20" s="23">
        <f>N20-P20</f>
        <v/>
      </c>
      <c r="R20" s="22" t="n">
        <v>110</v>
      </c>
      <c r="S20" s="22" t="n">
        <v>134</v>
      </c>
      <c r="T20" s="22" t="n">
        <v>51</v>
      </c>
      <c r="U20" s="23">
        <f>R20-T20</f>
        <v/>
      </c>
      <c r="V20" s="22" t="n">
        <v>100</v>
      </c>
      <c r="W20" s="22" t="n">
        <v>180</v>
      </c>
      <c r="X20" s="22" t="n">
        <v>64</v>
      </c>
      <c r="Y20" s="23">
        <f>V20-X20</f>
        <v/>
      </c>
      <c r="Z20" s="59">
        <f>F20+J20+N20+R20+V20</f>
        <v/>
      </c>
      <c r="AA20" s="59">
        <f>G20+K20+O20+S20+W20</f>
        <v/>
      </c>
      <c r="AB20" s="59">
        <f>H20+L20+P20+T20+X20</f>
        <v/>
      </c>
      <c r="AC20" s="59">
        <f>I20+M20+Q20+U20+Y20</f>
        <v/>
      </c>
      <c r="AD20" s="24">
        <f>IF(Z20&gt;0, (AB20/Z20)*100, 0)</f>
        <v/>
      </c>
      <c r="AE20" s="25">
        <f>IF(Z20&gt;0, AA20/Z20, 0)</f>
        <v/>
      </c>
    </row>
    <row r="21" ht="20" customHeight="1">
      <c r="A21" s="26" t="n">
        <v>16</v>
      </c>
      <c r="B21" s="26" t="inlineStr">
        <is>
          <t>0710101</t>
        </is>
      </c>
      <c r="C21" s="35" t="inlineStr">
        <is>
          <t>PENDIDIKAN DOKTER</t>
        </is>
      </c>
      <c r="D21" s="26" t="inlineStr">
        <is>
          <t>S1</t>
        </is>
      </c>
      <c r="E21" s="35" t="inlineStr">
        <is>
          <t>Kedokteran</t>
        </is>
      </c>
      <c r="F21" s="27" t="n">
        <v>250</v>
      </c>
      <c r="G21" s="27" t="n">
        <v>2003</v>
      </c>
      <c r="H21" s="27" t="n">
        <v>250</v>
      </c>
      <c r="I21" s="23">
        <f>F21-H21</f>
        <v/>
      </c>
      <c r="J21" s="27" t="n">
        <v>250</v>
      </c>
      <c r="K21" s="27" t="n">
        <v>4032</v>
      </c>
      <c r="L21" s="27" t="n">
        <v>254</v>
      </c>
      <c r="M21" s="23">
        <f>J21-L21</f>
        <v/>
      </c>
      <c r="N21" s="27" t="n">
        <v>250</v>
      </c>
      <c r="O21" s="27" t="n">
        <v>4317</v>
      </c>
      <c r="P21" s="27" t="n">
        <v>259</v>
      </c>
      <c r="Q21" s="23">
        <f>N21-P21</f>
        <v/>
      </c>
      <c r="R21" s="27" t="n">
        <v>250</v>
      </c>
      <c r="S21" s="27" t="n">
        <v>3210</v>
      </c>
      <c r="T21" s="27" t="n">
        <v>213</v>
      </c>
      <c r="U21" s="23">
        <f>R21-T21</f>
        <v/>
      </c>
      <c r="V21" s="27" t="n">
        <v>250</v>
      </c>
      <c r="W21" s="27" t="n">
        <v>4092</v>
      </c>
      <c r="X21" s="27" t="n">
        <v>258</v>
      </c>
      <c r="Y21" s="23">
        <f>V21-X21</f>
        <v/>
      </c>
      <c r="Z21" s="60">
        <f>F21+J21+N21+R21+V21</f>
        <v/>
      </c>
      <c r="AA21" s="60">
        <f>G21+K21+O21+S21+W21</f>
        <v/>
      </c>
      <c r="AB21" s="60">
        <f>H21+L21+P21+T21+X21</f>
        <v/>
      </c>
      <c r="AC21" s="60">
        <f>I21+M21+Q21+U21+Y21</f>
        <v/>
      </c>
      <c r="AD21" s="28">
        <f>IF(Z21&gt;0, (AB21/Z21)*100, 0)</f>
        <v/>
      </c>
      <c r="AE21" s="29">
        <f>IF(Z21&gt;0, AA21/Z21, 0)</f>
        <v/>
      </c>
    </row>
    <row r="22" ht="20" customHeight="1">
      <c r="A22" s="21" t="n">
        <v>17</v>
      </c>
      <c r="B22" s="21" t="inlineStr">
        <is>
          <t>1210101</t>
        </is>
      </c>
      <c r="C22" s="34" t="inlineStr">
        <is>
          <t>ILMU KEPERAWATAN</t>
        </is>
      </c>
      <c r="D22" s="21" t="inlineStr">
        <is>
          <t>S1</t>
        </is>
      </c>
      <c r="E22" s="34" t="inlineStr">
        <is>
          <t>Keperawatan</t>
        </is>
      </c>
      <c r="F22" s="22" t="n">
        <v>360</v>
      </c>
      <c r="G22" s="22" t="n">
        <v>1588</v>
      </c>
      <c r="H22" s="22" t="n">
        <v>295</v>
      </c>
      <c r="I22" s="23">
        <f>F22-H22</f>
        <v/>
      </c>
      <c r="J22" s="22" t="n">
        <v>360</v>
      </c>
      <c r="K22" s="22" t="n">
        <v>2831</v>
      </c>
      <c r="L22" s="22" t="n">
        <v>280</v>
      </c>
      <c r="M22" s="23">
        <f>J22-L22</f>
        <v/>
      </c>
      <c r="N22" s="22" t="n">
        <v>360</v>
      </c>
      <c r="O22" s="22" t="n">
        <v>2845</v>
      </c>
      <c r="P22" s="22" t="n">
        <v>296</v>
      </c>
      <c r="Q22" s="23">
        <f>N22-P22</f>
        <v/>
      </c>
      <c r="R22" s="22" t="n">
        <v>200</v>
      </c>
      <c r="S22" s="22" t="n">
        <v>2171</v>
      </c>
      <c r="T22" s="22" t="n">
        <v>164</v>
      </c>
      <c r="U22" s="23">
        <f>R22-T22</f>
        <v/>
      </c>
      <c r="V22" s="22" t="n">
        <v>160</v>
      </c>
      <c r="W22" s="22" t="n">
        <v>2266</v>
      </c>
      <c r="X22" s="22" t="n">
        <v>127</v>
      </c>
      <c r="Y22" s="23">
        <f>V22-X22</f>
        <v/>
      </c>
      <c r="Z22" s="59">
        <f>F22+J22+N22+R22+V22</f>
        <v/>
      </c>
      <c r="AA22" s="59">
        <f>G22+K22+O22+S22+W22</f>
        <v/>
      </c>
      <c r="AB22" s="59">
        <f>H22+L22+P22+T22+X22</f>
        <v/>
      </c>
      <c r="AC22" s="59">
        <f>I22+M22+Q22+U22+Y22</f>
        <v/>
      </c>
      <c r="AD22" s="24">
        <f>IF(Z22&gt;0, (AB22/Z22)*100, 0)</f>
        <v/>
      </c>
      <c r="AE22" s="25">
        <f>IF(Z22&gt;0, AA22/Z22, 0)</f>
        <v/>
      </c>
    </row>
    <row r="23" ht="20" customHeight="1">
      <c r="A23" s="26" t="n">
        <v>18</v>
      </c>
      <c r="B23" s="26" t="inlineStr">
        <is>
          <t>1310101</t>
        </is>
      </c>
      <c r="C23" s="35" t="inlineStr">
        <is>
          <t>PENDIDIKAN DOKTER GIGI</t>
        </is>
      </c>
      <c r="D23" s="26" t="inlineStr">
        <is>
          <t>S1</t>
        </is>
      </c>
      <c r="E23" s="35" t="inlineStr">
        <is>
          <t>Kedokteran Gigi</t>
        </is>
      </c>
      <c r="F23" s="27" t="n">
        <v>100</v>
      </c>
      <c r="G23" s="27" t="n">
        <v>1204</v>
      </c>
      <c r="H23" s="27" t="n">
        <v>100</v>
      </c>
      <c r="I23" s="23">
        <f>F23-H23</f>
        <v/>
      </c>
      <c r="J23" s="27" t="n">
        <v>100</v>
      </c>
      <c r="K23" s="27" t="n">
        <v>1956</v>
      </c>
      <c r="L23" s="27" t="n">
        <v>101</v>
      </c>
      <c r="M23" s="23">
        <f>J23-L23</f>
        <v/>
      </c>
      <c r="N23" s="27" t="n">
        <v>100</v>
      </c>
      <c r="O23" s="27" t="n">
        <v>1941</v>
      </c>
      <c r="P23" s="27" t="n">
        <v>101</v>
      </c>
      <c r="Q23" s="23">
        <f>N23-P23</f>
        <v/>
      </c>
      <c r="R23" s="27" t="n">
        <v>100</v>
      </c>
      <c r="S23" s="27" t="n">
        <v>1560</v>
      </c>
      <c r="T23" s="27" t="n">
        <v>83</v>
      </c>
      <c r="U23" s="23">
        <f>R23-T23</f>
        <v/>
      </c>
      <c r="V23" s="27" t="n">
        <v>80</v>
      </c>
      <c r="W23" s="27" t="n">
        <v>1571</v>
      </c>
      <c r="X23" s="27" t="n">
        <v>82</v>
      </c>
      <c r="Y23" s="23">
        <f>V23-X23</f>
        <v/>
      </c>
      <c r="Z23" s="60">
        <f>F23+J23+N23+R23+V23</f>
        <v/>
      </c>
      <c r="AA23" s="60">
        <f>G23+K23+O23+S23+W23</f>
        <v/>
      </c>
      <c r="AB23" s="60">
        <f>H23+L23+P23+T23+X23</f>
        <v/>
      </c>
      <c r="AC23" s="60">
        <f>I23+M23+Q23+U23+Y23</f>
        <v/>
      </c>
      <c r="AD23" s="28">
        <f>IF(Z23&gt;0, (AB23/Z23)*100, 0)</f>
        <v/>
      </c>
      <c r="AE23" s="29">
        <f>IF(Z23&gt;0, AA23/Z23, 0)</f>
        <v/>
      </c>
    </row>
    <row r="24" ht="20" customHeight="1">
      <c r="A24" s="21" t="n">
        <v>19</v>
      </c>
      <c r="B24" s="21" t="inlineStr">
        <is>
          <t>0810101</t>
        </is>
      </c>
      <c r="C24" s="34" t="inlineStr">
        <is>
          <t>MATEMATIKA</t>
        </is>
      </c>
      <c r="D24" s="21" t="inlineStr">
        <is>
          <t>S1</t>
        </is>
      </c>
      <c r="E24" s="34" t="inlineStr">
        <is>
          <t>MIPA</t>
        </is>
      </c>
      <c r="F24" s="22" t="n">
        <v>80</v>
      </c>
      <c r="G24" s="22" t="n">
        <v>185</v>
      </c>
      <c r="H24" s="22" t="n">
        <v>56</v>
      </c>
      <c r="I24" s="23">
        <f>F24-H24</f>
        <v/>
      </c>
      <c r="J24" s="22" t="n">
        <v>80</v>
      </c>
      <c r="K24" s="22" t="n">
        <v>186</v>
      </c>
      <c r="L24" s="22" t="n">
        <v>55</v>
      </c>
      <c r="M24" s="23">
        <f>J24-L24</f>
        <v/>
      </c>
      <c r="N24" s="22" t="n">
        <v>120</v>
      </c>
      <c r="O24" s="22" t="n">
        <v>159</v>
      </c>
      <c r="P24" s="22" t="n">
        <v>62</v>
      </c>
      <c r="Q24" s="23">
        <f>N24-P24</f>
        <v/>
      </c>
      <c r="R24" s="22" t="n">
        <v>90</v>
      </c>
      <c r="S24" s="22" t="n">
        <v>145</v>
      </c>
      <c r="T24" s="22" t="n">
        <v>54</v>
      </c>
      <c r="U24" s="23">
        <f>R24-T24</f>
        <v/>
      </c>
      <c r="V24" s="22" t="n">
        <v>90</v>
      </c>
      <c r="W24" s="22" t="n">
        <v>248</v>
      </c>
      <c r="X24" s="22" t="n">
        <v>67</v>
      </c>
      <c r="Y24" s="23">
        <f>V24-X24</f>
        <v/>
      </c>
      <c r="Z24" s="59">
        <f>F24+J24+N24+R24+V24</f>
        <v/>
      </c>
      <c r="AA24" s="59">
        <f>G24+K24+O24+S24+W24</f>
        <v/>
      </c>
      <c r="AB24" s="59">
        <f>H24+L24+P24+T24+X24</f>
        <v/>
      </c>
      <c r="AC24" s="59">
        <f>I24+M24+Q24+U24+Y24</f>
        <v/>
      </c>
      <c r="AD24" s="24">
        <f>IF(Z24&gt;0, (AB24/Z24)*100, 0)</f>
        <v/>
      </c>
      <c r="AE24" s="25">
        <f>IF(Z24&gt;0, AA24/Z24, 0)</f>
        <v/>
      </c>
    </row>
    <row r="25" ht="20" customHeight="1">
      <c r="A25" s="26" t="n">
        <v>20</v>
      </c>
      <c r="B25" s="26" t="inlineStr">
        <is>
          <t>0810201</t>
        </is>
      </c>
      <c r="C25" s="35" t="inlineStr">
        <is>
          <t>FISIKA</t>
        </is>
      </c>
      <c r="D25" s="26" t="inlineStr">
        <is>
          <t>S1</t>
        </is>
      </c>
      <c r="E25" s="35" t="inlineStr">
        <is>
          <t>MIPA</t>
        </is>
      </c>
      <c r="F25" s="27" t="n">
        <v>80</v>
      </c>
      <c r="G25" s="27" t="n">
        <v>94</v>
      </c>
      <c r="H25" s="27" t="n">
        <v>42</v>
      </c>
      <c r="I25" s="23">
        <f>F25-H25</f>
        <v/>
      </c>
      <c r="J25" s="27" t="n">
        <v>80</v>
      </c>
      <c r="K25" s="27" t="n">
        <v>80</v>
      </c>
      <c r="L25" s="27" t="n">
        <v>45</v>
      </c>
      <c r="M25" s="23">
        <f>J25-L25</f>
        <v/>
      </c>
      <c r="N25" s="27" t="n">
        <v>120</v>
      </c>
      <c r="O25" s="27" t="n">
        <v>62</v>
      </c>
      <c r="P25" s="27" t="n">
        <v>31</v>
      </c>
      <c r="Q25" s="23">
        <f>N25-P25</f>
        <v/>
      </c>
      <c r="R25" s="27" t="n">
        <v>90</v>
      </c>
      <c r="S25" s="27" t="n">
        <v>62</v>
      </c>
      <c r="T25" s="27" t="n">
        <v>36</v>
      </c>
      <c r="U25" s="23">
        <f>R25-T25</f>
        <v/>
      </c>
      <c r="V25" s="27" t="n">
        <v>90</v>
      </c>
      <c r="W25" s="27" t="n">
        <v>77</v>
      </c>
      <c r="X25" s="27" t="n">
        <v>42</v>
      </c>
      <c r="Y25" s="23">
        <f>V25-X25</f>
        <v/>
      </c>
      <c r="Z25" s="60">
        <f>F25+J25+N25+R25+V25</f>
        <v/>
      </c>
      <c r="AA25" s="60">
        <f>G25+K25+O25+S25+W25</f>
        <v/>
      </c>
      <c r="AB25" s="60">
        <f>H25+L25+P25+T25+X25</f>
        <v/>
      </c>
      <c r="AC25" s="60">
        <f>I25+M25+Q25+U25+Y25</f>
        <v/>
      </c>
      <c r="AD25" s="28">
        <f>IF(Z25&gt;0, (AB25/Z25)*100, 0)</f>
        <v/>
      </c>
      <c r="AE25" s="29">
        <f>IF(Z25&gt;0, AA25/Z25, 0)</f>
        <v/>
      </c>
    </row>
    <row r="26" ht="20" customHeight="1">
      <c r="A26" s="21" t="n">
        <v>21</v>
      </c>
      <c r="B26" s="21" t="inlineStr">
        <is>
          <t>0810301</t>
        </is>
      </c>
      <c r="C26" s="34" t="inlineStr">
        <is>
          <t>KIMIA</t>
        </is>
      </c>
      <c r="D26" s="21" t="inlineStr">
        <is>
          <t>S1</t>
        </is>
      </c>
      <c r="E26" s="34" t="inlineStr">
        <is>
          <t>MIPA</t>
        </is>
      </c>
      <c r="F26" s="22" t="n">
        <v>80</v>
      </c>
      <c r="G26" s="22" t="n">
        <v>195</v>
      </c>
      <c r="H26" s="22" t="n">
        <v>61</v>
      </c>
      <c r="I26" s="23">
        <f>F26-H26</f>
        <v/>
      </c>
      <c r="J26" s="22" t="n">
        <v>80</v>
      </c>
      <c r="K26" s="22" t="n">
        <v>221</v>
      </c>
      <c r="L26" s="22" t="n">
        <v>52</v>
      </c>
      <c r="M26" s="23">
        <f>J26-L26</f>
        <v/>
      </c>
      <c r="N26" s="22" t="n">
        <v>120</v>
      </c>
      <c r="O26" s="22" t="n">
        <v>164</v>
      </c>
      <c r="P26" s="22" t="n">
        <v>74</v>
      </c>
      <c r="Q26" s="23">
        <f>N26-P26</f>
        <v/>
      </c>
      <c r="R26" s="22" t="n">
        <v>90</v>
      </c>
      <c r="S26" s="22" t="n">
        <v>137</v>
      </c>
      <c r="T26" s="22" t="n">
        <v>58</v>
      </c>
      <c r="U26" s="23">
        <f>R26-T26</f>
        <v/>
      </c>
      <c r="V26" s="22" t="n">
        <v>90</v>
      </c>
      <c r="W26" s="22" t="n">
        <v>158</v>
      </c>
      <c r="X26" s="22" t="n">
        <v>65</v>
      </c>
      <c r="Y26" s="23">
        <f>V26-X26</f>
        <v/>
      </c>
      <c r="Z26" s="59">
        <f>F26+J26+N26+R26+V26</f>
        <v/>
      </c>
      <c r="AA26" s="59">
        <f>G26+K26+O26+S26+W26</f>
        <v/>
      </c>
      <c r="AB26" s="59">
        <f>H26+L26+P26+T26+X26</f>
        <v/>
      </c>
      <c r="AC26" s="59">
        <f>I26+M26+Q26+U26+Y26</f>
        <v/>
      </c>
      <c r="AD26" s="24">
        <f>IF(Z26&gt;0, (AB26/Z26)*100, 0)</f>
        <v/>
      </c>
      <c r="AE26" s="25">
        <f>IF(Z26&gt;0, AA26/Z26, 0)</f>
        <v/>
      </c>
    </row>
    <row r="27" ht="20" customHeight="1">
      <c r="A27" s="26" t="n">
        <v>22</v>
      </c>
      <c r="B27" s="26" t="inlineStr">
        <is>
          <t>0810401</t>
        </is>
      </c>
      <c r="C27" s="35" t="inlineStr">
        <is>
          <t>BIOLOGI</t>
        </is>
      </c>
      <c r="D27" s="26" t="inlineStr">
        <is>
          <t>S1</t>
        </is>
      </c>
      <c r="E27" s="35" t="inlineStr">
        <is>
          <t>MIPA</t>
        </is>
      </c>
      <c r="F27" s="27" t="n">
        <v>80</v>
      </c>
      <c r="G27" s="27" t="n">
        <v>485</v>
      </c>
      <c r="H27" s="27" t="n">
        <v>68</v>
      </c>
      <c r="I27" s="23">
        <f>F27-H27</f>
        <v/>
      </c>
      <c r="J27" s="27" t="n">
        <v>120</v>
      </c>
      <c r="K27" s="27" t="n">
        <v>340</v>
      </c>
      <c r="L27" s="27" t="n">
        <v>73</v>
      </c>
      <c r="M27" s="23">
        <f>J27-L27</f>
        <v/>
      </c>
      <c r="N27" s="27" t="n">
        <v>120</v>
      </c>
      <c r="O27" s="27" t="n">
        <v>318</v>
      </c>
      <c r="P27" s="27" t="n">
        <v>82</v>
      </c>
      <c r="Q27" s="23">
        <f>N27-P27</f>
        <v/>
      </c>
      <c r="R27" s="27" t="n">
        <v>90</v>
      </c>
      <c r="S27" s="27" t="n">
        <v>214</v>
      </c>
      <c r="T27" s="27" t="n">
        <v>61</v>
      </c>
      <c r="U27" s="23">
        <f>R27-T27</f>
        <v/>
      </c>
      <c r="V27" s="27" t="n">
        <v>90</v>
      </c>
      <c r="W27" s="27" t="n">
        <v>374</v>
      </c>
      <c r="X27" s="27" t="n">
        <v>70</v>
      </c>
      <c r="Y27" s="23">
        <f>V27-X27</f>
        <v/>
      </c>
      <c r="Z27" s="60">
        <f>F27+J27+N27+R27+V27</f>
        <v/>
      </c>
      <c r="AA27" s="60">
        <f>G27+K27+O27+S27+W27</f>
        <v/>
      </c>
      <c r="AB27" s="60">
        <f>H27+L27+P27+T27+X27</f>
        <v/>
      </c>
      <c r="AC27" s="60">
        <f>I27+M27+Q27+U27+Y27</f>
        <v/>
      </c>
      <c r="AD27" s="28">
        <f>IF(Z27&gt;0, (AB27/Z27)*100, 0)</f>
        <v/>
      </c>
      <c r="AE27" s="29">
        <f>IF(Z27&gt;0, AA27/Z27, 0)</f>
        <v/>
      </c>
    </row>
    <row r="28" ht="20" customHeight="1">
      <c r="A28" s="21" t="n">
        <v>23</v>
      </c>
      <c r="B28" s="21" t="inlineStr">
        <is>
          <t>1110101</t>
        </is>
      </c>
      <c r="C28" s="34" t="inlineStr">
        <is>
          <t>ILMU KELAUTAN</t>
        </is>
      </c>
      <c r="D28" s="21" t="inlineStr">
        <is>
          <t>S1</t>
        </is>
      </c>
      <c r="E28" s="34" t="inlineStr">
        <is>
          <t>Kelautan dan Perikanan</t>
        </is>
      </c>
      <c r="F28" s="22" t="n">
        <v>160</v>
      </c>
      <c r="G28" s="22" t="n">
        <v>302</v>
      </c>
      <c r="H28" s="22" t="n">
        <v>113</v>
      </c>
      <c r="I28" s="23">
        <f>F28-H28</f>
        <v/>
      </c>
      <c r="J28" s="22" t="n">
        <v>160</v>
      </c>
      <c r="K28" s="22" t="n">
        <v>348</v>
      </c>
      <c r="L28" s="22" t="n">
        <v>105</v>
      </c>
      <c r="M28" s="23">
        <f>J28-L28</f>
        <v/>
      </c>
      <c r="N28" s="22" t="n">
        <v>160</v>
      </c>
      <c r="O28" s="22" t="n">
        <v>335</v>
      </c>
      <c r="P28" s="22" t="n">
        <v>104</v>
      </c>
      <c r="Q28" s="23">
        <f>N28-P28</f>
        <v/>
      </c>
      <c r="R28" s="22" t="n">
        <v>180</v>
      </c>
      <c r="S28" s="22" t="n">
        <v>339</v>
      </c>
      <c r="T28" s="22" t="n">
        <v>124</v>
      </c>
      <c r="U28" s="23">
        <f>R28-T28</f>
        <v/>
      </c>
      <c r="V28" s="22" t="n">
        <v>180</v>
      </c>
      <c r="W28" s="22" t="n">
        <v>316</v>
      </c>
      <c r="X28" s="22" t="n">
        <v>119</v>
      </c>
      <c r="Y28" s="23">
        <f>V28-X28</f>
        <v/>
      </c>
      <c r="Z28" s="59">
        <f>F28+J28+N28+R28+V28</f>
        <v/>
      </c>
      <c r="AA28" s="59">
        <f>G28+K28+O28+S28+W28</f>
        <v/>
      </c>
      <c r="AB28" s="59">
        <f>H28+L28+P28+T28+X28</f>
        <v/>
      </c>
      <c r="AC28" s="59">
        <f>I28+M28+Q28+U28+Y28</f>
        <v/>
      </c>
      <c r="AD28" s="24">
        <f>IF(Z28&gt;0, (AB28/Z28)*100, 0)</f>
        <v/>
      </c>
      <c r="AE28" s="25">
        <f>IF(Z28&gt;0, AA28/Z28, 0)</f>
        <v/>
      </c>
    </row>
    <row r="29" ht="20" customHeight="1">
      <c r="A29" s="26" t="n">
        <v>24</v>
      </c>
      <c r="B29" s="26" t="inlineStr">
        <is>
          <t>1110201</t>
        </is>
      </c>
      <c r="C29" s="35" t="inlineStr">
        <is>
          <t>BUDIDAYA PERAIRAN</t>
        </is>
      </c>
      <c r="D29" s="26" t="inlineStr">
        <is>
          <t>S1</t>
        </is>
      </c>
      <c r="E29" s="35" t="inlineStr">
        <is>
          <t>Kelautan dan Perikanan</t>
        </is>
      </c>
      <c r="F29" s="27" t="n">
        <v>160</v>
      </c>
      <c r="G29" s="27" t="n">
        <v>145</v>
      </c>
      <c r="H29" s="27" t="n">
        <v>90</v>
      </c>
      <c r="I29" s="23">
        <f>F29-H29</f>
        <v/>
      </c>
      <c r="J29" s="27" t="n">
        <v>160</v>
      </c>
      <c r="K29" s="27" t="n">
        <v>186</v>
      </c>
      <c r="L29" s="27" t="n">
        <v>98</v>
      </c>
      <c r="M29" s="23">
        <f>J29-L29</f>
        <v/>
      </c>
      <c r="N29" s="27" t="n">
        <v>160</v>
      </c>
      <c r="O29" s="27" t="n">
        <v>164</v>
      </c>
      <c r="P29" s="27" t="n">
        <v>84</v>
      </c>
      <c r="Q29" s="23">
        <f>N29-P29</f>
        <v/>
      </c>
      <c r="R29" s="27" t="n">
        <v>180</v>
      </c>
      <c r="S29" s="27" t="n">
        <v>169</v>
      </c>
      <c r="T29" s="27" t="n">
        <v>94</v>
      </c>
      <c r="U29" s="23">
        <f>R29-T29</f>
        <v/>
      </c>
      <c r="V29" s="27" t="n">
        <v>180</v>
      </c>
      <c r="W29" s="27" t="n">
        <v>188</v>
      </c>
      <c r="X29" s="27" t="n">
        <v>90</v>
      </c>
      <c r="Y29" s="23">
        <f>V29-X29</f>
        <v/>
      </c>
      <c r="Z29" s="60">
        <f>F29+J29+N29+R29+V29</f>
        <v/>
      </c>
      <c r="AA29" s="60">
        <f>G29+K29+O29+S29+W29</f>
        <v/>
      </c>
      <c r="AB29" s="60">
        <f>H29+L29+P29+T29+X29</f>
        <v/>
      </c>
      <c r="AC29" s="60">
        <f>I29+M29+Q29+U29+Y29</f>
        <v/>
      </c>
      <c r="AD29" s="28">
        <f>IF(Z29&gt;0, (AB29/Z29)*100, 0)</f>
        <v/>
      </c>
      <c r="AE29" s="29">
        <f>IF(Z29&gt;0, AA29/Z29, 0)</f>
        <v/>
      </c>
    </row>
    <row r="30" ht="20" customHeight="1">
      <c r="A30" s="21" t="n">
        <v>25</v>
      </c>
      <c r="B30" s="21" t="inlineStr">
        <is>
          <t>0410601</t>
        </is>
      </c>
      <c r="C30" s="34" t="inlineStr">
        <is>
          <t>TEKNIK INDUSTRI</t>
        </is>
      </c>
      <c r="D30" s="21" t="inlineStr">
        <is>
          <t>S1</t>
        </is>
      </c>
      <c r="E30" s="34" t="inlineStr">
        <is>
          <t>Teknik</t>
        </is>
      </c>
      <c r="F30" s="22" t="n">
        <v>120</v>
      </c>
      <c r="G30" s="22" t="n">
        <v>1052</v>
      </c>
      <c r="H30" s="22" t="n">
        <v>109</v>
      </c>
      <c r="I30" s="23">
        <f>F30-H30</f>
        <v/>
      </c>
      <c r="J30" s="22" t="n">
        <v>120</v>
      </c>
      <c r="K30" s="22" t="n">
        <v>1141</v>
      </c>
      <c r="L30" s="22" t="n">
        <v>98</v>
      </c>
      <c r="M30" s="23">
        <f>J30-L30</f>
        <v/>
      </c>
      <c r="N30" s="22" t="n">
        <v>120</v>
      </c>
      <c r="O30" s="22" t="n">
        <v>952</v>
      </c>
      <c r="P30" s="22" t="n">
        <v>106</v>
      </c>
      <c r="Q30" s="23">
        <f>N30-P30</f>
        <v/>
      </c>
      <c r="R30" s="22" t="n">
        <v>90</v>
      </c>
      <c r="S30" s="22" t="n">
        <v>657</v>
      </c>
      <c r="T30" s="22" t="n">
        <v>61</v>
      </c>
      <c r="U30" s="23">
        <f>R30-T30</f>
        <v/>
      </c>
      <c r="V30" s="22" t="n">
        <v>120</v>
      </c>
      <c r="W30" s="22" t="n">
        <v>660</v>
      </c>
      <c r="X30" s="22" t="n">
        <v>94</v>
      </c>
      <c r="Y30" s="23">
        <f>V30-X30</f>
        <v/>
      </c>
      <c r="Z30" s="59">
        <f>F30+J30+N30+R30+V30</f>
        <v/>
      </c>
      <c r="AA30" s="59">
        <f>G30+K30+O30+S30+W30</f>
        <v/>
      </c>
      <c r="AB30" s="59">
        <f>H30+L30+P30+T30+X30</f>
        <v/>
      </c>
      <c r="AC30" s="59">
        <f>I30+M30+Q30+U30+Y30</f>
        <v/>
      </c>
      <c r="AD30" s="24">
        <f>IF(Z30&gt;0, (AB30/Z30)*100, 0)</f>
        <v/>
      </c>
      <c r="AE30" s="25">
        <f>IF(Z30&gt;0, AA30/Z30, 0)</f>
        <v/>
      </c>
    </row>
    <row r="31" ht="20" customHeight="1">
      <c r="A31" s="26" t="n">
        <v>26</v>
      </c>
      <c r="B31" s="26" t="inlineStr">
        <is>
          <t>0810701</t>
        </is>
      </c>
      <c r="C31" s="35" t="inlineStr">
        <is>
          <t>INFORMATIKA</t>
        </is>
      </c>
      <c r="D31" s="26" t="inlineStr">
        <is>
          <t>S1</t>
        </is>
      </c>
      <c r="E31" s="35" t="inlineStr">
        <is>
          <t>MIPA</t>
        </is>
      </c>
      <c r="F31" s="27" t="n">
        <v>120</v>
      </c>
      <c r="G31" s="27" t="n">
        <v>2174</v>
      </c>
      <c r="H31" s="27" t="n">
        <v>117</v>
      </c>
      <c r="I31" s="23">
        <f>F31-H31</f>
        <v/>
      </c>
      <c r="J31" s="27" t="n">
        <v>120</v>
      </c>
      <c r="K31" s="27" t="n">
        <v>2595</v>
      </c>
      <c r="L31" s="27" t="n">
        <v>116</v>
      </c>
      <c r="M31" s="23">
        <f>J31-L31</f>
        <v/>
      </c>
      <c r="N31" s="27" t="n">
        <v>120</v>
      </c>
      <c r="O31" s="27" t="n">
        <v>2591</v>
      </c>
      <c r="P31" s="27" t="n">
        <v>115</v>
      </c>
      <c r="Q31" s="23">
        <f>N31-P31</f>
        <v/>
      </c>
      <c r="R31" s="27" t="n">
        <v>90</v>
      </c>
      <c r="S31" s="27" t="n">
        <v>1950</v>
      </c>
      <c r="T31" s="27" t="n">
        <v>78</v>
      </c>
      <c r="U31" s="23">
        <f>R31-T31</f>
        <v/>
      </c>
      <c r="V31" s="27" t="n">
        <v>90</v>
      </c>
      <c r="W31" s="27" t="n">
        <v>2200</v>
      </c>
      <c r="X31" s="27" t="n">
        <v>89</v>
      </c>
      <c r="Y31" s="23">
        <f>V31-X31</f>
        <v/>
      </c>
      <c r="Z31" s="60">
        <f>F31+J31+N31+R31+V31</f>
        <v/>
      </c>
      <c r="AA31" s="60">
        <f>G31+K31+O31+S31+W31</f>
        <v/>
      </c>
      <c r="AB31" s="60">
        <f>H31+L31+P31+T31+X31</f>
        <v/>
      </c>
      <c r="AC31" s="60">
        <f>I31+M31+Q31+U31+Y31</f>
        <v/>
      </c>
      <c r="AD31" s="28">
        <f>IF(Z31&gt;0, (AB31/Z31)*100, 0)</f>
        <v/>
      </c>
      <c r="AE31" s="29">
        <f>IF(Z31&gt;0, AA31/Z31, 0)</f>
        <v/>
      </c>
    </row>
    <row r="32" ht="20" customHeight="1">
      <c r="A32" s="21" t="n">
        <v>27</v>
      </c>
      <c r="B32" s="21" t="inlineStr">
        <is>
          <t>0810901</t>
        </is>
      </c>
      <c r="C32" s="34" t="inlineStr">
        <is>
          <t>FARMASI</t>
        </is>
      </c>
      <c r="D32" s="21" t="inlineStr">
        <is>
          <t>S1</t>
        </is>
      </c>
      <c r="E32" s="34" t="inlineStr">
        <is>
          <t>MIPA</t>
        </is>
      </c>
      <c r="F32" s="22" t="n">
        <v>90</v>
      </c>
      <c r="G32" s="22" t="n">
        <v>3526</v>
      </c>
      <c r="H32" s="22" t="n">
        <v>89</v>
      </c>
      <c r="I32" s="23">
        <f>F32-H32</f>
        <v/>
      </c>
      <c r="J32" s="22" t="n">
        <v>80</v>
      </c>
      <c r="K32" s="22" t="n">
        <v>3231</v>
      </c>
      <c r="L32" s="22" t="n">
        <v>82</v>
      </c>
      <c r="M32" s="23">
        <f>J32-L32</f>
        <v/>
      </c>
      <c r="N32" s="22" t="n">
        <v>80</v>
      </c>
      <c r="O32" s="22" t="n">
        <v>3588</v>
      </c>
      <c r="P32" s="22" t="n">
        <v>83</v>
      </c>
      <c r="Q32" s="23">
        <f>N32-P32</f>
        <v/>
      </c>
      <c r="R32" s="22" t="n">
        <v>60</v>
      </c>
      <c r="S32" s="22" t="n">
        <v>2707</v>
      </c>
      <c r="T32" s="22" t="n">
        <v>52</v>
      </c>
      <c r="U32" s="23">
        <f>R32-T32</f>
        <v/>
      </c>
      <c r="V32" s="22" t="n">
        <v>60</v>
      </c>
      <c r="W32" s="22" t="n">
        <v>3046</v>
      </c>
      <c r="X32" s="22" t="n">
        <v>59</v>
      </c>
      <c r="Y32" s="23">
        <f>V32-X32</f>
        <v/>
      </c>
      <c r="Z32" s="59">
        <f>F32+J32+N32+R32+V32</f>
        <v/>
      </c>
      <c r="AA32" s="59">
        <f>G32+K32+O32+S32+W32</f>
        <v/>
      </c>
      <c r="AB32" s="59">
        <f>H32+L32+P32+T32+X32</f>
        <v/>
      </c>
      <c r="AC32" s="59">
        <f>I32+M32+Q32+U32+Y32</f>
        <v/>
      </c>
      <c r="AD32" s="24">
        <f>IF(Z32&gt;0, (AB32/Z32)*100, 0)</f>
        <v/>
      </c>
      <c r="AE32" s="25">
        <f>IF(Z32&gt;0, AA32/Z32, 0)</f>
        <v/>
      </c>
    </row>
    <row r="33" ht="20" customHeight="1">
      <c r="A33" s="26" t="n">
        <v>28</v>
      </c>
      <c r="B33" s="26" t="inlineStr">
        <is>
          <t>0410701</t>
        </is>
      </c>
      <c r="C33" s="35" t="inlineStr">
        <is>
          <t>TEKNIK GEOFISIKA</t>
        </is>
      </c>
      <c r="D33" s="26" t="inlineStr">
        <is>
          <t>S1</t>
        </is>
      </c>
      <c r="E33" s="35" t="inlineStr">
        <is>
          <t>Teknik</t>
        </is>
      </c>
      <c r="F33" s="27" t="n">
        <v>80</v>
      </c>
      <c r="G33" s="27" t="n">
        <v>209</v>
      </c>
      <c r="H33" s="27" t="n">
        <v>51</v>
      </c>
      <c r="I33" s="23">
        <f>F33-H33</f>
        <v/>
      </c>
      <c r="J33" s="27" t="n">
        <v>80</v>
      </c>
      <c r="K33" s="27" t="n">
        <v>211</v>
      </c>
      <c r="L33" s="27" t="n">
        <v>51</v>
      </c>
      <c r="M33" s="23">
        <f>J33-L33</f>
        <v/>
      </c>
      <c r="N33" s="27" t="n">
        <v>120</v>
      </c>
      <c r="O33" s="27" t="n">
        <v>180</v>
      </c>
      <c r="P33" s="27" t="n">
        <v>74</v>
      </c>
      <c r="Q33" s="23">
        <f>N33-P33</f>
        <v/>
      </c>
      <c r="R33" s="27" t="n">
        <v>90</v>
      </c>
      <c r="S33" s="27" t="n">
        <v>148</v>
      </c>
      <c r="T33" s="27" t="n">
        <v>56</v>
      </c>
      <c r="U33" s="23">
        <f>R33-T33</f>
        <v/>
      </c>
      <c r="V33" s="27" t="n">
        <v>90</v>
      </c>
      <c r="W33" s="27" t="n">
        <v>186</v>
      </c>
      <c r="X33" s="27" t="n">
        <v>59</v>
      </c>
      <c r="Y33" s="23">
        <f>V33-X33</f>
        <v/>
      </c>
      <c r="Z33" s="60">
        <f>F33+J33+N33+R33+V33</f>
        <v/>
      </c>
      <c r="AA33" s="60">
        <f>G33+K33+O33+S33+W33</f>
        <v/>
      </c>
      <c r="AB33" s="60">
        <f>H33+L33+P33+T33+X33</f>
        <v/>
      </c>
      <c r="AC33" s="60">
        <f>I33+M33+Q33+U33+Y33</f>
        <v/>
      </c>
      <c r="AD33" s="28">
        <f>IF(Z33&gt;0, (AB33/Z33)*100, 0)</f>
        <v/>
      </c>
      <c r="AE33" s="29">
        <f>IF(Z33&gt;0, AA33/Z33, 0)</f>
        <v/>
      </c>
    </row>
    <row r="34" ht="20" customHeight="1">
      <c r="A34" s="21" t="n">
        <v>29</v>
      </c>
      <c r="B34" s="21" t="inlineStr">
        <is>
          <t>0410801</t>
        </is>
      </c>
      <c r="C34" s="34" t="inlineStr">
        <is>
          <t>TEKNIK PERTAMBANGAN</t>
        </is>
      </c>
      <c r="D34" s="21" t="inlineStr">
        <is>
          <t>S1</t>
        </is>
      </c>
      <c r="E34" s="34" t="inlineStr">
        <is>
          <t>Teknik</t>
        </is>
      </c>
      <c r="F34" s="22" t="n">
        <v>120</v>
      </c>
      <c r="G34" s="22" t="n">
        <v>1735</v>
      </c>
      <c r="H34" s="22" t="n">
        <v>118</v>
      </c>
      <c r="I34" s="23">
        <f>F34-H34</f>
        <v/>
      </c>
      <c r="J34" s="22" t="n">
        <v>120</v>
      </c>
      <c r="K34" s="22" t="n">
        <v>1813</v>
      </c>
      <c r="L34" s="22" t="n">
        <v>113</v>
      </c>
      <c r="M34" s="23">
        <f>J34-L34</f>
        <v/>
      </c>
      <c r="N34" s="22" t="n">
        <v>120</v>
      </c>
      <c r="O34" s="22" t="n">
        <v>1650</v>
      </c>
      <c r="P34" s="22" t="n">
        <v>109</v>
      </c>
      <c r="Q34" s="23">
        <f>N34-P34</f>
        <v/>
      </c>
      <c r="R34" s="22" t="n">
        <v>90</v>
      </c>
      <c r="S34" s="22" t="n">
        <v>1086</v>
      </c>
      <c r="T34" s="22" t="n">
        <v>75</v>
      </c>
      <c r="U34" s="23">
        <f>R34-T34</f>
        <v/>
      </c>
      <c r="V34" s="22" t="n">
        <v>80</v>
      </c>
      <c r="W34" s="22" t="n">
        <v>845</v>
      </c>
      <c r="X34" s="22" t="n">
        <v>76</v>
      </c>
      <c r="Y34" s="23">
        <f>V34-X34</f>
        <v/>
      </c>
      <c r="Z34" s="59">
        <f>F34+J34+N34+R34+V34</f>
        <v/>
      </c>
      <c r="AA34" s="59">
        <f>G34+K34+O34+S34+W34</f>
        <v/>
      </c>
      <c r="AB34" s="59">
        <f>H34+L34+P34+T34+X34</f>
        <v/>
      </c>
      <c r="AC34" s="59">
        <f>I34+M34+Q34+U34+Y34</f>
        <v/>
      </c>
      <c r="AD34" s="24">
        <f>IF(Z34&gt;0, (AB34/Z34)*100, 0)</f>
        <v/>
      </c>
      <c r="AE34" s="25">
        <f>IF(Z34&gt;0, AA34/Z34, 0)</f>
        <v/>
      </c>
    </row>
    <row r="35" ht="20" customHeight="1">
      <c r="A35" s="26" t="n">
        <v>30</v>
      </c>
      <c r="B35" s="26" t="inlineStr">
        <is>
          <t>0810801</t>
        </is>
      </c>
      <c r="C35" s="35" t="inlineStr">
        <is>
          <t>STATISTIKA</t>
        </is>
      </c>
      <c r="D35" s="26" t="inlineStr">
        <is>
          <t>S1</t>
        </is>
      </c>
      <c r="E35" s="35" t="inlineStr">
        <is>
          <t>MIPA</t>
        </is>
      </c>
      <c r="F35" s="27" t="n">
        <v>120</v>
      </c>
      <c r="G35" s="27" t="n">
        <v>537</v>
      </c>
      <c r="H35" s="27" t="n">
        <v>107</v>
      </c>
      <c r="I35" s="23">
        <f>F35-H35</f>
        <v/>
      </c>
      <c r="J35" s="27" t="n">
        <v>120</v>
      </c>
      <c r="K35" s="27" t="n">
        <v>615</v>
      </c>
      <c r="L35" s="27" t="n">
        <v>112</v>
      </c>
      <c r="M35" s="23">
        <f>J35-L35</f>
        <v/>
      </c>
      <c r="N35" s="27" t="n">
        <v>120</v>
      </c>
      <c r="O35" s="27" t="n">
        <v>582</v>
      </c>
      <c r="P35" s="27" t="n">
        <v>113</v>
      </c>
      <c r="Q35" s="23">
        <f>N35-P35</f>
        <v/>
      </c>
      <c r="R35" s="27" t="n">
        <v>90</v>
      </c>
      <c r="S35" s="27" t="n">
        <v>527</v>
      </c>
      <c r="T35" s="27" t="n">
        <v>88</v>
      </c>
      <c r="U35" s="23">
        <f>R35-T35</f>
        <v/>
      </c>
      <c r="V35" s="27" t="n">
        <v>90</v>
      </c>
      <c r="W35" s="27" t="n">
        <v>663</v>
      </c>
      <c r="X35" s="27" t="n">
        <v>88</v>
      </c>
      <c r="Y35" s="23">
        <f>V35-X35</f>
        <v/>
      </c>
      <c r="Z35" s="60">
        <f>F35+J35+N35+R35+V35</f>
        <v/>
      </c>
      <c r="AA35" s="60">
        <f>G35+K35+O35+S35+W35</f>
        <v/>
      </c>
      <c r="AB35" s="60">
        <f>H35+L35+P35+T35+X35</f>
        <v/>
      </c>
      <c r="AC35" s="60">
        <f>I35+M35+Q35+U35+Y35</f>
        <v/>
      </c>
      <c r="AD35" s="28">
        <f>IF(Z35&gt;0, (AB35/Z35)*100, 0)</f>
        <v/>
      </c>
      <c r="AE35" s="29">
        <f>IF(Z35&gt;0, AA35/Z35, 0)</f>
        <v/>
      </c>
    </row>
    <row r="36" ht="20" customHeight="1">
      <c r="A36" s="21" t="n">
        <v>31</v>
      </c>
      <c r="B36" s="21" t="inlineStr">
        <is>
          <t>1110301</t>
        </is>
      </c>
      <c r="C36" s="34" t="inlineStr">
        <is>
          <t>PEMANFAATAN SUMBERDAYA PERIKANAN</t>
        </is>
      </c>
      <c r="D36" s="21" t="inlineStr">
        <is>
          <t>S1</t>
        </is>
      </c>
      <c r="E36" s="34" t="inlineStr">
        <is>
          <t>Kelautan dan Perikanan</t>
        </is>
      </c>
      <c r="F36" s="22" t="n">
        <v>120</v>
      </c>
      <c r="G36" s="22" t="n">
        <v>129</v>
      </c>
      <c r="H36" s="22" t="n">
        <v>67</v>
      </c>
      <c r="I36" s="23">
        <f>F36-H36</f>
        <v/>
      </c>
      <c r="J36" s="22" t="n">
        <v>120</v>
      </c>
      <c r="K36" s="22" t="n">
        <v>140</v>
      </c>
      <c r="L36" s="22" t="n">
        <v>71</v>
      </c>
      <c r="M36" s="23">
        <f>J36-L36</f>
        <v/>
      </c>
      <c r="N36" s="22" t="n">
        <v>120</v>
      </c>
      <c r="O36" s="22" t="n">
        <v>145</v>
      </c>
      <c r="P36" s="22" t="n">
        <v>62</v>
      </c>
      <c r="Q36" s="23">
        <f>N36-P36</f>
        <v/>
      </c>
      <c r="R36" s="22" t="n">
        <v>150</v>
      </c>
      <c r="S36" s="22" t="n">
        <v>141</v>
      </c>
      <c r="T36" s="22" t="n">
        <v>83</v>
      </c>
      <c r="U36" s="23">
        <f>R36-T36</f>
        <v/>
      </c>
      <c r="V36" s="22" t="n">
        <v>120</v>
      </c>
      <c r="W36" s="22" t="n">
        <v>153</v>
      </c>
      <c r="X36" s="22" t="n">
        <v>80</v>
      </c>
      <c r="Y36" s="23">
        <f>V36-X36</f>
        <v/>
      </c>
      <c r="Z36" s="59">
        <f>F36+J36+N36+R36+V36</f>
        <v/>
      </c>
      <c r="AA36" s="59">
        <f>G36+K36+O36+S36+W36</f>
        <v/>
      </c>
      <c r="AB36" s="59">
        <f>H36+L36+P36+T36+X36</f>
        <v/>
      </c>
      <c r="AC36" s="59">
        <f>I36+M36+Q36+U36+Y36</f>
        <v/>
      </c>
      <c r="AD36" s="24">
        <f>IF(Z36&gt;0, (AB36/Z36)*100, 0)</f>
        <v/>
      </c>
      <c r="AE36" s="25">
        <f>IF(Z36&gt;0, AA36/Z36, 0)</f>
        <v/>
      </c>
    </row>
    <row r="37" ht="20" customHeight="1">
      <c r="A37" s="26" t="n">
        <v>32</v>
      </c>
      <c r="B37" s="26" t="inlineStr">
        <is>
          <t>0510801</t>
        </is>
      </c>
      <c r="C37" s="35" t="inlineStr">
        <is>
          <t>ILMU TANAH</t>
        </is>
      </c>
      <c r="D37" s="26" t="inlineStr">
        <is>
          <t>S1</t>
        </is>
      </c>
      <c r="E37" s="35" t="inlineStr">
        <is>
          <t>Pertanian</t>
        </is>
      </c>
      <c r="F37" s="27" t="n">
        <v>120</v>
      </c>
      <c r="G37" s="27" t="n">
        <v>195</v>
      </c>
      <c r="H37" s="27" t="n">
        <v>78</v>
      </c>
      <c r="I37" s="23">
        <f>F37-H37</f>
        <v/>
      </c>
      <c r="J37" s="27" t="n">
        <v>120</v>
      </c>
      <c r="K37" s="27" t="n">
        <v>167</v>
      </c>
      <c r="L37" s="27" t="n">
        <v>76</v>
      </c>
      <c r="M37" s="23">
        <f>J37-L37</f>
        <v/>
      </c>
      <c r="N37" s="27" t="n">
        <v>120</v>
      </c>
      <c r="O37" s="27" t="n">
        <v>177</v>
      </c>
      <c r="P37" s="27" t="n">
        <v>76</v>
      </c>
      <c r="Q37" s="23">
        <f>N37-P37</f>
        <v/>
      </c>
      <c r="R37" s="27" t="n">
        <v>90</v>
      </c>
      <c r="S37" s="27" t="n">
        <v>185</v>
      </c>
      <c r="T37" s="27" t="n">
        <v>56</v>
      </c>
      <c r="U37" s="23">
        <f>R37-T37</f>
        <v/>
      </c>
      <c r="V37" s="27" t="n">
        <v>80</v>
      </c>
      <c r="W37" s="27" t="n">
        <v>178</v>
      </c>
      <c r="X37" s="27" t="n">
        <v>55</v>
      </c>
      <c r="Y37" s="23">
        <f>V37-X37</f>
        <v/>
      </c>
      <c r="Z37" s="60">
        <f>F37+J37+N37+R37+V37</f>
        <v/>
      </c>
      <c r="AA37" s="60">
        <f>G37+K37+O37+S37+W37</f>
        <v/>
      </c>
      <c r="AB37" s="60">
        <f>H37+L37+P37+T37+X37</f>
        <v/>
      </c>
      <c r="AC37" s="60">
        <f>I37+M37+Q37+U37+Y37</f>
        <v/>
      </c>
      <c r="AD37" s="28">
        <f>IF(Z37&gt;0, (AB37/Z37)*100, 0)</f>
        <v/>
      </c>
      <c r="AE37" s="29">
        <f>IF(Z37&gt;0, AA37/Z37, 0)</f>
        <v/>
      </c>
    </row>
    <row r="38" ht="20" customHeight="1">
      <c r="A38" s="21" t="n">
        <v>33</v>
      </c>
      <c r="B38" s="21" t="inlineStr">
        <is>
          <t>0410901</t>
        </is>
      </c>
      <c r="C38" s="34" t="inlineStr">
        <is>
          <t>TEKNIK GEOLOGI</t>
        </is>
      </c>
      <c r="D38" s="21" t="inlineStr">
        <is>
          <t>S1</t>
        </is>
      </c>
      <c r="E38" s="34" t="inlineStr">
        <is>
          <t>Teknik</t>
        </is>
      </c>
      <c r="F38" s="22" t="n">
        <v>80</v>
      </c>
      <c r="G38" s="22" t="n">
        <v>470</v>
      </c>
      <c r="H38" s="22" t="n">
        <v>78</v>
      </c>
      <c r="I38" s="23">
        <f>F38-H38</f>
        <v/>
      </c>
      <c r="J38" s="22" t="n">
        <v>80</v>
      </c>
      <c r="K38" s="22" t="n">
        <v>524</v>
      </c>
      <c r="L38" s="22" t="n">
        <v>74</v>
      </c>
      <c r="M38" s="23">
        <f>J38-L38</f>
        <v/>
      </c>
      <c r="N38" s="22" t="n">
        <v>80</v>
      </c>
      <c r="O38" s="22" t="n">
        <v>410</v>
      </c>
      <c r="P38" s="22" t="n">
        <v>68</v>
      </c>
      <c r="Q38" s="23">
        <f>N38-P38</f>
        <v/>
      </c>
      <c r="R38" s="22" t="n">
        <v>80</v>
      </c>
      <c r="S38" s="22" t="n">
        <v>228</v>
      </c>
      <c r="T38" s="22" t="n">
        <v>59</v>
      </c>
      <c r="U38" s="23">
        <f>R38-T38</f>
        <v/>
      </c>
      <c r="V38" s="22" t="n">
        <v>80</v>
      </c>
      <c r="W38" s="22" t="n">
        <v>241</v>
      </c>
      <c r="X38" s="22" t="n">
        <v>63</v>
      </c>
      <c r="Y38" s="23">
        <f>V38-X38</f>
        <v/>
      </c>
      <c r="Z38" s="59">
        <f>F38+J38+N38+R38+V38</f>
        <v/>
      </c>
      <c r="AA38" s="59">
        <f>G38+K38+O38+S38+W38</f>
        <v/>
      </c>
      <c r="AB38" s="59">
        <f>H38+L38+P38+T38+X38</f>
        <v/>
      </c>
      <c r="AC38" s="59">
        <f>I38+M38+Q38+U38+Y38</f>
        <v/>
      </c>
      <c r="AD38" s="24">
        <f>IF(Z38&gt;0, (AB38/Z38)*100, 0)</f>
        <v/>
      </c>
      <c r="AE38" s="25">
        <f>IF(Z38&gt;0, AA38/Z38, 0)</f>
        <v/>
      </c>
    </row>
    <row r="39" ht="20" customHeight="1">
      <c r="A39" s="26" t="n">
        <v>34</v>
      </c>
      <c r="B39" s="26" t="inlineStr">
        <is>
          <t>0515001</t>
        </is>
      </c>
      <c r="C39" s="35" t="inlineStr">
        <is>
          <t>AGROTEKNOLOGI (PDD GAYO LUES)</t>
        </is>
      </c>
      <c r="D39" s="26" t="inlineStr">
        <is>
          <t>S1</t>
        </is>
      </c>
      <c r="E39" s="35" t="inlineStr">
        <is>
          <t>PSDKU Gayo Lues</t>
        </is>
      </c>
      <c r="F39" s="27" t="n">
        <v>40</v>
      </c>
      <c r="G39" s="27" t="n">
        <v>21</v>
      </c>
      <c r="H39" s="27" t="n">
        <v>6</v>
      </c>
      <c r="I39" s="23">
        <f>F39-H39</f>
        <v/>
      </c>
      <c r="J39" s="27" t="n">
        <v>40</v>
      </c>
      <c r="K39" s="27" t="n">
        <v>30</v>
      </c>
      <c r="L39" s="27" t="n">
        <v>13</v>
      </c>
      <c r="M39" s="23">
        <f>J39-L39</f>
        <v/>
      </c>
      <c r="N39" s="27" t="n">
        <v>40</v>
      </c>
      <c r="O39" s="27" t="n">
        <v>41</v>
      </c>
      <c r="P39" s="27" t="n">
        <v>13</v>
      </c>
      <c r="Q39" s="23">
        <f>N39-P39</f>
        <v/>
      </c>
      <c r="R39" s="27" t="n">
        <v>40</v>
      </c>
      <c r="S39" s="27" t="n">
        <v>36</v>
      </c>
      <c r="T39" s="27" t="n">
        <v>17</v>
      </c>
      <c r="U39" s="23">
        <f>R39-T39</f>
        <v/>
      </c>
      <c r="V39" s="27" t="n">
        <v>50</v>
      </c>
      <c r="W39" s="27" t="n">
        <v>21</v>
      </c>
      <c r="X39" s="27" t="n">
        <v>9</v>
      </c>
      <c r="Y39" s="23">
        <f>V39-X39</f>
        <v/>
      </c>
      <c r="Z39" s="60">
        <f>F39+J39+N39+R39+V39</f>
        <v/>
      </c>
      <c r="AA39" s="60">
        <f>G39+K39+O39+S39+W39</f>
        <v/>
      </c>
      <c r="AB39" s="60">
        <f>H39+L39+P39+T39+X39</f>
        <v/>
      </c>
      <c r="AC39" s="60">
        <f>I39+M39+Q39+U39+Y39</f>
        <v/>
      </c>
      <c r="AD39" s="28">
        <f>IF(Z39&gt;0, (AB39/Z39)*100, 0)</f>
        <v/>
      </c>
      <c r="AE39" s="29">
        <f>IF(Z39&gt;0, AA39/Z39, 0)</f>
        <v/>
      </c>
    </row>
    <row r="40" ht="20" customHeight="1">
      <c r="A40" s="21" t="n">
        <v>35</v>
      </c>
      <c r="B40" s="21" t="inlineStr">
        <is>
          <t>0615001</t>
        </is>
      </c>
      <c r="C40" s="34" t="inlineStr">
        <is>
          <t>PENDIDIKAN BIOLOGI  (PDD GAYO LUES)</t>
        </is>
      </c>
      <c r="D40" s="21" t="inlineStr">
        <is>
          <t>S1</t>
        </is>
      </c>
      <c r="E40" s="34" t="inlineStr">
        <is>
          <t>PSDKU Gayo Lues</t>
        </is>
      </c>
      <c r="F40" s="22" t="n">
        <v>40</v>
      </c>
      <c r="G40" s="22" t="n">
        <v>24</v>
      </c>
      <c r="H40" s="22" t="n">
        <v>13</v>
      </c>
      <c r="I40" s="23">
        <f>F40-H40</f>
        <v/>
      </c>
      <c r="J40" s="22" t="n">
        <v>40</v>
      </c>
      <c r="K40" s="22" t="n">
        <v>21</v>
      </c>
      <c r="L40" s="22" t="n">
        <v>11</v>
      </c>
      <c r="M40" s="23">
        <f>J40-L40</f>
        <v/>
      </c>
      <c r="N40" s="22" t="n">
        <v>40</v>
      </c>
      <c r="O40" s="22" t="n">
        <v>34</v>
      </c>
      <c r="P40" s="22" t="n">
        <v>10</v>
      </c>
      <c r="Q40" s="23">
        <f>N40-P40</f>
        <v/>
      </c>
      <c r="R40" s="22" t="n">
        <v>50</v>
      </c>
      <c r="S40" s="22" t="n">
        <v>23</v>
      </c>
      <c r="T40" s="22" t="n">
        <v>13</v>
      </c>
      <c r="U40" s="23">
        <f>R40-T40</f>
        <v/>
      </c>
      <c r="V40" s="22" t="n">
        <v>40</v>
      </c>
      <c r="W40" s="22" t="n">
        <v>13</v>
      </c>
      <c r="X40" s="22" t="n">
        <v>2</v>
      </c>
      <c r="Y40" s="23">
        <f>V40-X40</f>
        <v/>
      </c>
      <c r="Z40" s="59">
        <f>F40+J40+N40+R40+V40</f>
        <v/>
      </c>
      <c r="AA40" s="59">
        <f>G40+K40+O40+S40+W40</f>
        <v/>
      </c>
      <c r="AB40" s="59">
        <f>H40+L40+P40+T40+X40</f>
        <v/>
      </c>
      <c r="AC40" s="59">
        <f>I40+M40+Q40+U40+Y40</f>
        <v/>
      </c>
      <c r="AD40" s="24">
        <f>IF(Z40&gt;0, (AB40/Z40)*100, 0)</f>
        <v/>
      </c>
      <c r="AE40" s="25">
        <f>IF(Z40&gt;0, AA40/Z40, 0)</f>
        <v/>
      </c>
    </row>
    <row r="41" ht="20" customHeight="1">
      <c r="A41" s="26" t="n">
        <v>36</v>
      </c>
      <c r="B41" s="26" t="inlineStr">
        <is>
          <t>0515002</t>
        </is>
      </c>
      <c r="C41" s="35" t="inlineStr">
        <is>
          <t>KEHUTANAN (PDD GAYO LUES)</t>
        </is>
      </c>
      <c r="D41" s="26" t="inlineStr">
        <is>
          <t>S1</t>
        </is>
      </c>
      <c r="E41" s="35" t="inlineStr">
        <is>
          <t>PSDKU Gayo Lues</t>
        </is>
      </c>
      <c r="F41" s="27" t="n">
        <v>60</v>
      </c>
      <c r="G41" s="27" t="n">
        <v>28</v>
      </c>
      <c r="H41" s="27" t="n">
        <v>9</v>
      </c>
      <c r="I41" s="23">
        <f>F41-H41</f>
        <v/>
      </c>
      <c r="J41" s="27" t="n">
        <v>60</v>
      </c>
      <c r="K41" s="27" t="n">
        <v>39</v>
      </c>
      <c r="L41" s="27" t="n">
        <v>8</v>
      </c>
      <c r="M41" s="23">
        <f>J41-L41</f>
        <v/>
      </c>
      <c r="N41" s="27" t="n">
        <v>60</v>
      </c>
      <c r="O41" s="27" t="n">
        <v>32</v>
      </c>
      <c r="P41" s="27" t="n">
        <v>9</v>
      </c>
      <c r="Q41" s="23">
        <f>N41-P41</f>
        <v/>
      </c>
      <c r="R41" s="27" t="n">
        <v>50</v>
      </c>
      <c r="S41" s="27" t="n">
        <v>55</v>
      </c>
      <c r="T41" s="27" t="n">
        <v>18</v>
      </c>
      <c r="U41" s="23">
        <f>R41-T41</f>
        <v/>
      </c>
      <c r="V41" s="27" t="n">
        <v>50</v>
      </c>
      <c r="W41" s="27" t="n">
        <v>37</v>
      </c>
      <c r="X41" s="27" t="n">
        <v>15</v>
      </c>
      <c r="Y41" s="23">
        <f>V41-X41</f>
        <v/>
      </c>
      <c r="Z41" s="60">
        <f>F41+J41+N41+R41+V41</f>
        <v/>
      </c>
      <c r="AA41" s="60">
        <f>G41+K41+O41+S41+W41</f>
        <v/>
      </c>
      <c r="AB41" s="60">
        <f>H41+L41+P41+T41+X41</f>
        <v/>
      </c>
      <c r="AC41" s="60">
        <f>I41+M41+Q41+U41+Y41</f>
        <v/>
      </c>
      <c r="AD41" s="28">
        <f>IF(Z41&gt;0, (AB41/Z41)*100, 0)</f>
        <v/>
      </c>
      <c r="AE41" s="29">
        <f>IF(Z41&gt;0, AA41/Z41, 0)</f>
        <v/>
      </c>
    </row>
    <row r="42" ht="20" customHeight="1">
      <c r="A42" s="21" t="n">
        <v>37</v>
      </c>
      <c r="B42" s="21" t="inlineStr">
        <is>
          <t>0510901</t>
        </is>
      </c>
      <c r="C42" s="34" t="inlineStr">
        <is>
          <t>PROTEKSI TANAMAN</t>
        </is>
      </c>
      <c r="D42" s="21" t="inlineStr">
        <is>
          <t>S1</t>
        </is>
      </c>
      <c r="E42" s="34" t="inlineStr">
        <is>
          <t>Pertanian</t>
        </is>
      </c>
      <c r="F42" s="22" t="n">
        <v>80</v>
      </c>
      <c r="G42" s="22" t="n">
        <v>105</v>
      </c>
      <c r="H42" s="22" t="n">
        <v>49</v>
      </c>
      <c r="I42" s="23">
        <f>F42-H42</f>
        <v/>
      </c>
      <c r="J42" s="22" t="n">
        <v>80</v>
      </c>
      <c r="K42" s="22" t="n">
        <v>123</v>
      </c>
      <c r="L42" s="22" t="n">
        <v>48</v>
      </c>
      <c r="M42" s="23">
        <f>J42-L42</f>
        <v/>
      </c>
      <c r="N42" s="22" t="n">
        <v>80</v>
      </c>
      <c r="O42" s="22" t="n">
        <v>89</v>
      </c>
      <c r="P42" s="22" t="n">
        <v>40</v>
      </c>
      <c r="Q42" s="23">
        <f>N42-P42</f>
        <v/>
      </c>
      <c r="R42" s="22" t="n">
        <v>60</v>
      </c>
      <c r="S42" s="22" t="n">
        <v>102</v>
      </c>
      <c r="T42" s="22" t="n">
        <v>37</v>
      </c>
      <c r="U42" s="23">
        <f>R42-T42</f>
        <v/>
      </c>
      <c r="V42" s="22" t="n">
        <v>80</v>
      </c>
      <c r="W42" s="22" t="n">
        <v>109</v>
      </c>
      <c r="X42" s="22" t="n">
        <v>54</v>
      </c>
      <c r="Y42" s="23">
        <f>V42-X42</f>
        <v/>
      </c>
      <c r="Z42" s="59">
        <f>F42+J42+N42+R42+V42</f>
        <v/>
      </c>
      <c r="AA42" s="59">
        <f>G42+K42+O42+S42+W42</f>
        <v/>
      </c>
      <c r="AB42" s="59">
        <f>H42+L42+P42+T42+X42</f>
        <v/>
      </c>
      <c r="AC42" s="59">
        <f>I42+M42+Q42+U42+Y42</f>
        <v/>
      </c>
      <c r="AD42" s="24">
        <f>IF(Z42&gt;0, (AB42/Z42)*100, 0)</f>
        <v/>
      </c>
      <c r="AE42" s="25">
        <f>IF(Z42&gt;0, AA42/Z42, 0)</f>
        <v/>
      </c>
    </row>
    <row r="43" ht="20" customHeight="1">
      <c r="A43" s="26" t="n">
        <v>38</v>
      </c>
      <c r="B43" s="26" t="inlineStr">
        <is>
          <t>0411001</t>
        </is>
      </c>
      <c r="C43" s="35" t="inlineStr">
        <is>
          <t>PERENCANAAN WILAYAH DAN KOTA</t>
        </is>
      </c>
      <c r="D43" s="26" t="inlineStr">
        <is>
          <t>S1</t>
        </is>
      </c>
      <c r="E43" s="35" t="inlineStr">
        <is>
          <t>Teknik</t>
        </is>
      </c>
      <c r="F43" s="27" t="n">
        <v>120</v>
      </c>
      <c r="G43" s="27" t="n">
        <v>669</v>
      </c>
      <c r="H43" s="27" t="n">
        <v>90</v>
      </c>
      <c r="I43" s="23">
        <f>F43-H43</f>
        <v/>
      </c>
      <c r="J43" s="27" t="n">
        <v>120</v>
      </c>
      <c r="K43" s="27" t="n">
        <v>740</v>
      </c>
      <c r="L43" s="27" t="n">
        <v>93</v>
      </c>
      <c r="M43" s="23">
        <f>J43-L43</f>
        <v/>
      </c>
      <c r="N43" s="27" t="n">
        <v>120</v>
      </c>
      <c r="O43" s="27" t="n">
        <v>626</v>
      </c>
      <c r="P43" s="27" t="n">
        <v>98</v>
      </c>
      <c r="Q43" s="23">
        <f>N43-P43</f>
        <v/>
      </c>
      <c r="R43" s="27" t="n">
        <v>90</v>
      </c>
      <c r="S43" s="27" t="n">
        <v>570</v>
      </c>
      <c r="T43" s="27" t="n">
        <v>72</v>
      </c>
      <c r="U43" s="23">
        <f>R43-T43</f>
        <v/>
      </c>
      <c r="V43" s="27" t="n">
        <v>60</v>
      </c>
      <c r="W43" s="27" t="n">
        <v>637</v>
      </c>
      <c r="X43" s="27" t="n">
        <v>54</v>
      </c>
      <c r="Y43" s="23">
        <f>V43-X43</f>
        <v/>
      </c>
      <c r="Z43" s="60">
        <f>F43+J43+N43+R43+V43</f>
        <v/>
      </c>
      <c r="AA43" s="60">
        <f>G43+K43+O43+S43+W43</f>
        <v/>
      </c>
      <c r="AB43" s="60">
        <f>H43+L43+P43+T43+X43</f>
        <v/>
      </c>
      <c r="AC43" s="60">
        <f>I43+M43+Q43+U43+Y43</f>
        <v/>
      </c>
      <c r="AD43" s="28">
        <f>IF(Z43&gt;0, (AB43/Z43)*100, 0)</f>
        <v/>
      </c>
      <c r="AE43" s="29">
        <f>IF(Z43&gt;0, AA43/Z43, 0)</f>
        <v/>
      </c>
    </row>
    <row r="44" ht="20" customHeight="1">
      <c r="A44" s="21" t="n">
        <v>39</v>
      </c>
      <c r="B44" s="21" t="inlineStr">
        <is>
          <t>0511001</t>
        </is>
      </c>
      <c r="C44" s="34" t="inlineStr">
        <is>
          <t>KEHUTANAN</t>
        </is>
      </c>
      <c r="D44" s="21" t="inlineStr">
        <is>
          <t>S1</t>
        </is>
      </c>
      <c r="E44" s="34" t="inlineStr">
        <is>
          <t>Pertanian</t>
        </is>
      </c>
      <c r="F44" s="22" t="n">
        <v>120</v>
      </c>
      <c r="G44" s="22" t="n">
        <v>416</v>
      </c>
      <c r="H44" s="22" t="n">
        <v>89</v>
      </c>
      <c r="I44" s="23">
        <f>F44-H44</f>
        <v/>
      </c>
      <c r="J44" s="22" t="n">
        <v>120</v>
      </c>
      <c r="K44" s="22" t="n">
        <v>411</v>
      </c>
      <c r="L44" s="22" t="n">
        <v>75</v>
      </c>
      <c r="M44" s="23">
        <f>J44-L44</f>
        <v/>
      </c>
      <c r="N44" s="22" t="n">
        <v>120</v>
      </c>
      <c r="O44" s="22" t="n">
        <v>301</v>
      </c>
      <c r="P44" s="22" t="n">
        <v>72</v>
      </c>
      <c r="Q44" s="23">
        <f>N44-P44</f>
        <v/>
      </c>
      <c r="R44" s="22" t="n">
        <v>100</v>
      </c>
      <c r="S44" s="22" t="n">
        <v>290</v>
      </c>
      <c r="T44" s="22" t="n">
        <v>64</v>
      </c>
      <c r="U44" s="23">
        <f>R44-T44</f>
        <v/>
      </c>
      <c r="V44" s="22" t="n">
        <v>80</v>
      </c>
      <c r="W44" s="22" t="n">
        <v>337</v>
      </c>
      <c r="X44" s="22" t="n">
        <v>51</v>
      </c>
      <c r="Y44" s="23">
        <f>V44-X44</f>
        <v/>
      </c>
      <c r="Z44" s="59">
        <f>F44+J44+N44+R44+V44</f>
        <v/>
      </c>
      <c r="AA44" s="59">
        <f>G44+K44+O44+S44+W44</f>
        <v/>
      </c>
      <c r="AB44" s="59">
        <f>H44+L44+P44+T44+X44</f>
        <v/>
      </c>
      <c r="AC44" s="59">
        <f>I44+M44+Q44+U44+Y44</f>
        <v/>
      </c>
      <c r="AD44" s="24">
        <f>IF(Z44&gt;0, (AB44/Z44)*100, 0)</f>
        <v/>
      </c>
      <c r="AE44" s="25">
        <f>IF(Z44&gt;0, AA44/Z44, 0)</f>
        <v/>
      </c>
    </row>
    <row r="45" ht="20" customHeight="1">
      <c r="A45" s="26" t="n">
        <v>40</v>
      </c>
      <c r="B45" s="26" t="inlineStr">
        <is>
          <t>0411101</t>
        </is>
      </c>
      <c r="C45" s="35" t="inlineStr">
        <is>
          <t>TEKNIK KOMPUTER</t>
        </is>
      </c>
      <c r="D45" s="26" t="inlineStr">
        <is>
          <t>S1</t>
        </is>
      </c>
      <c r="E45" s="35" t="inlineStr">
        <is>
          <t>Teknik</t>
        </is>
      </c>
      <c r="F45" s="27" t="n">
        <v>160</v>
      </c>
      <c r="G45" s="27" t="n">
        <v>1466</v>
      </c>
      <c r="H45" s="27" t="n">
        <v>145</v>
      </c>
      <c r="I45" s="23">
        <f>F45-H45</f>
        <v/>
      </c>
      <c r="J45" s="27" t="n">
        <v>160</v>
      </c>
      <c r="K45" s="27" t="n">
        <v>1756</v>
      </c>
      <c r="L45" s="27" t="n">
        <v>136</v>
      </c>
      <c r="M45" s="23">
        <f>J45-L45</f>
        <v/>
      </c>
      <c r="N45" s="27" t="n">
        <v>160</v>
      </c>
      <c r="O45" s="27" t="n">
        <v>1791</v>
      </c>
      <c r="P45" s="27" t="n">
        <v>142</v>
      </c>
      <c r="Q45" s="23">
        <f>N45-P45</f>
        <v/>
      </c>
      <c r="R45" s="27" t="n">
        <v>120</v>
      </c>
      <c r="S45" s="27" t="n">
        <v>1404</v>
      </c>
      <c r="T45" s="27" t="n">
        <v>100</v>
      </c>
      <c r="U45" s="23">
        <f>R45-T45</f>
        <v/>
      </c>
      <c r="V45" s="27" t="n">
        <v>100</v>
      </c>
      <c r="W45" s="27" t="n">
        <v>1565</v>
      </c>
      <c r="X45" s="27" t="n">
        <v>85</v>
      </c>
      <c r="Y45" s="23">
        <f>V45-X45</f>
        <v/>
      </c>
      <c r="Z45" s="60">
        <f>F45+J45+N45+R45+V45</f>
        <v/>
      </c>
      <c r="AA45" s="60">
        <f>G45+K45+O45+S45+W45</f>
        <v/>
      </c>
      <c r="AB45" s="60">
        <f>H45+L45+P45+T45+X45</f>
        <v/>
      </c>
      <c r="AC45" s="60">
        <f>I45+M45+Q45+U45+Y45</f>
        <v/>
      </c>
      <c r="AD45" s="28">
        <f>IF(Z45&gt;0, (AB45/Z45)*100, 0)</f>
        <v/>
      </c>
      <c r="AE45" s="29">
        <f>IF(Z45&gt;0, AA45/Z45, 0)</f>
        <v/>
      </c>
    </row>
    <row r="46" ht="20" customHeight="1">
      <c r="A46" s="21" t="n">
        <v>41</v>
      </c>
      <c r="B46" s="21" t="inlineStr">
        <is>
          <t>0110101</t>
        </is>
      </c>
      <c r="C46" s="34" t="inlineStr">
        <is>
          <t>EKONOMI PEMBANGUNAN</t>
        </is>
      </c>
      <c r="D46" s="21" t="inlineStr">
        <is>
          <t>S1</t>
        </is>
      </c>
      <c r="E46" s="34" t="inlineStr">
        <is>
          <t>Ekonomi dan Bisnis</t>
        </is>
      </c>
      <c r="F46" s="22" t="n">
        <v>160</v>
      </c>
      <c r="G46" s="22" t="n">
        <v>694</v>
      </c>
      <c r="H46" s="22" t="n">
        <v>135</v>
      </c>
      <c r="I46" s="23">
        <f>F46-H46</f>
        <v/>
      </c>
      <c r="J46" s="22" t="n">
        <v>160</v>
      </c>
      <c r="K46" s="22" t="n">
        <v>809</v>
      </c>
      <c r="L46" s="22" t="n">
        <v>145</v>
      </c>
      <c r="M46" s="23">
        <f>J46-L46</f>
        <v/>
      </c>
      <c r="N46" s="22" t="n">
        <v>160</v>
      </c>
      <c r="O46" s="22" t="n">
        <v>770</v>
      </c>
      <c r="P46" s="22" t="n">
        <v>152</v>
      </c>
      <c r="Q46" s="23">
        <f>N46-P46</f>
        <v/>
      </c>
      <c r="R46" s="22" t="n">
        <v>160</v>
      </c>
      <c r="S46" s="22" t="n">
        <v>609</v>
      </c>
      <c r="T46" s="22" t="n">
        <v>141</v>
      </c>
      <c r="U46" s="23">
        <f>R46-T46</f>
        <v/>
      </c>
      <c r="V46" s="22" t="n">
        <v>215</v>
      </c>
      <c r="W46" s="22" t="n">
        <v>718</v>
      </c>
      <c r="X46" s="22" t="n">
        <v>169</v>
      </c>
      <c r="Y46" s="23">
        <f>V46-X46</f>
        <v/>
      </c>
      <c r="Z46" s="59">
        <f>F46+J46+N46+R46+V46</f>
        <v/>
      </c>
      <c r="AA46" s="59">
        <f>G46+K46+O46+S46+W46</f>
        <v/>
      </c>
      <c r="AB46" s="59">
        <f>H46+L46+P46+T46+X46</f>
        <v/>
      </c>
      <c r="AC46" s="59">
        <f>I46+M46+Q46+U46+Y46</f>
        <v/>
      </c>
      <c r="AD46" s="24">
        <f>IF(Z46&gt;0, (AB46/Z46)*100, 0)</f>
        <v/>
      </c>
      <c r="AE46" s="25">
        <f>IF(Z46&gt;0, AA46/Z46, 0)</f>
        <v/>
      </c>
    </row>
    <row r="47" ht="20" customHeight="1">
      <c r="A47" s="26" t="n">
        <v>42</v>
      </c>
      <c r="B47" s="26" t="inlineStr">
        <is>
          <t>0110201</t>
        </is>
      </c>
      <c r="C47" s="35" t="inlineStr">
        <is>
          <t>MANAJEMEN</t>
        </is>
      </c>
      <c r="D47" s="26" t="inlineStr">
        <is>
          <t>S1</t>
        </is>
      </c>
      <c r="E47" s="35" t="inlineStr">
        <is>
          <t>Ekonomi dan Bisnis</t>
        </is>
      </c>
      <c r="F47" s="27" t="n">
        <v>200</v>
      </c>
      <c r="G47" s="27" t="n">
        <v>2823</v>
      </c>
      <c r="H47" s="27" t="n">
        <v>199</v>
      </c>
      <c r="I47" s="23">
        <f>F47-H47</f>
        <v/>
      </c>
      <c r="J47" s="27" t="n">
        <v>200</v>
      </c>
      <c r="K47" s="27" t="n">
        <v>2638</v>
      </c>
      <c r="L47" s="27" t="n">
        <v>199</v>
      </c>
      <c r="M47" s="23">
        <f>J47-L47</f>
        <v/>
      </c>
      <c r="N47" s="27" t="n">
        <v>200</v>
      </c>
      <c r="O47" s="27" t="n">
        <v>2936</v>
      </c>
      <c r="P47" s="27" t="n">
        <v>206</v>
      </c>
      <c r="Q47" s="23">
        <f>N47-P47</f>
        <v/>
      </c>
      <c r="R47" s="27" t="n">
        <v>260</v>
      </c>
      <c r="S47" s="27" t="n">
        <v>2228</v>
      </c>
      <c r="T47" s="27" t="n">
        <v>227</v>
      </c>
      <c r="U47" s="23">
        <f>R47-T47</f>
        <v/>
      </c>
      <c r="V47" s="27" t="n">
        <v>290</v>
      </c>
      <c r="W47" s="27" t="n">
        <v>2466</v>
      </c>
      <c r="X47" s="27" t="n">
        <v>266</v>
      </c>
      <c r="Y47" s="23">
        <f>V47-X47</f>
        <v/>
      </c>
      <c r="Z47" s="60">
        <f>F47+J47+N47+R47+V47</f>
        <v/>
      </c>
      <c r="AA47" s="60">
        <f>G47+K47+O47+S47+W47</f>
        <v/>
      </c>
      <c r="AB47" s="60">
        <f>H47+L47+P47+T47+X47</f>
        <v/>
      </c>
      <c r="AC47" s="60">
        <f>I47+M47+Q47+U47+Y47</f>
        <v/>
      </c>
      <c r="AD47" s="28">
        <f>IF(Z47&gt;0, (AB47/Z47)*100, 0)</f>
        <v/>
      </c>
      <c r="AE47" s="29">
        <f>IF(Z47&gt;0, AA47/Z47, 0)</f>
        <v/>
      </c>
    </row>
    <row r="48" ht="20" customHeight="1">
      <c r="A48" s="21" t="n">
        <v>43</v>
      </c>
      <c r="B48" s="21" t="inlineStr">
        <is>
          <t>0100301</t>
        </is>
      </c>
      <c r="C48" s="34" t="inlineStr">
        <is>
          <t>AKUNTANSI</t>
        </is>
      </c>
      <c r="D48" s="21" t="inlineStr">
        <is>
          <t>S1</t>
        </is>
      </c>
      <c r="E48" s="34" t="inlineStr">
        <is>
          <t>Ekonomi dan Bisnis</t>
        </is>
      </c>
      <c r="F48" s="22" t="n">
        <v>200</v>
      </c>
      <c r="G48" s="22" t="n">
        <v>2008</v>
      </c>
      <c r="H48" s="22" t="n">
        <v>199</v>
      </c>
      <c r="I48" s="23">
        <f>F48-H48</f>
        <v/>
      </c>
      <c r="J48" s="22" t="n">
        <v>200</v>
      </c>
      <c r="K48" s="22" t="n">
        <v>1859</v>
      </c>
      <c r="L48" s="22" t="n">
        <v>194</v>
      </c>
      <c r="M48" s="23">
        <f>J48-L48</f>
        <v/>
      </c>
      <c r="N48" s="22" t="n">
        <v>200</v>
      </c>
      <c r="O48" s="22" t="n">
        <v>1855</v>
      </c>
      <c r="P48" s="22" t="n">
        <v>195</v>
      </c>
      <c r="Q48" s="23">
        <f>N48-P48</f>
        <v/>
      </c>
      <c r="R48" s="22" t="n">
        <v>200</v>
      </c>
      <c r="S48" s="22" t="n">
        <v>1482</v>
      </c>
      <c r="T48" s="22" t="n">
        <v>185</v>
      </c>
      <c r="U48" s="23">
        <f>R48-T48</f>
        <v/>
      </c>
      <c r="V48" s="22" t="n">
        <v>215</v>
      </c>
      <c r="W48" s="22" t="n">
        <v>1327</v>
      </c>
      <c r="X48" s="22" t="n">
        <v>202</v>
      </c>
      <c r="Y48" s="23">
        <f>V48-X48</f>
        <v/>
      </c>
      <c r="Z48" s="59">
        <f>F48+J48+N48+R48+V48</f>
        <v/>
      </c>
      <c r="AA48" s="59">
        <f>G48+K48+O48+S48+W48</f>
        <v/>
      </c>
      <c r="AB48" s="59">
        <f>H48+L48+P48+T48+X48</f>
        <v/>
      </c>
      <c r="AC48" s="59">
        <f>I48+M48+Q48+U48+Y48</f>
        <v/>
      </c>
      <c r="AD48" s="24">
        <f>IF(Z48&gt;0, (AB48/Z48)*100, 0)</f>
        <v/>
      </c>
      <c r="AE48" s="25">
        <f>IF(Z48&gt;0, AA48/Z48, 0)</f>
        <v/>
      </c>
    </row>
    <row r="49" ht="20" customHeight="1">
      <c r="A49" s="26" t="n">
        <v>44</v>
      </c>
      <c r="B49" s="26" t="inlineStr">
        <is>
          <t>0310101</t>
        </is>
      </c>
      <c r="C49" s="35" t="inlineStr">
        <is>
          <t>ILMU HUKUM</t>
        </is>
      </c>
      <c r="D49" s="26" t="inlineStr">
        <is>
          <t>S1</t>
        </is>
      </c>
      <c r="E49" s="35" t="inlineStr">
        <is>
          <t>Hukum</t>
        </is>
      </c>
      <c r="F49" s="27" t="n">
        <v>560</v>
      </c>
      <c r="G49" s="27" t="n">
        <v>3720</v>
      </c>
      <c r="H49" s="27" t="n">
        <v>558</v>
      </c>
      <c r="I49" s="23">
        <f>F49-H49</f>
        <v/>
      </c>
      <c r="J49" s="27" t="n">
        <v>560</v>
      </c>
      <c r="K49" s="27" t="n">
        <v>3880</v>
      </c>
      <c r="L49" s="27" t="n">
        <v>552</v>
      </c>
      <c r="M49" s="23">
        <f>J49-L49</f>
        <v/>
      </c>
      <c r="N49" s="27" t="n">
        <v>560</v>
      </c>
      <c r="O49" s="27" t="n">
        <v>3356</v>
      </c>
      <c r="P49" s="27" t="n">
        <v>566</v>
      </c>
      <c r="Q49" s="23">
        <f>N49-P49</f>
        <v/>
      </c>
      <c r="R49" s="27" t="n">
        <v>495</v>
      </c>
      <c r="S49" s="27" t="n">
        <v>2216</v>
      </c>
      <c r="T49" s="27" t="n">
        <v>459</v>
      </c>
      <c r="U49" s="23">
        <f>R49-T49</f>
        <v/>
      </c>
      <c r="V49" s="27" t="n">
        <v>440</v>
      </c>
      <c r="W49" s="27" t="n">
        <v>2532</v>
      </c>
      <c r="X49" s="27" t="n">
        <v>423</v>
      </c>
      <c r="Y49" s="23">
        <f>V49-X49</f>
        <v/>
      </c>
      <c r="Z49" s="60">
        <f>F49+J49+N49+R49+V49</f>
        <v/>
      </c>
      <c r="AA49" s="60">
        <f>G49+K49+O49+S49+W49</f>
        <v/>
      </c>
      <c r="AB49" s="60">
        <f>H49+L49+P49+T49+X49</f>
        <v/>
      </c>
      <c r="AC49" s="60">
        <f>I49+M49+Q49+U49+Y49</f>
        <v/>
      </c>
      <c r="AD49" s="28">
        <f>IF(Z49&gt;0, (AB49/Z49)*100, 0)</f>
        <v/>
      </c>
      <c r="AE49" s="29">
        <f>IF(Z49&gt;0, AA49/Z49, 0)</f>
        <v/>
      </c>
    </row>
    <row r="50" ht="20" customHeight="1">
      <c r="A50" s="21" t="n">
        <v>45</v>
      </c>
      <c r="B50" s="21" t="inlineStr">
        <is>
          <t>0610101</t>
        </is>
      </c>
      <c r="C50" s="34" t="inlineStr">
        <is>
          <t>PENDIDIKAN PANCASILA DAN KEWARGANEGARAAN</t>
        </is>
      </c>
      <c r="D50" s="21" t="inlineStr">
        <is>
          <t>S1</t>
        </is>
      </c>
      <c r="E50" s="34" t="inlineStr">
        <is>
          <t>FKIP</t>
        </is>
      </c>
      <c r="F50" s="22" t="n">
        <v>140</v>
      </c>
      <c r="G50" s="22" t="n">
        <v>1025</v>
      </c>
      <c r="H50" s="22" t="n">
        <v>129</v>
      </c>
      <c r="I50" s="23">
        <f>F50-H50</f>
        <v/>
      </c>
      <c r="J50" s="22" t="n">
        <v>140</v>
      </c>
      <c r="K50" s="22" t="n">
        <v>983</v>
      </c>
      <c r="L50" s="22" t="n">
        <v>110</v>
      </c>
      <c r="M50" s="23">
        <f>J50-L50</f>
        <v/>
      </c>
      <c r="N50" s="22" t="n">
        <v>140</v>
      </c>
      <c r="O50" s="22" t="n">
        <v>750</v>
      </c>
      <c r="P50" s="22" t="n">
        <v>106</v>
      </c>
      <c r="Q50" s="23">
        <f>N50-P50</f>
        <v/>
      </c>
      <c r="R50" s="22" t="n">
        <v>110</v>
      </c>
      <c r="S50" s="22" t="n">
        <v>546</v>
      </c>
      <c r="T50" s="22" t="n">
        <v>86</v>
      </c>
      <c r="U50" s="23">
        <f>R50-T50</f>
        <v/>
      </c>
      <c r="V50" s="22" t="n">
        <v>100</v>
      </c>
      <c r="W50" s="22" t="n">
        <v>434</v>
      </c>
      <c r="X50" s="22" t="n">
        <v>77</v>
      </c>
      <c r="Y50" s="23">
        <f>V50-X50</f>
        <v/>
      </c>
      <c r="Z50" s="59">
        <f>F50+J50+N50+R50+V50</f>
        <v/>
      </c>
      <c r="AA50" s="59">
        <f>G50+K50+O50+S50+W50</f>
        <v/>
      </c>
      <c r="AB50" s="59">
        <f>H50+L50+P50+T50+X50</f>
        <v/>
      </c>
      <c r="AC50" s="59">
        <f>I50+M50+Q50+U50+Y50</f>
        <v/>
      </c>
      <c r="AD50" s="24">
        <f>IF(Z50&gt;0, (AB50/Z50)*100, 0)</f>
        <v/>
      </c>
      <c r="AE50" s="25">
        <f>IF(Z50&gt;0, AA50/Z50, 0)</f>
        <v/>
      </c>
    </row>
    <row r="51" ht="20" customHeight="1">
      <c r="A51" s="26" t="n">
        <v>46</v>
      </c>
      <c r="B51" s="26" t="inlineStr">
        <is>
          <t>0610102</t>
        </is>
      </c>
      <c r="C51" s="35" t="inlineStr">
        <is>
          <t>PENDIDIKAN SEJARAH</t>
        </is>
      </c>
      <c r="D51" s="26" t="inlineStr">
        <is>
          <t>S1</t>
        </is>
      </c>
      <c r="E51" s="35" t="inlineStr">
        <is>
          <t>FKIP</t>
        </is>
      </c>
      <c r="F51" s="27" t="n">
        <v>120</v>
      </c>
      <c r="G51" s="27" t="n">
        <v>643</v>
      </c>
      <c r="H51" s="27" t="n">
        <v>84</v>
      </c>
      <c r="I51" s="23">
        <f>F51-H51</f>
        <v/>
      </c>
      <c r="J51" s="27" t="n">
        <v>120</v>
      </c>
      <c r="K51" s="27" t="n">
        <v>717</v>
      </c>
      <c r="L51" s="27" t="n">
        <v>93</v>
      </c>
      <c r="M51" s="23">
        <f>J51-L51</f>
        <v/>
      </c>
      <c r="N51" s="27" t="n">
        <v>120</v>
      </c>
      <c r="O51" s="27" t="n">
        <v>583</v>
      </c>
      <c r="P51" s="27" t="n">
        <v>92</v>
      </c>
      <c r="Q51" s="23">
        <f>N51-P51</f>
        <v/>
      </c>
      <c r="R51" s="27" t="n">
        <v>110</v>
      </c>
      <c r="S51" s="27" t="n">
        <v>374</v>
      </c>
      <c r="T51" s="27" t="n">
        <v>69</v>
      </c>
      <c r="U51" s="23">
        <f>R51-T51</f>
        <v/>
      </c>
      <c r="V51" s="27" t="n">
        <v>100</v>
      </c>
      <c r="W51" s="27" t="n">
        <v>406</v>
      </c>
      <c r="X51" s="27" t="n">
        <v>74</v>
      </c>
      <c r="Y51" s="23">
        <f>V51-X51</f>
        <v/>
      </c>
      <c r="Z51" s="60">
        <f>F51+J51+N51+R51+V51</f>
        <v/>
      </c>
      <c r="AA51" s="60">
        <f>G51+K51+O51+S51+W51</f>
        <v/>
      </c>
      <c r="AB51" s="60">
        <f>H51+L51+P51+T51+X51</f>
        <v/>
      </c>
      <c r="AC51" s="60">
        <f>I51+M51+Q51+U51+Y51</f>
        <v/>
      </c>
      <c r="AD51" s="28">
        <f>IF(Z51&gt;0, (AB51/Z51)*100, 0)</f>
        <v/>
      </c>
      <c r="AE51" s="29">
        <f>IF(Z51&gt;0, AA51/Z51, 0)</f>
        <v/>
      </c>
    </row>
    <row r="52" ht="20" customHeight="1">
      <c r="A52" s="21" t="n">
        <v>47</v>
      </c>
      <c r="B52" s="21" t="inlineStr">
        <is>
          <t>0610103</t>
        </is>
      </c>
      <c r="C52" s="34" t="inlineStr">
        <is>
          <t>PENDIDIKAN EKONOMI</t>
        </is>
      </c>
      <c r="D52" s="21" t="inlineStr">
        <is>
          <t>S1</t>
        </is>
      </c>
      <c r="E52" s="34" t="inlineStr">
        <is>
          <t>FKIP</t>
        </is>
      </c>
      <c r="F52" s="22" t="n">
        <v>160</v>
      </c>
      <c r="G52" s="22" t="n">
        <v>404</v>
      </c>
      <c r="H52" s="22" t="n">
        <v>103</v>
      </c>
      <c r="I52" s="23">
        <f>F52-H52</f>
        <v/>
      </c>
      <c r="J52" s="22" t="n">
        <v>160</v>
      </c>
      <c r="K52" s="22" t="n">
        <v>460</v>
      </c>
      <c r="L52" s="22" t="n">
        <v>104</v>
      </c>
      <c r="M52" s="23">
        <f>J52-L52</f>
        <v/>
      </c>
      <c r="N52" s="22" t="n">
        <v>160</v>
      </c>
      <c r="O52" s="22" t="n">
        <v>347</v>
      </c>
      <c r="P52" s="22" t="n">
        <v>107</v>
      </c>
      <c r="Q52" s="23">
        <f>N52-P52</f>
        <v/>
      </c>
      <c r="R52" s="22" t="n">
        <v>110</v>
      </c>
      <c r="S52" s="22" t="n">
        <v>286</v>
      </c>
      <c r="T52" s="22" t="n">
        <v>76</v>
      </c>
      <c r="U52" s="23">
        <f>R52-T52</f>
        <v/>
      </c>
      <c r="V52" s="22" t="n">
        <v>100</v>
      </c>
      <c r="W52" s="22" t="n">
        <v>276</v>
      </c>
      <c r="X52" s="22" t="n">
        <v>79</v>
      </c>
      <c r="Y52" s="23">
        <f>V52-X52</f>
        <v/>
      </c>
      <c r="Z52" s="59">
        <f>F52+J52+N52+R52+V52</f>
        <v/>
      </c>
      <c r="AA52" s="59">
        <f>G52+K52+O52+S52+W52</f>
        <v/>
      </c>
      <c r="AB52" s="59">
        <f>H52+L52+P52+T52+X52</f>
        <v/>
      </c>
      <c r="AC52" s="59">
        <f>I52+M52+Q52+U52+Y52</f>
        <v/>
      </c>
      <c r="AD52" s="24">
        <f>IF(Z52&gt;0, (AB52/Z52)*100, 0)</f>
        <v/>
      </c>
      <c r="AE52" s="25">
        <f>IF(Z52&gt;0, AA52/Z52, 0)</f>
        <v/>
      </c>
    </row>
    <row r="53" ht="20" customHeight="1">
      <c r="A53" s="26" t="n">
        <v>48</v>
      </c>
      <c r="B53" s="26" t="inlineStr">
        <is>
          <t>0610104</t>
        </is>
      </c>
      <c r="C53" s="35" t="inlineStr">
        <is>
          <t>PENDIDIKAN GEOGRAFI</t>
        </is>
      </c>
      <c r="D53" s="26" t="inlineStr">
        <is>
          <t>S1</t>
        </is>
      </c>
      <c r="E53" s="35" t="inlineStr">
        <is>
          <t>FKIP</t>
        </is>
      </c>
      <c r="F53" s="27" t="n">
        <v>160</v>
      </c>
      <c r="G53" s="27" t="n">
        <v>494</v>
      </c>
      <c r="H53" s="27" t="n">
        <v>119</v>
      </c>
      <c r="I53" s="23">
        <f>F53-H53</f>
        <v/>
      </c>
      <c r="J53" s="27" t="n">
        <v>160</v>
      </c>
      <c r="K53" s="27" t="n">
        <v>499</v>
      </c>
      <c r="L53" s="27" t="n">
        <v>111</v>
      </c>
      <c r="M53" s="23">
        <f>J53-L53</f>
        <v/>
      </c>
      <c r="N53" s="27" t="n">
        <v>160</v>
      </c>
      <c r="O53" s="27" t="n">
        <v>355</v>
      </c>
      <c r="P53" s="27" t="n">
        <v>102</v>
      </c>
      <c r="Q53" s="23">
        <f>N53-P53</f>
        <v/>
      </c>
      <c r="R53" s="27" t="n">
        <v>110</v>
      </c>
      <c r="S53" s="27" t="n">
        <v>296</v>
      </c>
      <c r="T53" s="27" t="n">
        <v>82</v>
      </c>
      <c r="U53" s="23">
        <f>R53-T53</f>
        <v/>
      </c>
      <c r="V53" s="27" t="n">
        <v>100</v>
      </c>
      <c r="W53" s="27" t="n">
        <v>294</v>
      </c>
      <c r="X53" s="27" t="n">
        <v>71</v>
      </c>
      <c r="Y53" s="23">
        <f>V53-X53</f>
        <v/>
      </c>
      <c r="Z53" s="60">
        <f>F53+J53+N53+R53+V53</f>
        <v/>
      </c>
      <c r="AA53" s="60">
        <f>G53+K53+O53+S53+W53</f>
        <v/>
      </c>
      <c r="AB53" s="60">
        <f>H53+L53+P53+T53+X53</f>
        <v/>
      </c>
      <c r="AC53" s="60">
        <f>I53+M53+Q53+U53+Y53</f>
        <v/>
      </c>
      <c r="AD53" s="28">
        <f>IF(Z53&gt;0, (AB53/Z53)*100, 0)</f>
        <v/>
      </c>
      <c r="AE53" s="29">
        <f>IF(Z53&gt;0, AA53/Z53, 0)</f>
        <v/>
      </c>
    </row>
    <row r="54" ht="20" customHeight="1">
      <c r="A54" s="21" t="n">
        <v>49</v>
      </c>
      <c r="B54" s="21" t="inlineStr">
        <is>
          <t>0610201</t>
        </is>
      </c>
      <c r="C54" s="34" t="inlineStr">
        <is>
          <t>PENDIDIKAN BAHASA INDONESIA</t>
        </is>
      </c>
      <c r="D54" s="21" t="inlineStr">
        <is>
          <t>S1</t>
        </is>
      </c>
      <c r="E54" s="34" t="inlineStr">
        <is>
          <t>FKIP</t>
        </is>
      </c>
      <c r="F54" s="22" t="n">
        <v>160</v>
      </c>
      <c r="G54" s="22" t="n">
        <v>1294</v>
      </c>
      <c r="H54" s="22" t="n">
        <v>134</v>
      </c>
      <c r="I54" s="23">
        <f>F54-H54</f>
        <v/>
      </c>
      <c r="J54" s="22" t="n">
        <v>160</v>
      </c>
      <c r="K54" s="22" t="n">
        <v>1049</v>
      </c>
      <c r="L54" s="22" t="n">
        <v>124</v>
      </c>
      <c r="M54" s="23">
        <f>J54-L54</f>
        <v/>
      </c>
      <c r="N54" s="22" t="n">
        <v>160</v>
      </c>
      <c r="O54" s="22" t="n">
        <v>920</v>
      </c>
      <c r="P54" s="22" t="n">
        <v>133</v>
      </c>
      <c r="Q54" s="23">
        <f>N54-P54</f>
        <v/>
      </c>
      <c r="R54" s="22" t="n">
        <v>100</v>
      </c>
      <c r="S54" s="22" t="n">
        <v>648</v>
      </c>
      <c r="T54" s="22" t="n">
        <v>82</v>
      </c>
      <c r="U54" s="23">
        <f>R54-T54</f>
        <v/>
      </c>
      <c r="V54" s="22" t="n">
        <v>90</v>
      </c>
      <c r="W54" s="22" t="n">
        <v>501</v>
      </c>
      <c r="X54" s="22" t="n">
        <v>64</v>
      </c>
      <c r="Y54" s="23">
        <f>V54-X54</f>
        <v/>
      </c>
      <c r="Z54" s="59">
        <f>F54+J54+N54+R54+V54</f>
        <v/>
      </c>
      <c r="AA54" s="59">
        <f>G54+K54+O54+S54+W54</f>
        <v/>
      </c>
      <c r="AB54" s="59">
        <f>H54+L54+P54+T54+X54</f>
        <v/>
      </c>
      <c r="AC54" s="59">
        <f>I54+M54+Q54+U54+Y54</f>
        <v/>
      </c>
      <c r="AD54" s="24">
        <f>IF(Z54&gt;0, (AB54/Z54)*100, 0)</f>
        <v/>
      </c>
      <c r="AE54" s="25">
        <f>IF(Z54&gt;0, AA54/Z54, 0)</f>
        <v/>
      </c>
    </row>
    <row r="55" ht="20" customHeight="1">
      <c r="A55" s="26" t="n">
        <v>50</v>
      </c>
      <c r="B55" s="26" t="inlineStr">
        <is>
          <t>0610202</t>
        </is>
      </c>
      <c r="C55" s="35" t="inlineStr">
        <is>
          <t>PENDIDIKAN BAHASA INGGRIS</t>
        </is>
      </c>
      <c r="D55" s="26" t="inlineStr">
        <is>
          <t>S1</t>
        </is>
      </c>
      <c r="E55" s="35" t="inlineStr">
        <is>
          <t>FKIP</t>
        </is>
      </c>
      <c r="F55" s="27" t="n">
        <v>160</v>
      </c>
      <c r="G55" s="27" t="n">
        <v>1111</v>
      </c>
      <c r="H55" s="27" t="n">
        <v>149</v>
      </c>
      <c r="I55" s="23">
        <f>F55-H55</f>
        <v/>
      </c>
      <c r="J55" s="27" t="n">
        <v>160</v>
      </c>
      <c r="K55" s="27" t="n">
        <v>1029</v>
      </c>
      <c r="L55" s="27" t="n">
        <v>154</v>
      </c>
      <c r="M55" s="23">
        <f>J55-L55</f>
        <v/>
      </c>
      <c r="N55" s="27" t="n">
        <v>160</v>
      </c>
      <c r="O55" s="27" t="n">
        <v>874</v>
      </c>
      <c r="P55" s="27" t="n">
        <v>136</v>
      </c>
      <c r="Q55" s="23">
        <f>N55-P55</f>
        <v/>
      </c>
      <c r="R55" s="27" t="n">
        <v>120</v>
      </c>
      <c r="S55" s="27" t="n">
        <v>712</v>
      </c>
      <c r="T55" s="27" t="n">
        <v>104</v>
      </c>
      <c r="U55" s="23">
        <f>R55-T55</f>
        <v/>
      </c>
      <c r="V55" s="27" t="n">
        <v>120</v>
      </c>
      <c r="W55" s="27" t="n">
        <v>651</v>
      </c>
      <c r="X55" s="27" t="n">
        <v>113</v>
      </c>
      <c r="Y55" s="23">
        <f>V55-X55</f>
        <v/>
      </c>
      <c r="Z55" s="60">
        <f>F55+J55+N55+R55+V55</f>
        <v/>
      </c>
      <c r="AA55" s="60">
        <f>G55+K55+O55+S55+W55</f>
        <v/>
      </c>
      <c r="AB55" s="60">
        <f>H55+L55+P55+T55+X55</f>
        <v/>
      </c>
      <c r="AC55" s="60">
        <f>I55+M55+Q55+U55+Y55</f>
        <v/>
      </c>
      <c r="AD55" s="28">
        <f>IF(Z55&gt;0, (AB55/Z55)*100, 0)</f>
        <v/>
      </c>
      <c r="AE55" s="29">
        <f>IF(Z55&gt;0, AA55/Z55, 0)</f>
        <v/>
      </c>
    </row>
    <row r="56" ht="20" customHeight="1">
      <c r="A56" s="21" t="n">
        <v>51</v>
      </c>
      <c r="B56" s="21" t="inlineStr">
        <is>
          <t>0610203</t>
        </is>
      </c>
      <c r="C56" s="34" t="inlineStr">
        <is>
          <t>PENDIDIKAN SENI DRAMA TARI DAN MUSIK</t>
        </is>
      </c>
      <c r="D56" s="21" t="inlineStr">
        <is>
          <t>S1</t>
        </is>
      </c>
      <c r="E56" s="34" t="inlineStr">
        <is>
          <t>FKIP</t>
        </is>
      </c>
      <c r="F56" s="22" t="n">
        <v>120</v>
      </c>
      <c r="G56" s="22" t="n">
        <v>386</v>
      </c>
      <c r="H56" s="22" t="n">
        <v>111</v>
      </c>
      <c r="I56" s="23">
        <f>F56-H56</f>
        <v/>
      </c>
      <c r="J56" s="22" t="n">
        <v>120</v>
      </c>
      <c r="K56" s="22" t="n">
        <v>426</v>
      </c>
      <c r="L56" s="22" t="n">
        <v>103</v>
      </c>
      <c r="M56" s="23">
        <f>J56-L56</f>
        <v/>
      </c>
      <c r="N56" s="22" t="n">
        <v>160</v>
      </c>
      <c r="O56" s="22" t="n">
        <v>227</v>
      </c>
      <c r="P56" s="22" t="n">
        <v>125</v>
      </c>
      <c r="Q56" s="23">
        <f>N56-P56</f>
        <v/>
      </c>
      <c r="R56" s="22" t="n">
        <v>125</v>
      </c>
      <c r="S56" s="22" t="n">
        <v>181</v>
      </c>
      <c r="T56" s="22" t="n">
        <v>94</v>
      </c>
      <c r="U56" s="23">
        <f>R56-T56</f>
        <v/>
      </c>
      <c r="V56" s="22" t="n">
        <v>120</v>
      </c>
      <c r="W56" s="22" t="n">
        <v>612</v>
      </c>
      <c r="X56" s="22" t="n">
        <v>102</v>
      </c>
      <c r="Y56" s="23">
        <f>V56-X56</f>
        <v/>
      </c>
      <c r="Z56" s="59">
        <f>F56+J56+N56+R56+V56</f>
        <v/>
      </c>
      <c r="AA56" s="59">
        <f>G56+K56+O56+S56+W56</f>
        <v/>
      </c>
      <c r="AB56" s="59">
        <f>H56+L56+P56+T56+X56</f>
        <v/>
      </c>
      <c r="AC56" s="59">
        <f>I56+M56+Q56+U56+Y56</f>
        <v/>
      </c>
      <c r="AD56" s="24">
        <f>IF(Z56&gt;0, (AB56/Z56)*100, 0)</f>
        <v/>
      </c>
      <c r="AE56" s="25">
        <f>IF(Z56&gt;0, AA56/Z56, 0)</f>
        <v/>
      </c>
    </row>
    <row r="57" ht="20" customHeight="1">
      <c r="A57" s="26" t="n">
        <v>52</v>
      </c>
      <c r="B57" s="26" t="inlineStr">
        <is>
          <t>0610401</t>
        </is>
      </c>
      <c r="C57" s="35" t="inlineStr">
        <is>
          <t>PENDIDIKAN KESEJAHTERAAN KELUARGA</t>
        </is>
      </c>
      <c r="D57" s="26" t="inlineStr">
        <is>
          <t>S1</t>
        </is>
      </c>
      <c r="E57" s="35" t="inlineStr">
        <is>
          <t>FKIP</t>
        </is>
      </c>
      <c r="F57" s="27" t="n">
        <v>160</v>
      </c>
      <c r="G57" s="27" t="n">
        <v>943</v>
      </c>
      <c r="H57" s="27" t="n">
        <v>149</v>
      </c>
      <c r="I57" s="23">
        <f>F57-H57</f>
        <v/>
      </c>
      <c r="J57" s="27" t="n">
        <v>160</v>
      </c>
      <c r="K57" s="27" t="n">
        <v>840</v>
      </c>
      <c r="L57" s="27" t="n">
        <v>141</v>
      </c>
      <c r="M57" s="23">
        <f>J57-L57</f>
        <v/>
      </c>
      <c r="N57" s="27" t="n">
        <v>160</v>
      </c>
      <c r="O57" s="27" t="n">
        <v>884</v>
      </c>
      <c r="P57" s="27" t="n">
        <v>139</v>
      </c>
      <c r="Q57" s="23">
        <f>N57-P57</f>
        <v/>
      </c>
      <c r="R57" s="27" t="n">
        <v>110</v>
      </c>
      <c r="S57" s="27" t="n">
        <v>890</v>
      </c>
      <c r="T57" s="27" t="n">
        <v>100</v>
      </c>
      <c r="U57" s="23">
        <f>R57-T57</f>
        <v/>
      </c>
      <c r="V57" s="27" t="n">
        <v>100</v>
      </c>
      <c r="W57" s="27" t="n">
        <v>897</v>
      </c>
      <c r="X57" s="27" t="n">
        <v>91</v>
      </c>
      <c r="Y57" s="23">
        <f>V57-X57</f>
        <v/>
      </c>
      <c r="Z57" s="60">
        <f>F57+J57+N57+R57+V57</f>
        <v/>
      </c>
      <c r="AA57" s="60">
        <f>G57+K57+O57+S57+W57</f>
        <v/>
      </c>
      <c r="AB57" s="60">
        <f>H57+L57+P57+T57+X57</f>
        <v/>
      </c>
      <c r="AC57" s="60">
        <f>I57+M57+Q57+U57+Y57</f>
        <v/>
      </c>
      <c r="AD57" s="28">
        <f>IF(Z57&gt;0, (AB57/Z57)*100, 0)</f>
        <v/>
      </c>
      <c r="AE57" s="29">
        <f>IF(Z57&gt;0, AA57/Z57, 0)</f>
        <v/>
      </c>
    </row>
    <row r="58" ht="20" customHeight="1">
      <c r="A58" s="21" t="n">
        <v>53</v>
      </c>
      <c r="B58" s="21" t="inlineStr">
        <is>
          <t>0610402</t>
        </is>
      </c>
      <c r="C58" s="34" t="inlineStr">
        <is>
          <t>PENDIDIKAN JASMANI KESEHATAN DAN REKREASI</t>
        </is>
      </c>
      <c r="D58" s="21" t="inlineStr">
        <is>
          <t>S1</t>
        </is>
      </c>
      <c r="E58" s="34" t="inlineStr">
        <is>
          <t>FKIP</t>
        </is>
      </c>
      <c r="F58" s="22" t="n">
        <v>200</v>
      </c>
      <c r="G58" s="22" t="n">
        <v>812</v>
      </c>
      <c r="H58" s="22" t="n">
        <v>198</v>
      </c>
      <c r="I58" s="23">
        <f>F58-H58</f>
        <v/>
      </c>
      <c r="J58" s="22" t="n">
        <v>200</v>
      </c>
      <c r="K58" s="22" t="n">
        <v>923</v>
      </c>
      <c r="L58" s="22" t="n">
        <v>186</v>
      </c>
      <c r="M58" s="23">
        <f>J58-L58</f>
        <v/>
      </c>
      <c r="N58" s="22" t="n">
        <v>160</v>
      </c>
      <c r="O58" s="22" t="n">
        <v>524</v>
      </c>
      <c r="P58" s="22" t="n">
        <v>159</v>
      </c>
      <c r="Q58" s="23">
        <f>N58-P58</f>
        <v/>
      </c>
      <c r="R58" s="22" t="n">
        <v>125</v>
      </c>
      <c r="S58" s="22" t="n">
        <v>380</v>
      </c>
      <c r="T58" s="22" t="n">
        <v>101</v>
      </c>
      <c r="U58" s="23">
        <f>R58-T58</f>
        <v/>
      </c>
      <c r="V58" s="22" t="n">
        <v>120</v>
      </c>
      <c r="W58" s="22" t="n">
        <v>300</v>
      </c>
      <c r="X58" s="22" t="n">
        <v>103</v>
      </c>
      <c r="Y58" s="23">
        <f>V58-X58</f>
        <v/>
      </c>
      <c r="Z58" s="59">
        <f>F58+J58+N58+R58+V58</f>
        <v/>
      </c>
      <c r="AA58" s="59">
        <f>G58+K58+O58+S58+W58</f>
        <v/>
      </c>
      <c r="AB58" s="59">
        <f>H58+L58+P58+T58+X58</f>
        <v/>
      </c>
      <c r="AC58" s="59">
        <f>I58+M58+Q58+U58+Y58</f>
        <v/>
      </c>
      <c r="AD58" s="24">
        <f>IF(Z58&gt;0, (AB58/Z58)*100, 0)</f>
        <v/>
      </c>
      <c r="AE58" s="25">
        <f>IF(Z58&gt;0, AA58/Z58, 0)</f>
        <v/>
      </c>
    </row>
    <row r="59" ht="20" customHeight="1">
      <c r="A59" s="26" t="n">
        <v>54</v>
      </c>
      <c r="B59" s="26" t="inlineStr">
        <is>
          <t>0610403</t>
        </is>
      </c>
      <c r="C59" s="35" t="inlineStr">
        <is>
          <t>BIMBINGAN KONSELING</t>
        </is>
      </c>
      <c r="D59" s="26" t="inlineStr">
        <is>
          <t>S1</t>
        </is>
      </c>
      <c r="E59" s="35" t="inlineStr">
        <is>
          <t>FKIP</t>
        </is>
      </c>
      <c r="F59" s="27" t="n">
        <v>150</v>
      </c>
      <c r="G59" s="27" t="n">
        <v>1754</v>
      </c>
      <c r="H59" s="27" t="n">
        <v>145</v>
      </c>
      <c r="I59" s="23">
        <f>F59-H59</f>
        <v/>
      </c>
      <c r="J59" s="27" t="n">
        <v>150</v>
      </c>
      <c r="K59" s="27" t="n">
        <v>2382</v>
      </c>
      <c r="L59" s="27" t="n">
        <v>145</v>
      </c>
      <c r="M59" s="23">
        <f>J59-L59</f>
        <v/>
      </c>
      <c r="N59" s="27" t="n">
        <v>120</v>
      </c>
      <c r="O59" s="27" t="n">
        <v>1720</v>
      </c>
      <c r="P59" s="27" t="n">
        <v>115</v>
      </c>
      <c r="Q59" s="23">
        <f>N59-P59</f>
        <v/>
      </c>
      <c r="R59" s="27" t="n">
        <v>110</v>
      </c>
      <c r="S59" s="27" t="n">
        <v>1236</v>
      </c>
      <c r="T59" s="27" t="n">
        <v>101</v>
      </c>
      <c r="U59" s="23">
        <f>R59-T59</f>
        <v/>
      </c>
      <c r="V59" s="27" t="n">
        <v>100</v>
      </c>
      <c r="W59" s="27" t="n">
        <v>1160</v>
      </c>
      <c r="X59" s="27" t="n">
        <v>94</v>
      </c>
      <c r="Y59" s="23">
        <f>V59-X59</f>
        <v/>
      </c>
      <c r="Z59" s="60">
        <f>F59+J59+N59+R59+V59</f>
        <v/>
      </c>
      <c r="AA59" s="60">
        <f>G59+K59+O59+S59+W59</f>
        <v/>
      </c>
      <c r="AB59" s="60">
        <f>H59+L59+P59+T59+X59</f>
        <v/>
      </c>
      <c r="AC59" s="60">
        <f>I59+M59+Q59+U59+Y59</f>
        <v/>
      </c>
      <c r="AD59" s="28">
        <f>IF(Z59&gt;0, (AB59/Z59)*100, 0)</f>
        <v/>
      </c>
      <c r="AE59" s="29">
        <f>IF(Z59&gt;0, AA59/Z59, 0)</f>
        <v/>
      </c>
    </row>
    <row r="60" ht="20" customHeight="1">
      <c r="A60" s="21" t="n">
        <v>55</v>
      </c>
      <c r="B60" s="21" t="inlineStr">
        <is>
          <t>0610404</t>
        </is>
      </c>
      <c r="C60" s="34" t="inlineStr">
        <is>
          <t>PENDIDIKAN GURU SEKOLAH DASAR</t>
        </is>
      </c>
      <c r="D60" s="21" t="inlineStr">
        <is>
          <t>S1</t>
        </is>
      </c>
      <c r="E60" s="34" t="inlineStr">
        <is>
          <t>FKIP</t>
        </is>
      </c>
      <c r="F60" s="22" t="n">
        <v>230</v>
      </c>
      <c r="G60" s="22" t="n">
        <v>2175</v>
      </c>
      <c r="H60" s="22" t="n">
        <v>217</v>
      </c>
      <c r="I60" s="23">
        <f>F60-H60</f>
        <v/>
      </c>
      <c r="J60" s="22" t="n">
        <v>230</v>
      </c>
      <c r="K60" s="22" t="n">
        <v>2324</v>
      </c>
      <c r="L60" s="22" t="n">
        <v>204</v>
      </c>
      <c r="M60" s="23">
        <f>J60-L60</f>
        <v/>
      </c>
      <c r="N60" s="22" t="n">
        <v>200</v>
      </c>
      <c r="O60" s="22" t="n">
        <v>2269</v>
      </c>
      <c r="P60" s="22" t="n">
        <v>188</v>
      </c>
      <c r="Q60" s="23">
        <f>N60-P60</f>
        <v/>
      </c>
      <c r="R60" s="22" t="n">
        <v>130</v>
      </c>
      <c r="S60" s="22" t="n">
        <v>1730</v>
      </c>
      <c r="T60" s="22" t="n">
        <v>108</v>
      </c>
      <c r="U60" s="23">
        <f>R60-T60</f>
        <v/>
      </c>
      <c r="V60" s="22" t="n">
        <v>120</v>
      </c>
      <c r="W60" s="22" t="n">
        <v>1621</v>
      </c>
      <c r="X60" s="22" t="n">
        <v>105</v>
      </c>
      <c r="Y60" s="23">
        <f>V60-X60</f>
        <v/>
      </c>
      <c r="Z60" s="59">
        <f>F60+J60+N60+R60+V60</f>
        <v/>
      </c>
      <c r="AA60" s="59">
        <f>G60+K60+O60+S60+W60</f>
        <v/>
      </c>
      <c r="AB60" s="59">
        <f>H60+L60+P60+T60+X60</f>
        <v/>
      </c>
      <c r="AC60" s="59">
        <f>I60+M60+Q60+U60+Y60</f>
        <v/>
      </c>
      <c r="AD60" s="24">
        <f>IF(Z60&gt;0, (AB60/Z60)*100, 0)</f>
        <v/>
      </c>
      <c r="AE60" s="25">
        <f>IF(Z60&gt;0, AA60/Z60, 0)</f>
        <v/>
      </c>
    </row>
    <row r="61" ht="20" customHeight="1">
      <c r="A61" s="26" t="n">
        <v>56</v>
      </c>
      <c r="B61" s="26" t="inlineStr">
        <is>
          <t>0710113</t>
        </is>
      </c>
      <c r="C61" s="35" t="inlineStr">
        <is>
          <t>PSIKOLOGI</t>
        </is>
      </c>
      <c r="D61" s="26" t="inlineStr">
        <is>
          <t>S1</t>
        </is>
      </c>
      <c r="E61" s="35" t="inlineStr">
        <is>
          <t>Kedokteran</t>
        </is>
      </c>
      <c r="F61" s="27" t="n">
        <v>80</v>
      </c>
      <c r="G61" s="27" t="n">
        <v>1385</v>
      </c>
      <c r="H61" s="27" t="n">
        <v>76</v>
      </c>
      <c r="I61" s="23">
        <f>F61-H61</f>
        <v/>
      </c>
      <c r="J61" s="27" t="n">
        <v>80</v>
      </c>
      <c r="K61" s="27" t="n">
        <v>1447</v>
      </c>
      <c r="L61" s="27" t="n">
        <v>74</v>
      </c>
      <c r="M61" s="23">
        <f>J61-L61</f>
        <v/>
      </c>
      <c r="N61" s="27" t="n">
        <v>80</v>
      </c>
      <c r="O61" s="27" t="n">
        <v>1504</v>
      </c>
      <c r="P61" s="27" t="n">
        <v>76</v>
      </c>
      <c r="Q61" s="23">
        <f>N61-P61</f>
        <v/>
      </c>
      <c r="R61" s="27" t="n">
        <v>80</v>
      </c>
      <c r="S61" s="27" t="n">
        <v>1437</v>
      </c>
      <c r="T61" s="27" t="n">
        <v>65</v>
      </c>
      <c r="U61" s="23">
        <f>R61-T61</f>
        <v/>
      </c>
      <c r="V61" s="27" t="n">
        <v>80</v>
      </c>
      <c r="W61" s="27" t="n">
        <v>1147</v>
      </c>
      <c r="X61" s="27" t="n">
        <v>76</v>
      </c>
      <c r="Y61" s="23">
        <f>V61-X61</f>
        <v/>
      </c>
      <c r="Z61" s="60">
        <f>F61+J61+N61+R61+V61</f>
        <v/>
      </c>
      <c r="AA61" s="60">
        <f>G61+K61+O61+S61+W61</f>
        <v/>
      </c>
      <c r="AB61" s="60">
        <f>H61+L61+P61+T61+X61</f>
        <v/>
      </c>
      <c r="AC61" s="60">
        <f>I61+M61+Q61+U61+Y61</f>
        <v/>
      </c>
      <c r="AD61" s="28">
        <f>IF(Z61&gt;0, (AB61/Z61)*100, 0)</f>
        <v/>
      </c>
      <c r="AE61" s="29">
        <f>IF(Z61&gt;0, AA61/Z61, 0)</f>
        <v/>
      </c>
    </row>
    <row r="62" ht="20" customHeight="1">
      <c r="A62" s="21" t="n">
        <v>57</v>
      </c>
      <c r="B62" s="21" t="inlineStr">
        <is>
          <t>1010301</t>
        </is>
      </c>
      <c r="C62" s="34" t="inlineStr">
        <is>
          <t>ILMU POLITIK</t>
        </is>
      </c>
      <c r="D62" s="21" t="inlineStr">
        <is>
          <t>S1</t>
        </is>
      </c>
      <c r="E62" s="34" t="inlineStr">
        <is>
          <t>FISIP</t>
        </is>
      </c>
      <c r="F62" s="22" t="n">
        <v>180</v>
      </c>
      <c r="G62" s="22" t="n">
        <v>499</v>
      </c>
      <c r="H62" s="22" t="n">
        <v>146</v>
      </c>
      <c r="I62" s="23">
        <f>F62-H62</f>
        <v/>
      </c>
      <c r="J62" s="22" t="n">
        <v>160</v>
      </c>
      <c r="K62" s="22" t="n">
        <v>449</v>
      </c>
      <c r="L62" s="22" t="n">
        <v>133</v>
      </c>
      <c r="M62" s="23">
        <f>J62-L62</f>
        <v/>
      </c>
      <c r="N62" s="22" t="n">
        <v>160</v>
      </c>
      <c r="O62" s="22" t="n">
        <v>478</v>
      </c>
      <c r="P62" s="22" t="n">
        <v>133</v>
      </c>
      <c r="Q62" s="23">
        <f>N62-P62</f>
        <v/>
      </c>
      <c r="R62" s="22" t="n">
        <v>150</v>
      </c>
      <c r="S62" s="22" t="n">
        <v>370</v>
      </c>
      <c r="T62" s="22" t="n">
        <v>120</v>
      </c>
      <c r="U62" s="23">
        <f>R62-T62</f>
        <v/>
      </c>
      <c r="V62" s="22" t="n">
        <v>140</v>
      </c>
      <c r="W62" s="22" t="n">
        <v>448</v>
      </c>
      <c r="X62" s="22" t="n">
        <v>124</v>
      </c>
      <c r="Y62" s="23">
        <f>V62-X62</f>
        <v/>
      </c>
      <c r="Z62" s="59">
        <f>F62+J62+N62+R62+V62</f>
        <v/>
      </c>
      <c r="AA62" s="59">
        <f>G62+K62+O62+S62+W62</f>
        <v/>
      </c>
      <c r="AB62" s="59">
        <f>H62+L62+P62+T62+X62</f>
        <v/>
      </c>
      <c r="AC62" s="59">
        <f>I62+M62+Q62+U62+Y62</f>
        <v/>
      </c>
      <c r="AD62" s="24">
        <f>IF(Z62&gt;0, (AB62/Z62)*100, 0)</f>
        <v/>
      </c>
      <c r="AE62" s="25">
        <f>IF(Z62&gt;0, AA62/Z62, 0)</f>
        <v/>
      </c>
    </row>
    <row r="63" ht="20" customHeight="1">
      <c r="A63" s="26" t="n">
        <v>58</v>
      </c>
      <c r="B63" s="26" t="inlineStr">
        <is>
          <t>1010101</t>
        </is>
      </c>
      <c r="C63" s="35" t="inlineStr">
        <is>
          <t>SOSIOLOGI</t>
        </is>
      </c>
      <c r="D63" s="26" t="inlineStr">
        <is>
          <t>S1</t>
        </is>
      </c>
      <c r="E63" s="35" t="inlineStr">
        <is>
          <t>FISIP</t>
        </is>
      </c>
      <c r="F63" s="27" t="n">
        <v>160</v>
      </c>
      <c r="G63" s="27" t="n">
        <v>519</v>
      </c>
      <c r="H63" s="27" t="n">
        <v>92</v>
      </c>
      <c r="I63" s="23">
        <f>F63-H63</f>
        <v/>
      </c>
      <c r="J63" s="27" t="n">
        <v>120</v>
      </c>
      <c r="K63" s="27" t="n">
        <v>447</v>
      </c>
      <c r="L63" s="27" t="n">
        <v>84</v>
      </c>
      <c r="M63" s="23">
        <f>J63-L63</f>
        <v/>
      </c>
      <c r="N63" s="27" t="n">
        <v>160</v>
      </c>
      <c r="O63" s="27" t="n">
        <v>411</v>
      </c>
      <c r="P63" s="27" t="n">
        <v>102</v>
      </c>
      <c r="Q63" s="23">
        <f>N63-P63</f>
        <v/>
      </c>
      <c r="R63" s="27" t="n">
        <v>150</v>
      </c>
      <c r="S63" s="27" t="n">
        <v>390</v>
      </c>
      <c r="T63" s="27" t="n">
        <v>101</v>
      </c>
      <c r="U63" s="23">
        <f>R63-T63</f>
        <v/>
      </c>
      <c r="V63" s="27" t="n">
        <v>140</v>
      </c>
      <c r="W63" s="27" t="n">
        <v>484</v>
      </c>
      <c r="X63" s="27" t="n">
        <v>108</v>
      </c>
      <c r="Y63" s="23">
        <f>V63-X63</f>
        <v/>
      </c>
      <c r="Z63" s="60">
        <f>F63+J63+N63+R63+V63</f>
        <v/>
      </c>
      <c r="AA63" s="60">
        <f>G63+K63+O63+S63+W63</f>
        <v/>
      </c>
      <c r="AB63" s="60">
        <f>H63+L63+P63+T63+X63</f>
        <v/>
      </c>
      <c r="AC63" s="60">
        <f>I63+M63+Q63+U63+Y63</f>
        <v/>
      </c>
      <c r="AD63" s="28">
        <f>IF(Z63&gt;0, (AB63/Z63)*100, 0)</f>
        <v/>
      </c>
      <c r="AE63" s="29">
        <f>IF(Z63&gt;0, AA63/Z63, 0)</f>
        <v/>
      </c>
    </row>
    <row r="64" ht="20" customHeight="1">
      <c r="A64" s="21" t="n">
        <v>59</v>
      </c>
      <c r="B64" s="21" t="inlineStr">
        <is>
          <t>1010201</t>
        </is>
      </c>
      <c r="C64" s="34" t="inlineStr">
        <is>
          <t>ILMU KOMUNIKASI</t>
        </is>
      </c>
      <c r="D64" s="21" t="inlineStr">
        <is>
          <t>S1</t>
        </is>
      </c>
      <c r="E64" s="34" t="inlineStr">
        <is>
          <t>FISIP</t>
        </is>
      </c>
      <c r="F64" s="22" t="n">
        <v>180</v>
      </c>
      <c r="G64" s="22" t="n">
        <v>1788</v>
      </c>
      <c r="H64" s="22" t="n">
        <v>180</v>
      </c>
      <c r="I64" s="23">
        <f>F64-H64</f>
        <v/>
      </c>
      <c r="J64" s="22" t="n">
        <v>180</v>
      </c>
      <c r="K64" s="22" t="n">
        <v>1675</v>
      </c>
      <c r="L64" s="22" t="n">
        <v>181</v>
      </c>
      <c r="M64" s="23">
        <f>J64-L64</f>
        <v/>
      </c>
      <c r="N64" s="22" t="n">
        <v>180</v>
      </c>
      <c r="O64" s="22" t="n">
        <v>1764</v>
      </c>
      <c r="P64" s="22" t="n">
        <v>177</v>
      </c>
      <c r="Q64" s="23">
        <f>N64-P64</f>
        <v/>
      </c>
      <c r="R64" s="22" t="n">
        <v>150</v>
      </c>
      <c r="S64" s="22" t="n">
        <v>1292</v>
      </c>
      <c r="T64" s="22" t="n">
        <v>136</v>
      </c>
      <c r="U64" s="23">
        <f>R64-T64</f>
        <v/>
      </c>
      <c r="V64" s="22" t="n">
        <v>140</v>
      </c>
      <c r="W64" s="22" t="n">
        <v>1526</v>
      </c>
      <c r="X64" s="22" t="n">
        <v>140</v>
      </c>
      <c r="Y64" s="23">
        <f>V64-X64</f>
        <v/>
      </c>
      <c r="Z64" s="59">
        <f>F64+J64+N64+R64+V64</f>
        <v/>
      </c>
      <c r="AA64" s="59">
        <f>G64+K64+O64+S64+W64</f>
        <v/>
      </c>
      <c r="AB64" s="59">
        <f>H64+L64+P64+T64+X64</f>
        <v/>
      </c>
      <c r="AC64" s="59">
        <f>I64+M64+Q64+U64+Y64</f>
        <v/>
      </c>
      <c r="AD64" s="24">
        <f>IF(Z64&gt;0, (AB64/Z64)*100, 0)</f>
        <v/>
      </c>
      <c r="AE64" s="25">
        <f>IF(Z64&gt;0, AA64/Z64, 0)</f>
        <v/>
      </c>
    </row>
    <row r="65" ht="20" customHeight="1">
      <c r="A65" s="26" t="n">
        <v>60</v>
      </c>
      <c r="B65" s="26" t="inlineStr">
        <is>
          <t>0610421</t>
        </is>
      </c>
      <c r="C65" s="35" t="inlineStr">
        <is>
          <t>PENDIDIKAN GURU PAUD</t>
        </is>
      </c>
      <c r="D65" s="26" t="inlineStr">
        <is>
          <t>S1</t>
        </is>
      </c>
      <c r="E65" s="35" t="inlineStr">
        <is>
          <t>FKIP</t>
        </is>
      </c>
      <c r="F65" s="27" t="n">
        <v>140</v>
      </c>
      <c r="G65" s="27" t="n">
        <v>764</v>
      </c>
      <c r="H65" s="27" t="n">
        <v>103</v>
      </c>
      <c r="I65" s="23">
        <f>F65-H65</f>
        <v/>
      </c>
      <c r="J65" s="27" t="n">
        <v>140</v>
      </c>
      <c r="K65" s="27" t="n">
        <v>664</v>
      </c>
      <c r="L65" s="27" t="n">
        <v>99</v>
      </c>
      <c r="M65" s="23">
        <f>J65-L65</f>
        <v/>
      </c>
      <c r="N65" s="27" t="n">
        <v>140</v>
      </c>
      <c r="O65" s="27" t="n">
        <v>716</v>
      </c>
      <c r="P65" s="27" t="n">
        <v>97</v>
      </c>
      <c r="Q65" s="23">
        <f>N65-P65</f>
        <v/>
      </c>
      <c r="R65" s="27" t="n">
        <v>110</v>
      </c>
      <c r="S65" s="27" t="n">
        <v>675</v>
      </c>
      <c r="T65" s="27" t="n">
        <v>78</v>
      </c>
      <c r="U65" s="23">
        <f>R65-T65</f>
        <v/>
      </c>
      <c r="V65" s="27" t="n">
        <v>100</v>
      </c>
      <c r="W65" s="27" t="n">
        <v>586</v>
      </c>
      <c r="X65" s="27" t="n">
        <v>85</v>
      </c>
      <c r="Y65" s="23">
        <f>V65-X65</f>
        <v/>
      </c>
      <c r="Z65" s="60">
        <f>F65+J65+N65+R65+V65</f>
        <v/>
      </c>
      <c r="AA65" s="60">
        <f>G65+K65+O65+S65+W65</f>
        <v/>
      </c>
      <c r="AB65" s="60">
        <f>H65+L65+P65+T65+X65</f>
        <v/>
      </c>
      <c r="AC65" s="60">
        <f>I65+M65+Q65+U65+Y65</f>
        <v/>
      </c>
      <c r="AD65" s="28">
        <f>IF(Z65&gt;0, (AB65/Z65)*100, 0)</f>
        <v/>
      </c>
      <c r="AE65" s="29">
        <f>IF(Z65&gt;0, AA65/Z65, 0)</f>
        <v/>
      </c>
    </row>
    <row r="66" ht="20" customHeight="1">
      <c r="A66" s="21" t="n">
        <v>61</v>
      </c>
      <c r="B66" s="21" t="inlineStr">
        <is>
          <t>1010401</t>
        </is>
      </c>
      <c r="C66" s="34" t="inlineStr">
        <is>
          <t>ILMU PEMERINTAHAN</t>
        </is>
      </c>
      <c r="D66" s="21" t="inlineStr">
        <is>
          <t>S1</t>
        </is>
      </c>
      <c r="E66" s="34" t="inlineStr">
        <is>
          <t>FISIP</t>
        </is>
      </c>
      <c r="F66" s="22" t="n">
        <v>180</v>
      </c>
      <c r="G66" s="22" t="n">
        <v>1220</v>
      </c>
      <c r="H66" s="22" t="n">
        <v>181</v>
      </c>
      <c r="I66" s="23">
        <f>F66-H66</f>
        <v/>
      </c>
      <c r="J66" s="22" t="n">
        <v>180</v>
      </c>
      <c r="K66" s="22" t="n">
        <v>1020</v>
      </c>
      <c r="L66" s="22" t="n">
        <v>174</v>
      </c>
      <c r="M66" s="23">
        <f>J66-L66</f>
        <v/>
      </c>
      <c r="N66" s="22" t="n">
        <v>180</v>
      </c>
      <c r="O66" s="22" t="n">
        <v>944</v>
      </c>
      <c r="P66" s="22" t="n">
        <v>172</v>
      </c>
      <c r="Q66" s="23">
        <f>N66-P66</f>
        <v/>
      </c>
      <c r="R66" s="22" t="n">
        <v>150</v>
      </c>
      <c r="S66" s="22" t="n">
        <v>602</v>
      </c>
      <c r="T66" s="22" t="n">
        <v>136</v>
      </c>
      <c r="U66" s="23">
        <f>R66-T66</f>
        <v/>
      </c>
      <c r="V66" s="22" t="n">
        <v>140</v>
      </c>
      <c r="W66" s="22" t="n">
        <v>886</v>
      </c>
      <c r="X66" s="22" t="n">
        <v>132</v>
      </c>
      <c r="Y66" s="23">
        <f>V66-X66</f>
        <v/>
      </c>
      <c r="Z66" s="59">
        <f>F66+J66+N66+R66+V66</f>
        <v/>
      </c>
      <c r="AA66" s="59">
        <f>G66+K66+O66+S66+W66</f>
        <v/>
      </c>
      <c r="AB66" s="59">
        <f>H66+L66+P66+T66+X66</f>
        <v/>
      </c>
      <c r="AC66" s="59">
        <f>I66+M66+Q66+U66+Y66</f>
        <v/>
      </c>
      <c r="AD66" s="24">
        <f>IF(Z66&gt;0, (AB66/Z66)*100, 0)</f>
        <v/>
      </c>
      <c r="AE66" s="25">
        <f>IF(Z66&gt;0, AA66/Z66, 0)</f>
        <v/>
      </c>
    </row>
    <row r="67" ht="20" customHeight="1">
      <c r="A67" s="26" t="n">
        <v>62</v>
      </c>
      <c r="B67" s="26" t="inlineStr">
        <is>
          <t>0110401</t>
        </is>
      </c>
      <c r="C67" s="35" t="inlineStr">
        <is>
          <t>EKONOMI ISLAM</t>
        </is>
      </c>
      <c r="D67" s="26" t="inlineStr">
        <is>
          <t>S1</t>
        </is>
      </c>
      <c r="E67" s="35" t="inlineStr">
        <is>
          <t>Ekonomi dan Bisnis</t>
        </is>
      </c>
      <c r="F67" s="27" t="n">
        <v>160</v>
      </c>
      <c r="G67" s="27" t="n">
        <v>595</v>
      </c>
      <c r="H67" s="27" t="n">
        <v>122</v>
      </c>
      <c r="I67" s="23">
        <f>F67-H67</f>
        <v/>
      </c>
      <c r="J67" s="27" t="n">
        <v>160</v>
      </c>
      <c r="K67" s="27" t="n">
        <v>640</v>
      </c>
      <c r="L67" s="27" t="n">
        <v>123</v>
      </c>
      <c r="M67" s="23">
        <f>J67-L67</f>
        <v/>
      </c>
      <c r="N67" s="27" t="n">
        <v>160</v>
      </c>
      <c r="O67" s="27" t="n">
        <v>698</v>
      </c>
      <c r="P67" s="27" t="n">
        <v>130</v>
      </c>
      <c r="Q67" s="23">
        <f>N67-P67</f>
        <v/>
      </c>
      <c r="R67" s="27" t="n">
        <v>160</v>
      </c>
      <c r="S67" s="27" t="n">
        <v>661</v>
      </c>
      <c r="T67" s="27" t="n">
        <v>130</v>
      </c>
      <c r="U67" s="23">
        <f>R67-T67</f>
        <v/>
      </c>
      <c r="V67" s="27" t="n">
        <v>215</v>
      </c>
      <c r="W67" s="27" t="n">
        <v>807</v>
      </c>
      <c r="X67" s="27" t="n">
        <v>165</v>
      </c>
      <c r="Y67" s="23">
        <f>V67-X67</f>
        <v/>
      </c>
      <c r="Z67" s="60">
        <f>F67+J67+N67+R67+V67</f>
        <v/>
      </c>
      <c r="AA67" s="60">
        <f>G67+K67+O67+S67+W67</f>
        <v/>
      </c>
      <c r="AB67" s="60">
        <f>H67+L67+P67+T67+X67</f>
        <v/>
      </c>
      <c r="AC67" s="60">
        <f>I67+M67+Q67+U67+Y67</f>
        <v/>
      </c>
      <c r="AD67" s="28">
        <f>IF(Z67&gt;0, (AB67/Z67)*100, 0)</f>
        <v/>
      </c>
      <c r="AE67" s="29">
        <f>IF(Z67&gt;0, AA67/Z67, 0)</f>
        <v/>
      </c>
    </row>
    <row r="68" ht="20" customHeight="1">
      <c r="A68" s="21" t="n">
        <v>63</v>
      </c>
      <c r="B68" s="21" t="inlineStr">
        <is>
          <t>0115001</t>
        </is>
      </c>
      <c r="C68" s="34" t="inlineStr">
        <is>
          <t>MANAJEMEN (PDD GAYO LUES)</t>
        </is>
      </c>
      <c r="D68" s="21" t="inlineStr">
        <is>
          <t>S1</t>
        </is>
      </c>
      <c r="E68" s="34" t="inlineStr">
        <is>
          <t>PSDKU Gayo Lues</t>
        </is>
      </c>
      <c r="F68" s="22" t="n">
        <v>80</v>
      </c>
      <c r="G68" s="22" t="n">
        <v>29</v>
      </c>
      <c r="H68" s="22" t="n">
        <v>13</v>
      </c>
      <c r="I68" s="23">
        <f>F68-H68</f>
        <v/>
      </c>
      <c r="J68" s="22" t="n">
        <v>80</v>
      </c>
      <c r="K68" s="22" t="n">
        <v>33</v>
      </c>
      <c r="L68" s="22" t="n">
        <v>14</v>
      </c>
      <c r="M68" s="23">
        <f>J68-L68</f>
        <v/>
      </c>
      <c r="N68" s="22" t="n">
        <v>80</v>
      </c>
      <c r="O68" s="22" t="n">
        <v>65</v>
      </c>
      <c r="P68" s="22" t="n">
        <v>24</v>
      </c>
      <c r="Q68" s="23">
        <f>N68-P68</f>
        <v/>
      </c>
      <c r="R68" s="22" t="n">
        <v>60</v>
      </c>
      <c r="S68" s="22" t="n">
        <v>60</v>
      </c>
      <c r="T68" s="22" t="n">
        <v>26</v>
      </c>
      <c r="U68" s="23">
        <f>R68-T68</f>
        <v/>
      </c>
      <c r="V68" s="22" t="n">
        <v>50</v>
      </c>
      <c r="W68" s="22" t="n">
        <v>35</v>
      </c>
      <c r="X68" s="22" t="n">
        <v>14</v>
      </c>
      <c r="Y68" s="23">
        <f>V68-X68</f>
        <v/>
      </c>
      <c r="Z68" s="59">
        <f>F68+J68+N68+R68+V68</f>
        <v/>
      </c>
      <c r="AA68" s="59">
        <f>G68+K68+O68+S68+W68</f>
        <v/>
      </c>
      <c r="AB68" s="59">
        <f>H68+L68+P68+T68+X68</f>
        <v/>
      </c>
      <c r="AC68" s="59">
        <f>I68+M68+Q68+U68+Y68</f>
        <v/>
      </c>
      <c r="AD68" s="24">
        <f>IF(Z68&gt;0, (AB68/Z68)*100, 0)</f>
        <v/>
      </c>
      <c r="AE68" s="25">
        <f>IF(Z68&gt;0, AA68/Z68, 0)</f>
        <v/>
      </c>
    </row>
    <row r="69" ht="20" customHeight="1">
      <c r="A69" s="26" t="n">
        <v>64</v>
      </c>
      <c r="B69" s="26" t="inlineStr">
        <is>
          <t>0170301</t>
        </is>
      </c>
      <c r="C69" s="35" t="inlineStr">
        <is>
          <t>AKUNTANSI PERPAJAKAN</t>
        </is>
      </c>
      <c r="D69" s="26" t="inlineStr">
        <is>
          <t>D4</t>
        </is>
      </c>
      <c r="E69" s="35" t="inlineStr">
        <is>
          <t>Ekonomi dan Bisnis</t>
        </is>
      </c>
      <c r="F69" s="27" t="n">
        <v>80</v>
      </c>
      <c r="G69" s="27" t="n">
        <v>1794</v>
      </c>
      <c r="H69" s="27" t="n">
        <v>59</v>
      </c>
      <c r="I69" s="23">
        <f>F69-H69</f>
        <v/>
      </c>
      <c r="J69" s="27" t="n">
        <v>80</v>
      </c>
      <c r="K69" s="27" t="n">
        <v>1764</v>
      </c>
      <c r="L69" s="27" t="n">
        <v>50</v>
      </c>
      <c r="M69" s="23">
        <f>J69-L69</f>
        <v/>
      </c>
      <c r="N69" s="27" t="n">
        <v>80</v>
      </c>
      <c r="O69" s="27" t="n">
        <v>1824</v>
      </c>
      <c r="P69" s="27" t="n">
        <v>71</v>
      </c>
      <c r="Q69" s="23">
        <f>N69-P69</f>
        <v/>
      </c>
      <c r="R69" s="27" t="n">
        <v>40</v>
      </c>
      <c r="S69" s="27" t="n">
        <v>139</v>
      </c>
      <c r="T69" s="27" t="n">
        <v>21</v>
      </c>
      <c r="U69" s="23">
        <f>R69-T69</f>
        <v/>
      </c>
      <c r="V69" s="27" t="n">
        <v>80</v>
      </c>
      <c r="W69" s="27" t="n">
        <v>26</v>
      </c>
      <c r="X69" s="27" t="n">
        <v>13</v>
      </c>
      <c r="Y69" s="23">
        <f>V69-X69</f>
        <v/>
      </c>
      <c r="Z69" s="60">
        <f>F69+J69+N69+R69+V69</f>
        <v/>
      </c>
      <c r="AA69" s="60">
        <f>G69+K69+O69+S69+W69</f>
        <v/>
      </c>
      <c r="AB69" s="60">
        <f>H69+L69+P69+T69+X69</f>
        <v/>
      </c>
      <c r="AC69" s="60">
        <f>I69+M69+Q69+U69+Y69</f>
        <v/>
      </c>
      <c r="AD69" s="28">
        <f>IF(Z69&gt;0, (AB69/Z69)*100, 0)</f>
        <v/>
      </c>
      <c r="AE69" s="29">
        <f>IF(Z69&gt;0, AA69/Z69, 0)</f>
        <v/>
      </c>
    </row>
    <row r="70" ht="20" customHeight="1">
      <c r="A70" s="21" t="n">
        <v>65</v>
      </c>
      <c r="B70" s="21" t="inlineStr">
        <is>
          <t>0200101</t>
        </is>
      </c>
      <c r="C70" s="34" t="inlineStr">
        <is>
          <t>KESEHATAN HEWAN</t>
        </is>
      </c>
      <c r="D70" s="21" t="inlineStr">
        <is>
          <t>D3</t>
        </is>
      </c>
      <c r="E70" s="34" t="inlineStr">
        <is>
          <t>Kedokteran Hewan</t>
        </is>
      </c>
      <c r="F70" s="22" t="n">
        <v>30</v>
      </c>
      <c r="G70" s="22" t="n">
        <v>572</v>
      </c>
      <c r="H70" s="22" t="n">
        <v>15</v>
      </c>
      <c r="I70" s="23">
        <f>F70-H70</f>
        <v/>
      </c>
      <c r="J70" s="22" t="n">
        <v>30</v>
      </c>
      <c r="K70" s="22" t="n">
        <v>473</v>
      </c>
      <c r="L70" s="22" t="n">
        <v>13</v>
      </c>
      <c r="M70" s="23">
        <f>J70-L70</f>
        <v/>
      </c>
      <c r="N70" s="22" t="n">
        <v>30</v>
      </c>
      <c r="O70" s="22" t="n">
        <v>409</v>
      </c>
      <c r="P70" s="22" t="n">
        <v>8</v>
      </c>
      <c r="Q70" s="23">
        <f>N70-P70</f>
        <v/>
      </c>
      <c r="R70" s="22" t="n">
        <v>80</v>
      </c>
      <c r="S70" s="22" t="n">
        <v>33</v>
      </c>
      <c r="T70" s="22" t="n">
        <v>62</v>
      </c>
      <c r="U70" s="23">
        <f>R70-T70</f>
        <v/>
      </c>
      <c r="V70" s="22" t="n">
        <v>0</v>
      </c>
      <c r="W70" s="22" t="n">
        <v>0</v>
      </c>
      <c r="X70" s="22" t="n">
        <v>0</v>
      </c>
      <c r="Y70" s="23">
        <f>V70-X70</f>
        <v/>
      </c>
      <c r="Z70" s="59">
        <f>F70+J70+N70+R70+V70</f>
        <v/>
      </c>
      <c r="AA70" s="59">
        <f>G70+K70+O70+S70+W70</f>
        <v/>
      </c>
      <c r="AB70" s="59">
        <f>H70+L70+P70+T70+X70</f>
        <v/>
      </c>
      <c r="AC70" s="59">
        <f>I70+M70+Q70+U70+Y70</f>
        <v/>
      </c>
      <c r="AD70" s="24">
        <f>IF(Z70&gt;0, (AB70/Z70)*100, 0)</f>
        <v/>
      </c>
      <c r="AE70" s="25">
        <f>IF(Z70&gt;0, AA70/Z70, 0)</f>
        <v/>
      </c>
    </row>
    <row r="71" ht="20" customHeight="1">
      <c r="A71" s="26" t="n">
        <v>66</v>
      </c>
      <c r="B71" s="26" t="inlineStr">
        <is>
          <t>0500201</t>
        </is>
      </c>
      <c r="C71" s="35" t="inlineStr">
        <is>
          <t>MANAJEMEN AGRIBISNIS</t>
        </is>
      </c>
      <c r="D71" s="26" t="inlineStr">
        <is>
          <t>D3</t>
        </is>
      </c>
      <c r="E71" s="35" t="inlineStr">
        <is>
          <t>Pertanian</t>
        </is>
      </c>
      <c r="F71" s="27" t="n">
        <v>100</v>
      </c>
      <c r="G71" s="27" t="n">
        <v>801</v>
      </c>
      <c r="H71" s="27" t="n">
        <v>27</v>
      </c>
      <c r="I71" s="23">
        <f>F71-H71</f>
        <v/>
      </c>
      <c r="J71" s="27" t="n">
        <v>100</v>
      </c>
      <c r="K71" s="27" t="n">
        <v>842</v>
      </c>
      <c r="L71" s="27" t="n">
        <v>32</v>
      </c>
      <c r="M71" s="23">
        <f>J71-L71</f>
        <v/>
      </c>
      <c r="N71" s="27" t="n">
        <v>80</v>
      </c>
      <c r="O71" s="27" t="n">
        <v>631</v>
      </c>
      <c r="P71" s="27" t="n">
        <v>26</v>
      </c>
      <c r="Q71" s="23">
        <f>N71-P71</f>
        <v/>
      </c>
      <c r="R71" s="27" t="n">
        <v>100</v>
      </c>
      <c r="S71" s="27" t="n">
        <v>33</v>
      </c>
      <c r="T71" s="27" t="n">
        <v>18</v>
      </c>
      <c r="U71" s="23">
        <f>R71-T71</f>
        <v/>
      </c>
      <c r="V71" s="27" t="n">
        <v>0</v>
      </c>
      <c r="W71" s="27" t="n">
        <v>0</v>
      </c>
      <c r="X71" s="27" t="n">
        <v>0</v>
      </c>
      <c r="Y71" s="23">
        <f>V71-X71</f>
        <v/>
      </c>
      <c r="Z71" s="60">
        <f>F71+J71+N71+R71+V71</f>
        <v/>
      </c>
      <c r="AA71" s="60">
        <f>G71+K71+O71+S71+W71</f>
        <v/>
      </c>
      <c r="AB71" s="60">
        <f>H71+L71+P71+T71+X71</f>
        <v/>
      </c>
      <c r="AC71" s="60">
        <f>I71+M71+Q71+U71+Y71</f>
        <v/>
      </c>
      <c r="AD71" s="28">
        <f>IF(Z71&gt;0, (AB71/Z71)*100, 0)</f>
        <v/>
      </c>
      <c r="AE71" s="29">
        <f>IF(Z71&gt;0, AA71/Z71, 0)</f>
        <v/>
      </c>
    </row>
    <row r="72" ht="20" customHeight="1">
      <c r="A72" s="21" t="n">
        <v>67</v>
      </c>
      <c r="B72" s="21" t="inlineStr">
        <is>
          <t>0400501</t>
        </is>
      </c>
      <c r="C72" s="34" t="inlineStr">
        <is>
          <t>TEKNIK LISTRIK</t>
        </is>
      </c>
      <c r="D72" s="21" t="inlineStr">
        <is>
          <t>D3</t>
        </is>
      </c>
      <c r="E72" s="34" t="inlineStr">
        <is>
          <t>Teknik</t>
        </is>
      </c>
      <c r="F72" s="22" t="n">
        <v>40</v>
      </c>
      <c r="G72" s="22" t="n">
        <v>281</v>
      </c>
      <c r="H72" s="22" t="n">
        <v>22</v>
      </c>
      <c r="I72" s="23">
        <f>F72-H72</f>
        <v/>
      </c>
      <c r="J72" s="22" t="n">
        <v>40</v>
      </c>
      <c r="K72" s="22" t="n">
        <v>331</v>
      </c>
      <c r="L72" s="22" t="n">
        <v>20</v>
      </c>
      <c r="M72" s="23">
        <f>J72-L72</f>
        <v/>
      </c>
      <c r="N72" s="22" t="n">
        <v>40</v>
      </c>
      <c r="O72" s="22" t="n">
        <v>216</v>
      </c>
      <c r="P72" s="22" t="n">
        <v>22</v>
      </c>
      <c r="Q72" s="23">
        <f>N72-P72</f>
        <v/>
      </c>
      <c r="R72" s="22" t="n">
        <v>30</v>
      </c>
      <c r="S72" s="22" t="n">
        <v>18</v>
      </c>
      <c r="T72" s="22" t="n">
        <v>10</v>
      </c>
      <c r="U72" s="23">
        <f>R72-T72</f>
        <v/>
      </c>
      <c r="V72" s="22" t="n">
        <v>0</v>
      </c>
      <c r="W72" s="22" t="n">
        <v>0</v>
      </c>
      <c r="X72" s="22" t="n">
        <v>0</v>
      </c>
      <c r="Y72" s="23">
        <f>V72-X72</f>
        <v/>
      </c>
      <c r="Z72" s="59">
        <f>F72+J72+N72+R72+V72</f>
        <v/>
      </c>
      <c r="AA72" s="59">
        <f>G72+K72+O72+S72+W72</f>
        <v/>
      </c>
      <c r="AB72" s="59">
        <f>H72+L72+P72+T72+X72</f>
        <v/>
      </c>
      <c r="AC72" s="59">
        <f>I72+M72+Q72+U72+Y72</f>
        <v/>
      </c>
      <c r="AD72" s="24">
        <f>IF(Z72&gt;0, (AB72/Z72)*100, 0)</f>
        <v/>
      </c>
      <c r="AE72" s="25">
        <f>IF(Z72&gt;0, AA72/Z72, 0)</f>
        <v/>
      </c>
    </row>
    <row r="73" ht="20" customHeight="1">
      <c r="A73" s="26" t="n">
        <v>68</v>
      </c>
      <c r="B73" s="26" t="inlineStr">
        <is>
          <t>0500401</t>
        </is>
      </c>
      <c r="C73" s="35" t="inlineStr">
        <is>
          <t>BUDIDAYA PETERNAKAN</t>
        </is>
      </c>
      <c r="D73" s="26" t="inlineStr">
        <is>
          <t>D3</t>
        </is>
      </c>
      <c r="E73" s="35" t="inlineStr">
        <is>
          <t>Pertanian</t>
        </is>
      </c>
      <c r="F73" s="27" t="n">
        <v>60</v>
      </c>
      <c r="G73" s="27" t="n">
        <v>454</v>
      </c>
      <c r="H73" s="27" t="n">
        <v>23</v>
      </c>
      <c r="I73" s="23">
        <f>F73-H73</f>
        <v/>
      </c>
      <c r="J73" s="27" t="n">
        <v>60</v>
      </c>
      <c r="K73" s="27" t="n">
        <v>422</v>
      </c>
      <c r="L73" s="27" t="n">
        <v>22</v>
      </c>
      <c r="M73" s="23">
        <f>J73-L73</f>
        <v/>
      </c>
      <c r="N73" s="27" t="n">
        <v>40</v>
      </c>
      <c r="O73" s="27" t="n">
        <v>301</v>
      </c>
      <c r="P73" s="27" t="n">
        <v>10</v>
      </c>
      <c r="Q73" s="23">
        <f>N73-P73</f>
        <v/>
      </c>
      <c r="R73" s="27" t="n">
        <v>40</v>
      </c>
      <c r="S73" s="27" t="n">
        <v>19</v>
      </c>
      <c r="T73" s="27" t="n">
        <v>9</v>
      </c>
      <c r="U73" s="23">
        <f>R73-T73</f>
        <v/>
      </c>
      <c r="V73" s="27" t="n">
        <v>0</v>
      </c>
      <c r="W73" s="27" t="n">
        <v>0</v>
      </c>
      <c r="X73" s="27" t="n">
        <v>0</v>
      </c>
      <c r="Y73" s="23">
        <f>V73-X73</f>
        <v/>
      </c>
      <c r="Z73" s="60">
        <f>F73+J73+N73+R73+V73</f>
        <v/>
      </c>
      <c r="AA73" s="60">
        <f>G73+K73+O73+S73+W73</f>
        <v/>
      </c>
      <c r="AB73" s="60">
        <f>H73+L73+P73+T73+X73</f>
        <v/>
      </c>
      <c r="AC73" s="60">
        <f>I73+M73+Q73+U73+Y73</f>
        <v/>
      </c>
      <c r="AD73" s="28">
        <f>IF(Z73&gt;0, (AB73/Z73)*100, 0)</f>
        <v/>
      </c>
      <c r="AE73" s="29">
        <f>IF(Z73&gt;0, AA73/Z73, 0)</f>
        <v/>
      </c>
    </row>
    <row r="74" ht="20" customHeight="1">
      <c r="A74" s="21" t="n">
        <v>69</v>
      </c>
      <c r="B74" s="21" t="inlineStr">
        <is>
          <t>0400201</t>
        </is>
      </c>
      <c r="C74" s="34" t="inlineStr">
        <is>
          <t>TEKNIK MESIN</t>
        </is>
      </c>
      <c r="D74" s="21" t="inlineStr">
        <is>
          <t>D3</t>
        </is>
      </c>
      <c r="E74" s="34" t="inlineStr">
        <is>
          <t>Teknik</t>
        </is>
      </c>
      <c r="F74" s="22" t="n">
        <v>40</v>
      </c>
      <c r="G74" s="22" t="n">
        <v>468</v>
      </c>
      <c r="H74" s="22" t="n">
        <v>23</v>
      </c>
      <c r="I74" s="23">
        <f>F74-H74</f>
        <v/>
      </c>
      <c r="J74" s="22" t="n">
        <v>40</v>
      </c>
      <c r="K74" s="22" t="n">
        <v>394</v>
      </c>
      <c r="L74" s="22" t="n">
        <v>23</v>
      </c>
      <c r="M74" s="23">
        <f>J74-L74</f>
        <v/>
      </c>
      <c r="N74" s="22" t="n">
        <v>40</v>
      </c>
      <c r="O74" s="22" t="n">
        <v>300</v>
      </c>
      <c r="P74" s="22" t="n">
        <v>19</v>
      </c>
      <c r="Q74" s="23">
        <f>N74-P74</f>
        <v/>
      </c>
      <c r="R74" s="22" t="n">
        <v>30</v>
      </c>
      <c r="S74" s="22" t="n">
        <v>34</v>
      </c>
      <c r="T74" s="22" t="n">
        <v>12</v>
      </c>
      <c r="U74" s="23">
        <f>R74-T74</f>
        <v/>
      </c>
      <c r="V74" s="22" t="n">
        <v>0</v>
      </c>
      <c r="W74" s="22" t="n">
        <v>0</v>
      </c>
      <c r="X74" s="22" t="n">
        <v>0</v>
      </c>
      <c r="Y74" s="23">
        <f>V74-X74</f>
        <v/>
      </c>
      <c r="Z74" s="59">
        <f>F74+J74+N74+R74+V74</f>
        <v/>
      </c>
      <c r="AA74" s="59">
        <f>G74+K74+O74+S74+W74</f>
        <v/>
      </c>
      <c r="AB74" s="59">
        <f>H74+L74+P74+T74+X74</f>
        <v/>
      </c>
      <c r="AC74" s="59">
        <f>I74+M74+Q74+U74+Y74</f>
        <v/>
      </c>
      <c r="AD74" s="24">
        <f>IF(Z74&gt;0, (AB74/Z74)*100, 0)</f>
        <v/>
      </c>
      <c r="AE74" s="25">
        <f>IF(Z74&gt;0, AA74/Z74, 0)</f>
        <v/>
      </c>
    </row>
    <row r="75" ht="20" customHeight="1">
      <c r="A75" s="26" t="n">
        <v>70</v>
      </c>
      <c r="B75" s="26" t="inlineStr">
        <is>
          <t>0400101</t>
        </is>
      </c>
      <c r="C75" s="35" t="inlineStr">
        <is>
          <t>TEKNIK SIPIL</t>
        </is>
      </c>
      <c r="D75" s="26" t="inlineStr">
        <is>
          <t>D3</t>
        </is>
      </c>
      <c r="E75" s="35" t="inlineStr">
        <is>
          <t>Teknik</t>
        </is>
      </c>
      <c r="F75" s="27" t="n">
        <v>80</v>
      </c>
      <c r="G75" s="27" t="n">
        <v>925</v>
      </c>
      <c r="H75" s="27" t="n">
        <v>55</v>
      </c>
      <c r="I75" s="23">
        <f>F75-H75</f>
        <v/>
      </c>
      <c r="J75" s="27" t="n">
        <v>80</v>
      </c>
      <c r="K75" s="27" t="n">
        <v>876</v>
      </c>
      <c r="L75" s="27" t="n">
        <v>36</v>
      </c>
      <c r="M75" s="23">
        <f>J75-L75</f>
        <v/>
      </c>
      <c r="N75" s="27" t="n">
        <v>80</v>
      </c>
      <c r="O75" s="27" t="n">
        <v>772</v>
      </c>
      <c r="P75" s="27" t="n">
        <v>39</v>
      </c>
      <c r="Q75" s="23">
        <f>N75-P75</f>
        <v/>
      </c>
      <c r="R75" s="27" t="n">
        <v>40</v>
      </c>
      <c r="S75" s="27" t="n">
        <v>11</v>
      </c>
      <c r="T75" s="27" t="n">
        <v>0</v>
      </c>
      <c r="U75" s="23">
        <f>R75-T75</f>
        <v/>
      </c>
      <c r="V75" s="27" t="n">
        <v>0</v>
      </c>
      <c r="W75" s="27" t="n">
        <v>0</v>
      </c>
      <c r="X75" s="27" t="n">
        <v>0</v>
      </c>
      <c r="Y75" s="23">
        <f>V75-X75</f>
        <v/>
      </c>
      <c r="Z75" s="60">
        <f>F75+J75+N75+R75+V75</f>
        <v/>
      </c>
      <c r="AA75" s="60">
        <f>G75+K75+O75+S75+W75</f>
        <v/>
      </c>
      <c r="AB75" s="60">
        <f>H75+L75+P75+T75+X75</f>
        <v/>
      </c>
      <c r="AC75" s="60">
        <f>I75+M75+Q75+U75+Y75</f>
        <v/>
      </c>
      <c r="AD75" s="28">
        <f>IF(Z75&gt;0, (AB75/Z75)*100, 0)</f>
        <v/>
      </c>
      <c r="AE75" s="29">
        <f>IF(Z75&gt;0, AA75/Z75, 0)</f>
        <v/>
      </c>
    </row>
    <row r="76" ht="20" customHeight="1">
      <c r="A76" s="21" t="n">
        <v>71</v>
      </c>
      <c r="B76" s="21" t="inlineStr">
        <is>
          <t>0100202</t>
        </is>
      </c>
      <c r="C76" s="34" t="inlineStr">
        <is>
          <t>SEKRETARI</t>
        </is>
      </c>
      <c r="D76" s="21" t="inlineStr">
        <is>
          <t>D3</t>
        </is>
      </c>
      <c r="E76" s="34" t="inlineStr">
        <is>
          <t>Ekonomi dan Bisnis</t>
        </is>
      </c>
      <c r="F76" s="22" t="n">
        <v>40</v>
      </c>
      <c r="G76" s="22" t="n">
        <v>342</v>
      </c>
      <c r="H76" s="22" t="n">
        <v>18</v>
      </c>
      <c r="I76" s="23">
        <f>F76-H76</f>
        <v/>
      </c>
      <c r="J76" s="22" t="n">
        <v>40</v>
      </c>
      <c r="K76" s="22" t="n">
        <v>426</v>
      </c>
      <c r="L76" s="22" t="n">
        <v>21</v>
      </c>
      <c r="M76" s="23">
        <f>J76-L76</f>
        <v/>
      </c>
      <c r="N76" s="22" t="n">
        <v>40</v>
      </c>
      <c r="O76" s="22" t="n">
        <v>358</v>
      </c>
      <c r="P76" s="22" t="n">
        <v>16</v>
      </c>
      <c r="Q76" s="23">
        <f>N76-P76</f>
        <v/>
      </c>
      <c r="R76" s="22" t="n">
        <v>60</v>
      </c>
      <c r="S76" s="22" t="n">
        <v>53</v>
      </c>
      <c r="T76" s="22" t="n">
        <v>28</v>
      </c>
      <c r="U76" s="23">
        <f>R76-T76</f>
        <v/>
      </c>
      <c r="V76" s="22" t="n">
        <v>0</v>
      </c>
      <c r="W76" s="22" t="n">
        <v>0</v>
      </c>
      <c r="X76" s="22" t="n">
        <v>0</v>
      </c>
      <c r="Y76" s="23">
        <f>V76-X76</f>
        <v/>
      </c>
      <c r="Z76" s="59">
        <f>F76+J76+N76+R76+V76</f>
        <v/>
      </c>
      <c r="AA76" s="59">
        <f>G76+K76+O76+S76+W76</f>
        <v/>
      </c>
      <c r="AB76" s="59">
        <f>H76+L76+P76+T76+X76</f>
        <v/>
      </c>
      <c r="AC76" s="59">
        <f>I76+M76+Q76+U76+Y76</f>
        <v/>
      </c>
      <c r="AD76" s="24">
        <f>IF(Z76&gt;0, (AB76/Z76)*100, 0)</f>
        <v/>
      </c>
      <c r="AE76" s="25">
        <f>IF(Z76&gt;0, AA76/Z76, 0)</f>
        <v/>
      </c>
    </row>
    <row r="77" ht="20" customHeight="1">
      <c r="A77" s="26" t="n">
        <v>72</v>
      </c>
      <c r="B77" s="26" t="inlineStr">
        <is>
          <t>0100101</t>
        </is>
      </c>
      <c r="C77" s="35" t="inlineStr">
        <is>
          <t>MANAJEMEN PERUSAHAAN</t>
        </is>
      </c>
      <c r="D77" s="26" t="inlineStr">
        <is>
          <t>D3</t>
        </is>
      </c>
      <c r="E77" s="35" t="inlineStr">
        <is>
          <t>Ekonomi dan Bisnis</t>
        </is>
      </c>
      <c r="F77" s="27" t="n">
        <v>40</v>
      </c>
      <c r="G77" s="27" t="n">
        <v>929</v>
      </c>
      <c r="H77" s="27" t="n">
        <v>18</v>
      </c>
      <c r="I77" s="23">
        <f>F77-H77</f>
        <v/>
      </c>
      <c r="J77" s="27" t="n">
        <v>40</v>
      </c>
      <c r="K77" s="27" t="n">
        <v>1026</v>
      </c>
      <c r="L77" s="27" t="n">
        <v>26</v>
      </c>
      <c r="M77" s="23">
        <f>J77-L77</f>
        <v/>
      </c>
      <c r="N77" s="27" t="n">
        <v>40</v>
      </c>
      <c r="O77" s="27" t="n">
        <v>869</v>
      </c>
      <c r="P77" s="27" t="n">
        <v>17</v>
      </c>
      <c r="Q77" s="23">
        <f>N77-P77</f>
        <v/>
      </c>
      <c r="R77" s="27" t="n">
        <v>50</v>
      </c>
      <c r="S77" s="27" t="n">
        <v>9</v>
      </c>
      <c r="T77" s="27" t="n">
        <v>9</v>
      </c>
      <c r="U77" s="23">
        <f>R77-T77</f>
        <v/>
      </c>
      <c r="V77" s="27" t="n">
        <v>0</v>
      </c>
      <c r="W77" s="27" t="n">
        <v>0</v>
      </c>
      <c r="X77" s="27" t="n">
        <v>0</v>
      </c>
      <c r="Y77" s="23">
        <f>V77-X77</f>
        <v/>
      </c>
      <c r="Z77" s="60">
        <f>F77+J77+N77+R77+V77</f>
        <v/>
      </c>
      <c r="AA77" s="60">
        <f>G77+K77+O77+S77+W77</f>
        <v/>
      </c>
      <c r="AB77" s="60">
        <f>H77+L77+P77+T77+X77</f>
        <v/>
      </c>
      <c r="AC77" s="60">
        <f>I77+M77+Q77+U77+Y77</f>
        <v/>
      </c>
      <c r="AD77" s="28">
        <f>IF(Z77&gt;0, (AB77/Z77)*100, 0)</f>
        <v/>
      </c>
      <c r="AE77" s="29">
        <f>IF(Z77&gt;0, AA77/Z77, 0)</f>
        <v/>
      </c>
    </row>
    <row r="78" ht="20" customHeight="1">
      <c r="A78" s="21" t="n">
        <v>73</v>
      </c>
      <c r="B78" s="21" t="inlineStr">
        <is>
          <t>0100301</t>
        </is>
      </c>
      <c r="C78" s="34" t="inlineStr">
        <is>
          <t>AKUNTANSI</t>
        </is>
      </c>
      <c r="D78" s="21" t="inlineStr">
        <is>
          <t>D3</t>
        </is>
      </c>
      <c r="E78" s="34" t="inlineStr">
        <is>
          <t>Ekonomi dan Bisnis</t>
        </is>
      </c>
      <c r="F78" s="22" t="n">
        <v>80</v>
      </c>
      <c r="G78" s="22" t="n">
        <v>1048</v>
      </c>
      <c r="H78" s="22" t="n">
        <v>49</v>
      </c>
      <c r="I78" s="23">
        <f>F78-H78</f>
        <v/>
      </c>
      <c r="J78" s="22" t="n">
        <v>80</v>
      </c>
      <c r="K78" s="22" t="n">
        <v>1014</v>
      </c>
      <c r="L78" s="22" t="n">
        <v>47</v>
      </c>
      <c r="M78" s="23">
        <f>J78-L78</f>
        <v/>
      </c>
      <c r="N78" s="22" t="n">
        <v>80</v>
      </c>
      <c r="O78" s="22" t="n">
        <v>965</v>
      </c>
      <c r="P78" s="22" t="n">
        <v>40</v>
      </c>
      <c r="Q78" s="23">
        <f>N78-P78</f>
        <v/>
      </c>
      <c r="R78" s="22" t="n">
        <v>50</v>
      </c>
      <c r="S78" s="22" t="n">
        <v>31</v>
      </c>
      <c r="T78" s="22" t="n">
        <v>19</v>
      </c>
      <c r="U78" s="23">
        <f>R78-T78</f>
        <v/>
      </c>
      <c r="V78" s="22" t="n">
        <v>0</v>
      </c>
      <c r="W78" s="22" t="n">
        <v>0</v>
      </c>
      <c r="X78" s="22" t="n">
        <v>0</v>
      </c>
      <c r="Y78" s="23">
        <f>V78-X78</f>
        <v/>
      </c>
      <c r="Z78" s="59">
        <f>F78+J78+N78+R78+V78</f>
        <v/>
      </c>
      <c r="AA78" s="59">
        <f>G78+K78+O78+S78+W78</f>
        <v/>
      </c>
      <c r="AB78" s="59">
        <f>H78+L78+P78+T78+X78</f>
        <v/>
      </c>
      <c r="AC78" s="59">
        <f>I78+M78+Q78+U78+Y78</f>
        <v/>
      </c>
      <c r="AD78" s="24">
        <f>IF(Z78&gt;0, (AB78/Z78)*100, 0)</f>
        <v/>
      </c>
      <c r="AE78" s="25">
        <f>IF(Z78&gt;0, AA78/Z78, 0)</f>
        <v/>
      </c>
    </row>
    <row r="79" ht="20" customHeight="1">
      <c r="A79" s="26" t="n">
        <v>74</v>
      </c>
      <c r="B79" s="26" t="inlineStr">
        <is>
          <t>0100203</t>
        </is>
      </c>
      <c r="C79" s="35" t="inlineStr">
        <is>
          <t>KEUANGAN DAN PERBANKAN</t>
        </is>
      </c>
      <c r="D79" s="26" t="inlineStr">
        <is>
          <t>D3</t>
        </is>
      </c>
      <c r="E79" s="35" t="inlineStr">
        <is>
          <t>Ekonomi dan Bisnis</t>
        </is>
      </c>
      <c r="F79" s="27" t="n">
        <v>80</v>
      </c>
      <c r="G79" s="27" t="n">
        <v>1119</v>
      </c>
      <c r="H79" s="27" t="n">
        <v>36</v>
      </c>
      <c r="I79" s="23">
        <f>F79-H79</f>
        <v/>
      </c>
      <c r="J79" s="27" t="n">
        <v>80</v>
      </c>
      <c r="K79" s="27" t="n">
        <v>1260</v>
      </c>
      <c r="L79" s="27" t="n">
        <v>41</v>
      </c>
      <c r="M79" s="23">
        <f>J79-L79</f>
        <v/>
      </c>
      <c r="N79" s="27" t="n">
        <v>80</v>
      </c>
      <c r="O79" s="27" t="n">
        <v>1184</v>
      </c>
      <c r="P79" s="27" t="n">
        <v>32</v>
      </c>
      <c r="Q79" s="23">
        <f>N79-P79</f>
        <v/>
      </c>
      <c r="R79" s="27" t="n">
        <v>35</v>
      </c>
      <c r="S79" s="27" t="n">
        <v>11</v>
      </c>
      <c r="T79" s="27" t="n">
        <v>0</v>
      </c>
      <c r="U79" s="23">
        <f>R79-T79</f>
        <v/>
      </c>
      <c r="V79" s="27" t="n">
        <v>0</v>
      </c>
      <c r="W79" s="27" t="n">
        <v>0</v>
      </c>
      <c r="X79" s="27" t="n">
        <v>0</v>
      </c>
      <c r="Y79" s="23">
        <f>V79-X79</f>
        <v/>
      </c>
      <c r="Z79" s="60">
        <f>F79+J79+N79+R79+V79</f>
        <v/>
      </c>
      <c r="AA79" s="60">
        <f>G79+K79+O79+S79+W79</f>
        <v/>
      </c>
      <c r="AB79" s="60">
        <f>H79+L79+P79+T79+X79</f>
        <v/>
      </c>
      <c r="AC79" s="60">
        <f>I79+M79+Q79+U79+Y79</f>
        <v/>
      </c>
      <c r="AD79" s="28">
        <f>IF(Z79&gt;0, (AB79/Z79)*100, 0)</f>
        <v/>
      </c>
      <c r="AE79" s="29">
        <f>IF(Z79&gt;0, AA79/Z79, 0)</f>
        <v/>
      </c>
    </row>
    <row r="80" ht="20" customHeight="1">
      <c r="A80" s="21" t="n">
        <v>75</v>
      </c>
      <c r="B80" s="21" t="inlineStr">
        <is>
          <t>0800701</t>
        </is>
      </c>
      <c r="C80" s="34" t="inlineStr">
        <is>
          <t>MANAJEMEN INFORMATIKA</t>
        </is>
      </c>
      <c r="D80" s="21" t="inlineStr">
        <is>
          <t>D3</t>
        </is>
      </c>
      <c r="E80" s="34" t="inlineStr">
        <is>
          <t>MIPA</t>
        </is>
      </c>
      <c r="F80" s="22" t="n">
        <v>80</v>
      </c>
      <c r="G80" s="22" t="n">
        <v>1331</v>
      </c>
      <c r="H80" s="22" t="n">
        <v>58</v>
      </c>
      <c r="I80" s="23">
        <f>F80-H80</f>
        <v/>
      </c>
      <c r="J80" s="22" t="n">
        <v>80</v>
      </c>
      <c r="K80" s="22" t="n">
        <v>1604</v>
      </c>
      <c r="L80" s="22" t="n">
        <v>66</v>
      </c>
      <c r="M80" s="23">
        <f>J80-L80</f>
        <v/>
      </c>
      <c r="N80" s="22" t="n">
        <v>80</v>
      </c>
      <c r="O80" s="22" t="n">
        <v>1413</v>
      </c>
      <c r="P80" s="22" t="n">
        <v>57</v>
      </c>
      <c r="Q80" s="23">
        <f>N80-P80</f>
        <v/>
      </c>
      <c r="R80" s="22" t="n">
        <v>80</v>
      </c>
      <c r="S80" s="22" t="n">
        <v>50</v>
      </c>
      <c r="T80" s="22" t="n">
        <v>32</v>
      </c>
      <c r="U80" s="23">
        <f>R80-T80</f>
        <v/>
      </c>
      <c r="V80" s="22" t="n">
        <v>0</v>
      </c>
      <c r="W80" s="22" t="n">
        <v>0</v>
      </c>
      <c r="X80" s="22" t="n">
        <v>0</v>
      </c>
      <c r="Y80" s="23">
        <f>V80-X80</f>
        <v/>
      </c>
      <c r="Z80" s="59">
        <f>F80+J80+N80+R80+V80</f>
        <v/>
      </c>
      <c r="AA80" s="59">
        <f>G80+K80+O80+S80+W80</f>
        <v/>
      </c>
      <c r="AB80" s="59">
        <f>H80+L80+P80+T80+X80</f>
        <v/>
      </c>
      <c r="AC80" s="59">
        <f>I80+M80+Q80+U80+Y80</f>
        <v/>
      </c>
      <c r="AD80" s="24">
        <f>IF(Z80&gt;0, (AB80/Z80)*100, 0)</f>
        <v/>
      </c>
      <c r="AE80" s="25">
        <f>IF(Z80&gt;0, AA80/Z80, 0)</f>
        <v/>
      </c>
    </row>
    <row r="81" ht="20" customHeight="1">
      <c r="A81" s="26" t="n">
        <v>76</v>
      </c>
      <c r="B81" s="26" t="inlineStr">
        <is>
          <t>1110401</t>
        </is>
      </c>
      <c r="C81" s="35" t="inlineStr">
        <is>
          <t>TEKNOLOGI INDUSTRI HASIL PERIKANAN</t>
        </is>
      </c>
      <c r="D81" s="26" t="inlineStr">
        <is>
          <t>S1</t>
        </is>
      </c>
      <c r="E81" s="35" t="inlineStr">
        <is>
          <t>Kelautan dan Perikanan</t>
        </is>
      </c>
      <c r="F81" s="27" t="n">
        <v>50</v>
      </c>
      <c r="G81" s="27" t="n">
        <v>103</v>
      </c>
      <c r="H81" s="27" t="n">
        <v>36</v>
      </c>
      <c r="I81" s="23">
        <f>F81-H81</f>
        <v/>
      </c>
      <c r="J81" s="27" t="n">
        <v>50</v>
      </c>
      <c r="K81" s="27" t="n">
        <v>131</v>
      </c>
      <c r="L81" s="27" t="n">
        <v>32</v>
      </c>
      <c r="M81" s="23">
        <f>J81-L81</f>
        <v/>
      </c>
      <c r="N81" s="27" t="n">
        <v>0</v>
      </c>
      <c r="O81" s="27" t="n">
        <v>0</v>
      </c>
      <c r="P81" s="27" t="n">
        <v>0</v>
      </c>
      <c r="Q81" s="23">
        <f>N81-P81</f>
        <v/>
      </c>
      <c r="R81" s="27" t="n">
        <v>80</v>
      </c>
      <c r="S81" s="27" t="n">
        <v>75</v>
      </c>
      <c r="T81" s="27" t="n">
        <v>36</v>
      </c>
      <c r="U81" s="23">
        <f>R81-T81</f>
        <v/>
      </c>
      <c r="V81" s="27" t="n">
        <v>0</v>
      </c>
      <c r="W81" s="27" t="n">
        <v>0</v>
      </c>
      <c r="X81" s="27" t="n">
        <v>0</v>
      </c>
      <c r="Y81" s="23">
        <f>V81-X81</f>
        <v/>
      </c>
      <c r="Z81" s="60">
        <f>F81+J81+N81+R81+V81</f>
        <v/>
      </c>
      <c r="AA81" s="60">
        <f>G81+K81+O81+S81+W81</f>
        <v/>
      </c>
      <c r="AB81" s="60">
        <f>H81+L81+P81+T81+X81</f>
        <v/>
      </c>
      <c r="AC81" s="60">
        <f>I81+M81+Q81+U81+Y81</f>
        <v/>
      </c>
      <c r="AD81" s="28">
        <f>IF(Z81&gt;0, (AB81/Z81)*100, 0)</f>
        <v/>
      </c>
      <c r="AE81" s="29">
        <f>IF(Z81&gt;0, AA81/Z81, 0)</f>
        <v/>
      </c>
    </row>
    <row r="82" ht="20" customHeight="1">
      <c r="A82" s="21" t="n">
        <v>77</v>
      </c>
      <c r="B82" s="21" t="inlineStr">
        <is>
          <t>0411401</t>
        </is>
      </c>
      <c r="C82" s="34" t="inlineStr">
        <is>
          <t>TEKNIK LINGKUNGAN</t>
        </is>
      </c>
      <c r="D82" s="21" t="inlineStr">
        <is>
          <t>S1</t>
        </is>
      </c>
      <c r="E82" s="34" t="inlineStr">
        <is>
          <t>Teknik</t>
        </is>
      </c>
      <c r="F82" s="22" t="n">
        <v>80</v>
      </c>
      <c r="G82" s="22" t="n">
        <v>526</v>
      </c>
      <c r="H82" s="22" t="n">
        <v>50</v>
      </c>
      <c r="I82" s="23">
        <f>F82-H82</f>
        <v/>
      </c>
      <c r="J82" s="22" t="n">
        <v>80</v>
      </c>
      <c r="K82" s="22" t="n">
        <v>210</v>
      </c>
      <c r="L82" s="22" t="n">
        <v>55</v>
      </c>
      <c r="M82" s="23">
        <f>J82-L82</f>
        <v/>
      </c>
      <c r="N82" s="22" t="n">
        <v>0</v>
      </c>
      <c r="O82" s="22" t="n">
        <v>0</v>
      </c>
      <c r="P82" s="22" t="n">
        <v>0</v>
      </c>
      <c r="Q82" s="23">
        <f>N82-P82</f>
        <v/>
      </c>
      <c r="R82" s="22" t="n">
        <v>0</v>
      </c>
      <c r="S82" s="22" t="n">
        <v>0</v>
      </c>
      <c r="T82" s="22" t="n">
        <v>0</v>
      </c>
      <c r="U82" s="23">
        <f>R82-T82</f>
        <v/>
      </c>
      <c r="V82" s="22" t="n">
        <v>0</v>
      </c>
      <c r="W82" s="22" t="n">
        <v>0</v>
      </c>
      <c r="X82" s="22" t="n">
        <v>0</v>
      </c>
      <c r="Y82" s="23">
        <f>V82-X82</f>
        <v/>
      </c>
      <c r="Z82" s="59">
        <f>F82+J82+N82+R82+V82</f>
        <v/>
      </c>
      <c r="AA82" s="59">
        <f>G82+K82+O82+S82+W82</f>
        <v/>
      </c>
      <c r="AB82" s="59">
        <f>H82+L82+P82+T82+X82</f>
        <v/>
      </c>
      <c r="AC82" s="59">
        <f>I82+M82+Q82+U82+Y82</f>
        <v/>
      </c>
      <c r="AD82" s="24">
        <f>IF(Z82&gt;0, (AB82/Z82)*100, 0)</f>
        <v/>
      </c>
      <c r="AE82" s="25">
        <f>IF(Z82&gt;0, AA82/Z82, 0)</f>
        <v/>
      </c>
    </row>
    <row r="83" ht="20" customHeight="1">
      <c r="A83" s="26" t="n">
        <v>78</v>
      </c>
      <c r="B83" s="26" t="inlineStr">
        <is>
          <t>0411501</t>
        </is>
      </c>
      <c r="C83" s="35" t="inlineStr">
        <is>
          <t>TEKNIK SUMBER DAYA AIR</t>
        </is>
      </c>
      <c r="D83" s="26" t="inlineStr">
        <is>
          <t>S1</t>
        </is>
      </c>
      <c r="E83" s="35" t="inlineStr">
        <is>
          <t>Teknik</t>
        </is>
      </c>
      <c r="F83" s="27" t="n">
        <v>80</v>
      </c>
      <c r="G83" s="27" t="n">
        <v>122</v>
      </c>
      <c r="H83" s="27" t="n">
        <v>52</v>
      </c>
      <c r="I83" s="23">
        <f>F83-H83</f>
        <v/>
      </c>
      <c r="J83" s="27" t="n">
        <v>80</v>
      </c>
      <c r="K83" s="27" t="n">
        <v>112</v>
      </c>
      <c r="L83" s="27" t="n">
        <v>51</v>
      </c>
      <c r="M83" s="23">
        <f>J83-L83</f>
        <v/>
      </c>
      <c r="N83" s="27" t="n">
        <v>0</v>
      </c>
      <c r="O83" s="27" t="n">
        <v>0</v>
      </c>
      <c r="P83" s="27" t="n">
        <v>0</v>
      </c>
      <c r="Q83" s="23">
        <f>N83-P83</f>
        <v/>
      </c>
      <c r="R83" s="27" t="n">
        <v>0</v>
      </c>
      <c r="S83" s="27" t="n">
        <v>0</v>
      </c>
      <c r="T83" s="27" t="n">
        <v>0</v>
      </c>
      <c r="U83" s="23">
        <f>R83-T83</f>
        <v/>
      </c>
      <c r="V83" s="27" t="n">
        <v>0</v>
      </c>
      <c r="W83" s="27" t="n">
        <v>0</v>
      </c>
      <c r="X83" s="27" t="n">
        <v>0</v>
      </c>
      <c r="Y83" s="23">
        <f>V83-X83</f>
        <v/>
      </c>
      <c r="Z83" s="60">
        <f>F83+J83+N83+R83+V83</f>
        <v/>
      </c>
      <c r="AA83" s="60">
        <f>G83+K83+O83+S83+W83</f>
        <v/>
      </c>
      <c r="AB83" s="60">
        <f>H83+L83+P83+T83+X83</f>
        <v/>
      </c>
      <c r="AC83" s="60">
        <f>I83+M83+Q83+U83+Y83</f>
        <v/>
      </c>
      <c r="AD83" s="28">
        <f>IF(Z83&gt;0, (AB83/Z83)*100, 0)</f>
        <v/>
      </c>
      <c r="AE83" s="29">
        <f>IF(Z83&gt;0, AA83/Z83, 0)</f>
        <v/>
      </c>
    </row>
    <row r="84" ht="20" customHeight="1">
      <c r="A84" s="21" t="n">
        <v>79</v>
      </c>
      <c r="B84" s="21" t="inlineStr">
        <is>
          <t>0110501</t>
        </is>
      </c>
      <c r="C84" s="34" t="inlineStr">
        <is>
          <t>BISNIS DIGITAL</t>
        </is>
      </c>
      <c r="D84" s="21" t="inlineStr">
        <is>
          <t>S1</t>
        </is>
      </c>
      <c r="E84" s="34" t="inlineStr">
        <is>
          <t>Ekonomi dan Bisnis</t>
        </is>
      </c>
      <c r="F84" s="22" t="n">
        <v>80</v>
      </c>
      <c r="G84" s="22" t="n">
        <v>1023</v>
      </c>
      <c r="H84" s="22" t="n">
        <v>78</v>
      </c>
      <c r="I84" s="23">
        <f>F84-H84</f>
        <v/>
      </c>
      <c r="J84" s="22" t="n">
        <v>80</v>
      </c>
      <c r="K84" s="22" t="n">
        <v>131</v>
      </c>
      <c r="L84" s="22" t="n">
        <v>72</v>
      </c>
      <c r="M84" s="23">
        <f>J84-L84</f>
        <v/>
      </c>
      <c r="N84" s="22" t="n">
        <v>0</v>
      </c>
      <c r="O84" s="22" t="n">
        <v>0</v>
      </c>
      <c r="P84" s="22" t="n">
        <v>0</v>
      </c>
      <c r="Q84" s="23">
        <f>N84-P84</f>
        <v/>
      </c>
      <c r="R84" s="22" t="n">
        <v>0</v>
      </c>
      <c r="S84" s="22" t="n">
        <v>0</v>
      </c>
      <c r="T84" s="22" t="n">
        <v>0</v>
      </c>
      <c r="U84" s="23">
        <f>R84-T84</f>
        <v/>
      </c>
      <c r="V84" s="22" t="n">
        <v>0</v>
      </c>
      <c r="W84" s="22" t="n">
        <v>0</v>
      </c>
      <c r="X84" s="22" t="n">
        <v>0</v>
      </c>
      <c r="Y84" s="23">
        <f>V84-X84</f>
        <v/>
      </c>
      <c r="Z84" s="59">
        <f>F84+J84+N84+R84+V84</f>
        <v/>
      </c>
      <c r="AA84" s="59">
        <f>G84+K84+O84+S84+W84</f>
        <v/>
      </c>
      <c r="AB84" s="59">
        <f>H84+L84+P84+T84+X84</f>
        <v/>
      </c>
      <c r="AC84" s="59">
        <f>I84+M84+Q84+U84+Y84</f>
        <v/>
      </c>
      <c r="AD84" s="24">
        <f>IF(Z84&gt;0, (AB84/Z84)*100, 0)</f>
        <v/>
      </c>
      <c r="AE84" s="25">
        <f>IF(Z84&gt;0, AA84/Z84, 0)</f>
        <v/>
      </c>
    </row>
    <row r="85" ht="20" customHeight="1">
      <c r="A85" s="26" t="n">
        <v>80</v>
      </c>
      <c r="B85" s="26" t="inlineStr">
        <is>
          <t>0411601</t>
        </is>
      </c>
      <c r="C85" s="35" t="inlineStr">
        <is>
          <t>TEKNIK PERMINYAKAN</t>
        </is>
      </c>
      <c r="D85" s="26" t="inlineStr">
        <is>
          <t>S1</t>
        </is>
      </c>
      <c r="E85" s="35" t="inlineStr">
        <is>
          <t>Teknik</t>
        </is>
      </c>
      <c r="F85" s="27" t="n">
        <v>120</v>
      </c>
      <c r="G85" s="27" t="n">
        <v>930</v>
      </c>
      <c r="H85" s="27" t="n">
        <v>52</v>
      </c>
      <c r="I85" s="23">
        <f>F85-H85</f>
        <v/>
      </c>
      <c r="J85" s="27" t="n">
        <v>120</v>
      </c>
      <c r="K85" s="27" t="n">
        <v>143</v>
      </c>
      <c r="L85" s="27" t="n">
        <v>120</v>
      </c>
      <c r="M85" s="23">
        <f>J85-L85</f>
        <v/>
      </c>
      <c r="N85" s="27" t="n">
        <v>0</v>
      </c>
      <c r="O85" s="27" t="n">
        <v>0</v>
      </c>
      <c r="P85" s="27" t="n">
        <v>0</v>
      </c>
      <c r="Q85" s="23">
        <f>N85-P85</f>
        <v/>
      </c>
      <c r="R85" s="27" t="n">
        <v>0</v>
      </c>
      <c r="S85" s="27" t="n">
        <v>0</v>
      </c>
      <c r="T85" s="27" t="n">
        <v>0</v>
      </c>
      <c r="U85" s="23">
        <f>R85-T85</f>
        <v/>
      </c>
      <c r="V85" s="27" t="n">
        <v>0</v>
      </c>
      <c r="W85" s="27" t="n">
        <v>0</v>
      </c>
      <c r="X85" s="27" t="n">
        <v>0</v>
      </c>
      <c r="Y85" s="23">
        <f>V85-X85</f>
        <v/>
      </c>
      <c r="Z85" s="60">
        <f>F85+J85+N85+R85+V85</f>
        <v/>
      </c>
      <c r="AA85" s="60">
        <f>G85+K85+O85+S85+W85</f>
        <v/>
      </c>
      <c r="AB85" s="60">
        <f>H85+L85+P85+T85+X85</f>
        <v/>
      </c>
      <c r="AC85" s="60">
        <f>I85+M85+Q85+U85+Y85</f>
        <v/>
      </c>
      <c r="AD85" s="28">
        <f>IF(Z85&gt;0, (AB85/Z85)*100, 0)</f>
        <v/>
      </c>
      <c r="AE85" s="29">
        <f>IF(Z85&gt;0, AA85/Z85, 0)</f>
        <v/>
      </c>
    </row>
    <row r="86" ht="20" customHeight="1">
      <c r="A86" s="21" t="n">
        <v>81</v>
      </c>
      <c r="B86" s="21" t="inlineStr">
        <is>
          <t>0910101</t>
        </is>
      </c>
      <c r="C86" s="34" t="inlineStr">
        <is>
          <t>HUBUNGAN INTERNASIONAL</t>
        </is>
      </c>
      <c r="D86" s="21" t="inlineStr">
        <is>
          <t>S1</t>
        </is>
      </c>
      <c r="E86" s="34" t="inlineStr">
        <is>
          <t>FISIP</t>
        </is>
      </c>
      <c r="F86" s="22" t="n">
        <v>80</v>
      </c>
      <c r="G86" s="22" t="n">
        <v>188</v>
      </c>
      <c r="H86" s="22" t="n">
        <v>73</v>
      </c>
      <c r="I86" s="23">
        <f>F86-H86</f>
        <v/>
      </c>
      <c r="J86" s="22" t="n">
        <v>0</v>
      </c>
      <c r="K86" s="22" t="n">
        <v>0</v>
      </c>
      <c r="L86" s="22" t="n">
        <v>0</v>
      </c>
      <c r="M86" s="23">
        <f>J86-L86</f>
        <v/>
      </c>
      <c r="N86" s="22" t="n">
        <v>0</v>
      </c>
      <c r="O86" s="22" t="n">
        <v>0</v>
      </c>
      <c r="P86" s="22" t="n">
        <v>0</v>
      </c>
      <c r="Q86" s="23">
        <f>N86-P86</f>
        <v/>
      </c>
      <c r="R86" s="22" t="n">
        <v>0</v>
      </c>
      <c r="S86" s="22" t="n">
        <v>0</v>
      </c>
      <c r="T86" s="22" t="n">
        <v>0</v>
      </c>
      <c r="U86" s="23">
        <f>R86-T86</f>
        <v/>
      </c>
      <c r="V86" s="22" t="n">
        <v>0</v>
      </c>
      <c r="W86" s="22" t="n">
        <v>0</v>
      </c>
      <c r="X86" s="22" t="n">
        <v>0</v>
      </c>
      <c r="Y86" s="23">
        <f>V86-X86</f>
        <v/>
      </c>
      <c r="Z86" s="59">
        <f>F86+J86+N86+R86+V86</f>
        <v/>
      </c>
      <c r="AA86" s="59">
        <f>G86+K86+O86+S86+W86</f>
        <v/>
      </c>
      <c r="AB86" s="59">
        <f>H86+L86+P86+T86+X86</f>
        <v/>
      </c>
      <c r="AC86" s="59">
        <f>I86+M86+Q86+U86+Y86</f>
        <v/>
      </c>
      <c r="AD86" s="24">
        <f>IF(Z86&gt;0, (AB86/Z86)*100, 0)</f>
        <v/>
      </c>
      <c r="AE86" s="25">
        <f>IF(Z86&gt;0, AA86/Z86, 0)</f>
        <v/>
      </c>
    </row>
    <row r="87" ht="24" customHeight="1">
      <c r="A87" s="30" t="inlineStr">
        <is>
          <t>GRAND TOTAL UNIVERSITAS</t>
        </is>
      </c>
      <c r="B87" s="61" t="n"/>
      <c r="C87" s="61" t="n"/>
      <c r="D87" s="61" t="n"/>
      <c r="E87" s="61" t="n"/>
      <c r="F87" s="31">
        <f>SUM(F6:F86)</f>
        <v/>
      </c>
      <c r="G87" s="31">
        <f>SUM(G6:G86)</f>
        <v/>
      </c>
      <c r="H87" s="31">
        <f>SUM(H6:H86)</f>
        <v/>
      </c>
      <c r="I87" s="31">
        <f>SUM(I6:I86)</f>
        <v/>
      </c>
      <c r="J87" s="31">
        <f>SUM(J6:J86)</f>
        <v/>
      </c>
      <c r="K87" s="31">
        <f>SUM(K6:K86)</f>
        <v/>
      </c>
      <c r="L87" s="31">
        <f>SUM(L6:L86)</f>
        <v/>
      </c>
      <c r="M87" s="31">
        <f>SUM(M6:M86)</f>
        <v/>
      </c>
      <c r="N87" s="31">
        <f>SUM(N6:N86)</f>
        <v/>
      </c>
      <c r="O87" s="31">
        <f>SUM(O6:O86)</f>
        <v/>
      </c>
      <c r="P87" s="31">
        <f>SUM(P6:P86)</f>
        <v/>
      </c>
      <c r="Q87" s="31">
        <f>SUM(Q6:Q86)</f>
        <v/>
      </c>
      <c r="R87" s="31">
        <f>SUM(R6:R86)</f>
        <v/>
      </c>
      <c r="S87" s="31">
        <f>SUM(S6:S86)</f>
        <v/>
      </c>
      <c r="T87" s="31">
        <f>SUM(T6:T86)</f>
        <v/>
      </c>
      <c r="U87" s="31">
        <f>SUM(U6:U86)</f>
        <v/>
      </c>
      <c r="V87" s="31">
        <f>SUM(V6:V86)</f>
        <v/>
      </c>
      <c r="W87" s="31">
        <f>SUM(W6:W86)</f>
        <v/>
      </c>
      <c r="X87" s="31">
        <f>SUM(X6:X86)</f>
        <v/>
      </c>
      <c r="Y87" s="31">
        <f>SUM(Y6:Y86)</f>
        <v/>
      </c>
      <c r="Z87" s="31">
        <f>SUM(Z6:Z86)</f>
        <v/>
      </c>
      <c r="AA87" s="31">
        <f>SUM(AA6:AA86)</f>
        <v/>
      </c>
      <c r="AB87" s="31">
        <f>SUM(AB6:AB86)</f>
        <v/>
      </c>
      <c r="AC87" s="31">
        <f>SUM(AC6:AC86)</f>
        <v/>
      </c>
      <c r="AD87" s="32">
        <f>IF(Z87&gt;0, (AB87/Z87)*100, 0)</f>
        <v/>
      </c>
      <c r="AE87" s="33">
        <f>IF(Z87&gt;0, AA87/Z87, 0)</f>
        <v/>
      </c>
    </row>
  </sheetData>
  <mergeCells count="10">
    <mergeCell ref="A87:E87"/>
    <mergeCell ref="A4:E4"/>
    <mergeCell ref="R4:U4"/>
    <mergeCell ref="F4:I4"/>
    <mergeCell ref="V4:Y4"/>
    <mergeCell ref="J4:M4"/>
    <mergeCell ref="N4:Q4"/>
    <mergeCell ref="A1:AE2"/>
    <mergeCell ref="Z4:AE4"/>
    <mergeCell ref="A3:A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"/>
  <sheetViews>
    <sheetView showGridLines="1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10" customWidth="1" min="4" max="4"/>
    <col width="20" customWidth="1" min="5" max="5"/>
    <col width="16" customWidth="1" min="6" max="6"/>
    <col width="18" customWidth="1" min="7" max="7"/>
    <col width="15" customWidth="1" min="8" max="8"/>
  </cols>
  <sheetData>
    <row r="1" ht="24" customHeight="1">
      <c r="A1" s="62" t="inlineStr">
        <is>
          <t>No</t>
        </is>
      </c>
      <c r="B1" s="62" t="inlineStr">
        <is>
          <t>Kode Prodi</t>
        </is>
      </c>
      <c r="C1" s="62" t="inlineStr">
        <is>
          <t>Nama Prodi</t>
        </is>
      </c>
      <c r="D1" s="62" t="inlineStr">
        <is>
          <t>Jenjang</t>
        </is>
      </c>
      <c r="E1" s="63" t="inlineStr">
        <is>
          <t>2026</t>
        </is>
      </c>
      <c r="F1" s="47" t="n"/>
      <c r="G1" s="47" t="n"/>
      <c r="H1" s="47" t="n"/>
    </row>
    <row r="2" ht="24" customHeight="1">
      <c r="A2" s="20" t="inlineStr">
        <is>
          <t>No</t>
        </is>
      </c>
      <c r="B2" s="20" t="inlineStr">
        <is>
          <t>Kode Prodi</t>
        </is>
      </c>
      <c r="C2" s="20" t="inlineStr">
        <is>
          <t>Nama Prodi</t>
        </is>
      </c>
      <c r="D2" s="20" t="inlineStr">
        <is>
          <t>Jenjang</t>
        </is>
      </c>
      <c r="E2" s="56" t="inlineStr">
        <is>
          <t>Total Daya Tampung</t>
        </is>
      </c>
      <c r="F2" s="56" t="inlineStr">
        <is>
          <t>Total Peminat</t>
        </is>
      </c>
      <c r="G2" s="56" t="inlineStr">
        <is>
          <t>Total Daftar Ulang</t>
        </is>
      </c>
      <c r="H2" s="52" t="inlineStr">
        <is>
          <t>Sisa Kuota</t>
        </is>
      </c>
    </row>
    <row r="3" ht="20" customHeight="1">
      <c r="A3" s="21" t="n">
        <v>63</v>
      </c>
      <c r="B3" s="21" t="inlineStr">
        <is>
          <t>0115001</t>
        </is>
      </c>
      <c r="C3" s="34" t="inlineStr">
        <is>
          <t>MANAJEMEN (PDD GAYO LUES)</t>
        </is>
      </c>
      <c r="D3" s="21" t="inlineStr">
        <is>
          <t>S1</t>
        </is>
      </c>
      <c r="E3" s="22" t="n">
        <v>80</v>
      </c>
      <c r="F3" s="22" t="n">
        <v>29</v>
      </c>
      <c r="G3" s="22" t="n">
        <v>13</v>
      </c>
      <c r="H3" s="23">
        <f>E3-G3</f>
        <v/>
      </c>
    </row>
    <row r="4" ht="20" customHeight="1">
      <c r="A4" s="26" t="n">
        <v>36</v>
      </c>
      <c r="B4" s="26" t="inlineStr">
        <is>
          <t>0515002</t>
        </is>
      </c>
      <c r="C4" s="35" t="inlineStr">
        <is>
          <t>KEHUTANAN (PDD GAYO LUES)</t>
        </is>
      </c>
      <c r="D4" s="26" t="inlineStr">
        <is>
          <t>S1</t>
        </is>
      </c>
      <c r="E4" s="27" t="n">
        <v>60</v>
      </c>
      <c r="F4" s="27" t="n">
        <v>28</v>
      </c>
      <c r="G4" s="27" t="n">
        <v>9</v>
      </c>
      <c r="H4" s="23">
        <f>E4-G4</f>
        <v/>
      </c>
    </row>
    <row r="5" ht="20" customHeight="1">
      <c r="A5" s="21" t="n">
        <v>34</v>
      </c>
      <c r="B5" s="21" t="inlineStr">
        <is>
          <t>0515001</t>
        </is>
      </c>
      <c r="C5" s="34" t="inlineStr">
        <is>
          <t>AGROTEKNOLOGI (PDD GAYO LUES)</t>
        </is>
      </c>
      <c r="D5" s="21" t="inlineStr">
        <is>
          <t>S1</t>
        </is>
      </c>
      <c r="E5" s="22" t="n">
        <v>40</v>
      </c>
      <c r="F5" s="22" t="n">
        <v>21</v>
      </c>
      <c r="G5" s="22" t="n">
        <v>6</v>
      </c>
      <c r="H5" s="23">
        <f>E5-G5</f>
        <v/>
      </c>
    </row>
    <row r="6" ht="20" customHeight="1">
      <c r="A6" s="26" t="n">
        <v>35</v>
      </c>
      <c r="B6" s="26" t="inlineStr">
        <is>
          <t>0615001</t>
        </is>
      </c>
      <c r="C6" s="35" t="inlineStr">
        <is>
          <t>PENDIDIKAN BIOLOGI  (PDD GAYO LUES)</t>
        </is>
      </c>
      <c r="D6" s="26" t="inlineStr">
        <is>
          <t>S1</t>
        </is>
      </c>
      <c r="E6" s="27" t="n">
        <v>40</v>
      </c>
      <c r="F6" s="27" t="n">
        <v>24</v>
      </c>
      <c r="G6" s="27" t="n">
        <v>13</v>
      </c>
      <c r="H6" s="23">
        <f>E6-G6</f>
        <v/>
      </c>
    </row>
    <row r="7" ht="20" customHeight="1">
      <c r="A7" s="21" t="n">
        <v>24</v>
      </c>
      <c r="B7" s="21" t="inlineStr">
        <is>
          <t>1110201</t>
        </is>
      </c>
      <c r="C7" s="34" t="inlineStr">
        <is>
          <t>BUDIDAYA PERAIRAN</t>
        </is>
      </c>
      <c r="D7" s="21" t="inlineStr">
        <is>
          <t>S1</t>
        </is>
      </c>
      <c r="E7" s="22" t="n">
        <v>160</v>
      </c>
      <c r="F7" s="22" t="n">
        <v>145</v>
      </c>
      <c r="G7" s="22" t="n">
        <v>90</v>
      </c>
      <c r="H7" s="23">
        <f>E7-G7</f>
        <v/>
      </c>
    </row>
    <row r="8" ht="20" customHeight="1">
      <c r="A8" s="26" t="n">
        <v>31</v>
      </c>
      <c r="B8" s="26" t="inlineStr">
        <is>
          <t>1110301</t>
        </is>
      </c>
      <c r="C8" s="35" t="inlineStr">
        <is>
          <t>PEMANFAATAN SUMBERDAYA PERIKANAN</t>
        </is>
      </c>
      <c r="D8" s="26" t="inlineStr">
        <is>
          <t>S1</t>
        </is>
      </c>
      <c r="E8" s="27" t="n">
        <v>120</v>
      </c>
      <c r="F8" s="27" t="n">
        <v>129</v>
      </c>
      <c r="G8" s="27" t="n">
        <v>67</v>
      </c>
      <c r="H8" s="23">
        <f>E8-G8</f>
        <v/>
      </c>
    </row>
    <row r="9" ht="20" customHeight="1">
      <c r="A9" s="21" t="n">
        <v>20</v>
      </c>
      <c r="B9" s="21" t="inlineStr">
        <is>
          <t>0810201</t>
        </is>
      </c>
      <c r="C9" s="34" t="inlineStr">
        <is>
          <t>FISIKA</t>
        </is>
      </c>
      <c r="D9" s="21" t="inlineStr">
        <is>
          <t>S1</t>
        </is>
      </c>
      <c r="E9" s="22" t="n">
        <v>80</v>
      </c>
      <c r="F9" s="22" t="n">
        <v>94</v>
      </c>
      <c r="G9" s="22" t="n">
        <v>42</v>
      </c>
      <c r="H9" s="23">
        <f>E9-G9</f>
        <v/>
      </c>
    </row>
    <row r="10" ht="20" customHeight="1">
      <c r="A10" s="26" t="n">
        <v>14</v>
      </c>
      <c r="B10" s="26" t="inlineStr">
        <is>
          <t>0610303</t>
        </is>
      </c>
      <c r="C10" s="35" t="inlineStr">
        <is>
          <t>PENDIDIKAN FISIKA</t>
        </is>
      </c>
      <c r="D10" s="26" t="inlineStr">
        <is>
          <t>S1</t>
        </is>
      </c>
      <c r="E10" s="27" t="n">
        <v>120</v>
      </c>
      <c r="F10" s="27" t="n">
        <v>155</v>
      </c>
      <c r="G10" s="27" t="n">
        <v>78</v>
      </c>
      <c r="H10" s="23">
        <f>E10-G10</f>
        <v/>
      </c>
    </row>
    <row r="11" ht="20" customHeight="1">
      <c r="A11" s="21" t="n">
        <v>37</v>
      </c>
      <c r="B11" s="21" t="inlineStr">
        <is>
          <t>0510901</t>
        </is>
      </c>
      <c r="C11" s="34" t="inlineStr">
        <is>
          <t>PROTEKSI TANAMAN</t>
        </is>
      </c>
      <c r="D11" s="21" t="inlineStr">
        <is>
          <t>S1</t>
        </is>
      </c>
      <c r="E11" s="22" t="n">
        <v>80</v>
      </c>
      <c r="F11" s="22" t="n">
        <v>105</v>
      </c>
      <c r="G11" s="22" t="n">
        <v>49</v>
      </c>
      <c r="H11" s="23">
        <f>E11-G11</f>
        <v/>
      </c>
    </row>
    <row r="12" ht="20" customHeight="1">
      <c r="A12" s="26" t="n">
        <v>78</v>
      </c>
      <c r="B12" s="26" t="inlineStr">
        <is>
          <t>0411501</t>
        </is>
      </c>
      <c r="C12" s="35" t="inlineStr">
        <is>
          <t>TEKNIK SUMBER DAYA AIR</t>
        </is>
      </c>
      <c r="D12" s="26" t="inlineStr">
        <is>
          <t>S1</t>
        </is>
      </c>
      <c r="E12" s="27" t="n">
        <v>80</v>
      </c>
      <c r="F12" s="27" t="n">
        <v>122</v>
      </c>
      <c r="G12" s="27" t="n">
        <v>52</v>
      </c>
      <c r="H12" s="23">
        <f>E12-G12</f>
        <v/>
      </c>
    </row>
    <row r="13" ht="20" customHeight="1">
      <c r="A13" s="21" t="n">
        <v>32</v>
      </c>
      <c r="B13" s="21" t="inlineStr">
        <is>
          <t>0510801</t>
        </is>
      </c>
      <c r="C13" s="34" t="inlineStr">
        <is>
          <t>ILMU TANAH</t>
        </is>
      </c>
      <c r="D13" s="21" t="inlineStr">
        <is>
          <t>S1</t>
        </is>
      </c>
      <c r="E13" s="22" t="n">
        <v>120</v>
      </c>
      <c r="F13" s="22" t="n">
        <v>195</v>
      </c>
      <c r="G13" s="22" t="n">
        <v>78</v>
      </c>
      <c r="H13" s="23">
        <f>E13-G13</f>
        <v/>
      </c>
    </row>
    <row r="14" ht="20" customHeight="1">
      <c r="A14" s="26" t="n">
        <v>15</v>
      </c>
      <c r="B14" s="26" t="inlineStr">
        <is>
          <t>0610304</t>
        </is>
      </c>
      <c r="C14" s="35" t="inlineStr">
        <is>
          <t>PENDIDIKAN KIMIA</t>
        </is>
      </c>
      <c r="D14" s="26" t="inlineStr">
        <is>
          <t>S1</t>
        </is>
      </c>
      <c r="E14" s="27" t="n">
        <v>120</v>
      </c>
      <c r="F14" s="27" t="n">
        <v>206</v>
      </c>
      <c r="G14" s="27" t="n">
        <v>75</v>
      </c>
      <c r="H14" s="23">
        <f>E14-G14</f>
        <v/>
      </c>
    </row>
    <row r="15" ht="20" customHeight="1">
      <c r="A15" s="21" t="n">
        <v>23</v>
      </c>
      <c r="B15" s="21" t="inlineStr">
        <is>
          <t>1110101</t>
        </is>
      </c>
      <c r="C15" s="34" t="inlineStr">
        <is>
          <t>ILMU KELAUTAN</t>
        </is>
      </c>
      <c r="D15" s="21" t="inlineStr">
        <is>
          <t>S1</t>
        </is>
      </c>
      <c r="E15" s="22" t="n">
        <v>160</v>
      </c>
      <c r="F15" s="22" t="n">
        <v>302</v>
      </c>
      <c r="G15" s="22" t="n">
        <v>113</v>
      </c>
      <c r="H15" s="23">
        <f>E15-G15</f>
        <v/>
      </c>
    </row>
    <row r="16" ht="20" customHeight="1">
      <c r="A16" s="26" t="n">
        <v>76</v>
      </c>
      <c r="B16" s="26" t="inlineStr">
        <is>
          <t>1110401</t>
        </is>
      </c>
      <c r="C16" s="35" t="inlineStr">
        <is>
          <t>TEKNOLOGI INDUSTRI HASIL PERIKANAN</t>
        </is>
      </c>
      <c r="D16" s="26" t="inlineStr">
        <is>
          <t>S1</t>
        </is>
      </c>
      <c r="E16" s="27" t="n">
        <v>50</v>
      </c>
      <c r="F16" s="27" t="n">
        <v>103</v>
      </c>
      <c r="G16" s="27" t="n">
        <v>36</v>
      </c>
      <c r="H16" s="23">
        <f>E16-G16</f>
        <v/>
      </c>
    </row>
    <row r="17" ht="20" customHeight="1">
      <c r="A17" s="21" t="n">
        <v>9</v>
      </c>
      <c r="B17" s="21" t="inlineStr">
        <is>
          <t>0510401</t>
        </is>
      </c>
      <c r="C17" s="34" t="inlineStr">
        <is>
          <t>PETERNAKAN</t>
        </is>
      </c>
      <c r="D17" s="21" t="inlineStr">
        <is>
          <t>S1</t>
        </is>
      </c>
      <c r="E17" s="22" t="n">
        <v>160</v>
      </c>
      <c r="F17" s="22" t="n">
        <v>331</v>
      </c>
      <c r="G17" s="22" t="n">
        <v>98</v>
      </c>
      <c r="H17" s="23">
        <f>E17-G17</f>
        <v/>
      </c>
    </row>
    <row r="18" ht="20" customHeight="1">
      <c r="A18" s="26" t="n">
        <v>19</v>
      </c>
      <c r="B18" s="26" t="inlineStr">
        <is>
          <t>0810101</t>
        </is>
      </c>
      <c r="C18" s="35" t="inlineStr">
        <is>
          <t>MATEMATIKA</t>
        </is>
      </c>
      <c r="D18" s="26" t="inlineStr">
        <is>
          <t>S1</t>
        </is>
      </c>
      <c r="E18" s="27" t="n">
        <v>80</v>
      </c>
      <c r="F18" s="27" t="n">
        <v>185</v>
      </c>
      <c r="G18" s="27" t="n">
        <v>56</v>
      </c>
      <c r="H18" s="23">
        <f>E18-G18</f>
        <v/>
      </c>
    </row>
    <row r="19" ht="20" customHeight="1">
      <c r="A19" s="21" t="n">
        <v>81</v>
      </c>
      <c r="B19" s="21" t="inlineStr">
        <is>
          <t>0910101</t>
        </is>
      </c>
      <c r="C19" s="34" t="inlineStr">
        <is>
          <t>HUBUNGAN INTERNASIONAL</t>
        </is>
      </c>
      <c r="D19" s="21" t="inlineStr">
        <is>
          <t>S1</t>
        </is>
      </c>
      <c r="E19" s="22" t="n">
        <v>80</v>
      </c>
      <c r="F19" s="22" t="n">
        <v>188</v>
      </c>
      <c r="G19" s="22" t="n">
        <v>73</v>
      </c>
      <c r="H19" s="23">
        <f>E19-G19</f>
        <v/>
      </c>
    </row>
    <row r="20" ht="20" customHeight="1">
      <c r="A20" s="26" t="n">
        <v>4</v>
      </c>
      <c r="B20" s="26" t="inlineStr">
        <is>
          <t>0410301</t>
        </is>
      </c>
      <c r="C20" s="35" t="inlineStr">
        <is>
          <t>TEKNIK KIMIA</t>
        </is>
      </c>
      <c r="D20" s="26" t="inlineStr">
        <is>
          <t>S1</t>
        </is>
      </c>
      <c r="E20" s="27" t="n">
        <v>180</v>
      </c>
      <c r="F20" s="27" t="n">
        <v>438</v>
      </c>
      <c r="G20" s="27" t="n">
        <v>120</v>
      </c>
      <c r="H20" s="23">
        <f>E20-G20</f>
        <v/>
      </c>
    </row>
    <row r="21" ht="20" customHeight="1">
      <c r="A21" s="21" t="n">
        <v>21</v>
      </c>
      <c r="B21" s="21" t="inlineStr">
        <is>
          <t>0810301</t>
        </is>
      </c>
      <c r="C21" s="34" t="inlineStr">
        <is>
          <t>KIMIA</t>
        </is>
      </c>
      <c r="D21" s="21" t="inlineStr">
        <is>
          <t>S1</t>
        </is>
      </c>
      <c r="E21" s="22" t="n">
        <v>80</v>
      </c>
      <c r="F21" s="22" t="n">
        <v>195</v>
      </c>
      <c r="G21" s="22" t="n">
        <v>61</v>
      </c>
      <c r="H21" s="23">
        <f>E21-G21</f>
        <v/>
      </c>
    </row>
    <row r="22" ht="20" customHeight="1">
      <c r="A22" s="26" t="n">
        <v>47</v>
      </c>
      <c r="B22" s="26" t="inlineStr">
        <is>
          <t>0610103</t>
        </is>
      </c>
      <c r="C22" s="35" t="inlineStr">
        <is>
          <t>PENDIDIKAN EKONOMI</t>
        </is>
      </c>
      <c r="D22" s="26" t="inlineStr">
        <is>
          <t>S1</t>
        </is>
      </c>
      <c r="E22" s="27" t="n">
        <v>160</v>
      </c>
      <c r="F22" s="27" t="n">
        <v>404</v>
      </c>
      <c r="G22" s="27" t="n">
        <v>103</v>
      </c>
      <c r="H22" s="23">
        <f>E22-G22</f>
        <v/>
      </c>
    </row>
    <row r="23" ht="20" customHeight="1">
      <c r="A23" s="21" t="n">
        <v>28</v>
      </c>
      <c r="B23" s="21" t="inlineStr">
        <is>
          <t>0410701</t>
        </is>
      </c>
      <c r="C23" s="34" t="inlineStr">
        <is>
          <t>TEKNIK GEOFISIKA</t>
        </is>
      </c>
      <c r="D23" s="21" t="inlineStr">
        <is>
          <t>S1</t>
        </is>
      </c>
      <c r="E23" s="22" t="n">
        <v>80</v>
      </c>
      <c r="F23" s="22" t="n">
        <v>209</v>
      </c>
      <c r="G23" s="22" t="n">
        <v>51</v>
      </c>
      <c r="H23" s="23">
        <f>E23-G23</f>
        <v/>
      </c>
    </row>
    <row r="24" ht="20" customHeight="1">
      <c r="A24" s="26" t="n">
        <v>57</v>
      </c>
      <c r="B24" s="26" t="inlineStr">
        <is>
          <t>1010301</t>
        </is>
      </c>
      <c r="C24" s="35" t="inlineStr">
        <is>
          <t>ILMU POLITIK</t>
        </is>
      </c>
      <c r="D24" s="26" t="inlineStr">
        <is>
          <t>S1</t>
        </is>
      </c>
      <c r="E24" s="27" t="n">
        <v>180</v>
      </c>
      <c r="F24" s="27" t="n">
        <v>499</v>
      </c>
      <c r="G24" s="27" t="n">
        <v>146</v>
      </c>
      <c r="H24" s="23">
        <f>E24-G24</f>
        <v/>
      </c>
    </row>
    <row r="25" ht="20" customHeight="1">
      <c r="A25" s="21" t="n">
        <v>48</v>
      </c>
      <c r="B25" s="21" t="inlineStr">
        <is>
          <t>0610104</t>
        </is>
      </c>
      <c r="C25" s="34" t="inlineStr">
        <is>
          <t>PENDIDIKAN GEOGRAFI</t>
        </is>
      </c>
      <c r="D25" s="21" t="inlineStr">
        <is>
          <t>S1</t>
        </is>
      </c>
      <c r="E25" s="22" t="n">
        <v>160</v>
      </c>
      <c r="F25" s="22" t="n">
        <v>494</v>
      </c>
      <c r="G25" s="22" t="n">
        <v>119</v>
      </c>
      <c r="H25" s="23">
        <f>E25-G25</f>
        <v/>
      </c>
    </row>
    <row r="26" ht="20" customHeight="1">
      <c r="A26" s="26" t="n">
        <v>5</v>
      </c>
      <c r="B26" s="26" t="inlineStr">
        <is>
          <t>0410401</t>
        </is>
      </c>
      <c r="C26" s="35" t="inlineStr">
        <is>
          <t>ARSITEKTUR</t>
        </is>
      </c>
      <c r="D26" s="26" t="inlineStr">
        <is>
          <t>S1</t>
        </is>
      </c>
      <c r="E26" s="27" t="n">
        <v>160</v>
      </c>
      <c r="F26" s="27" t="n">
        <v>503</v>
      </c>
      <c r="G26" s="27" t="n">
        <v>131</v>
      </c>
      <c r="H26" s="23">
        <f>E26-G26</f>
        <v/>
      </c>
    </row>
    <row r="27" ht="20" customHeight="1">
      <c r="A27" s="21" t="n">
        <v>10</v>
      </c>
      <c r="B27" s="21" t="inlineStr">
        <is>
          <t>0510501</t>
        </is>
      </c>
      <c r="C27" s="34" t="inlineStr">
        <is>
          <t>TEKNOLOGI HASIL PERTANIAN</t>
        </is>
      </c>
      <c r="D27" s="21" t="inlineStr">
        <is>
          <t>S1</t>
        </is>
      </c>
      <c r="E27" s="22" t="n">
        <v>160</v>
      </c>
      <c r="F27" s="22" t="n">
        <v>510</v>
      </c>
      <c r="G27" s="22" t="n">
        <v>102</v>
      </c>
      <c r="H27" s="23">
        <f>E27-G27</f>
        <v/>
      </c>
    </row>
    <row r="28" ht="20" customHeight="1">
      <c r="A28" s="26" t="n">
        <v>51</v>
      </c>
      <c r="B28" s="26" t="inlineStr">
        <is>
          <t>0610203</t>
        </is>
      </c>
      <c r="C28" s="35" t="inlineStr">
        <is>
          <t>PENDIDIKAN SENI DRAMA TARI DAN MUSIK</t>
        </is>
      </c>
      <c r="D28" s="26" t="inlineStr">
        <is>
          <t>S1</t>
        </is>
      </c>
      <c r="E28" s="27" t="n">
        <v>120</v>
      </c>
      <c r="F28" s="27" t="n">
        <v>386</v>
      </c>
      <c r="G28" s="27" t="n">
        <v>111</v>
      </c>
      <c r="H28" s="23">
        <f>E28-G28</f>
        <v/>
      </c>
    </row>
    <row r="29" ht="20" customHeight="1">
      <c r="A29" s="21" t="n">
        <v>58</v>
      </c>
      <c r="B29" s="21" t="inlineStr">
        <is>
          <t>1010101</t>
        </is>
      </c>
      <c r="C29" s="34" t="inlineStr">
        <is>
          <t>SOSIOLOGI</t>
        </is>
      </c>
      <c r="D29" s="21" t="inlineStr">
        <is>
          <t>S1</t>
        </is>
      </c>
      <c r="E29" s="22" t="n">
        <v>160</v>
      </c>
      <c r="F29" s="22" t="n">
        <v>519</v>
      </c>
      <c r="G29" s="22" t="n">
        <v>92</v>
      </c>
      <c r="H29" s="23">
        <f>E29-G29</f>
        <v/>
      </c>
    </row>
    <row r="30" ht="20" customHeight="1">
      <c r="A30" s="26" t="n">
        <v>39</v>
      </c>
      <c r="B30" s="26" t="inlineStr">
        <is>
          <t>0511001</t>
        </is>
      </c>
      <c r="C30" s="35" t="inlineStr">
        <is>
          <t>KEHUTANAN</t>
        </is>
      </c>
      <c r="D30" s="26" t="inlineStr">
        <is>
          <t>S1</t>
        </is>
      </c>
      <c r="E30" s="27" t="n">
        <v>120</v>
      </c>
      <c r="F30" s="27" t="n">
        <v>416</v>
      </c>
      <c r="G30" s="27" t="n">
        <v>89</v>
      </c>
      <c r="H30" s="23">
        <f>E30-G30</f>
        <v/>
      </c>
    </row>
    <row r="31" ht="20" customHeight="1">
      <c r="A31" s="21" t="n">
        <v>62</v>
      </c>
      <c r="B31" s="21" t="inlineStr">
        <is>
          <t>0110401</t>
        </is>
      </c>
      <c r="C31" s="34" t="inlineStr">
        <is>
          <t>EKONOMI ISLAM</t>
        </is>
      </c>
      <c r="D31" s="21" t="inlineStr">
        <is>
          <t>S1</t>
        </is>
      </c>
      <c r="E31" s="22" t="n">
        <v>160</v>
      </c>
      <c r="F31" s="22" t="n">
        <v>595</v>
      </c>
      <c r="G31" s="22" t="n">
        <v>122</v>
      </c>
      <c r="H31" s="23">
        <f>E31-G31</f>
        <v/>
      </c>
    </row>
    <row r="32" ht="20" customHeight="1">
      <c r="A32" s="26" t="n">
        <v>13</v>
      </c>
      <c r="B32" s="26" t="inlineStr">
        <is>
          <t>0610302</t>
        </is>
      </c>
      <c r="C32" s="35" t="inlineStr">
        <is>
          <t>PENDIDIKAN MATEMATIKA</t>
        </is>
      </c>
      <c r="D32" s="26" t="inlineStr">
        <is>
          <t>S1</t>
        </is>
      </c>
      <c r="E32" s="27" t="n">
        <v>120</v>
      </c>
      <c r="F32" s="27" t="n">
        <v>448</v>
      </c>
      <c r="G32" s="27" t="n">
        <v>79</v>
      </c>
      <c r="H32" s="23">
        <f>E32-G32</f>
        <v/>
      </c>
    </row>
    <row r="33" ht="20" customHeight="1">
      <c r="A33" s="21" t="n">
        <v>1</v>
      </c>
      <c r="B33" s="21" t="inlineStr">
        <is>
          <t>0210101</t>
        </is>
      </c>
      <c r="C33" s="34" t="inlineStr">
        <is>
          <t>PENDIDIKAN DOKTER HEWAN</t>
        </is>
      </c>
      <c r="D33" s="21" t="inlineStr">
        <is>
          <t>S1</t>
        </is>
      </c>
      <c r="E33" s="22" t="n">
        <v>240</v>
      </c>
      <c r="F33" s="22" t="n">
        <v>897</v>
      </c>
      <c r="G33" s="22" t="n">
        <v>224</v>
      </c>
      <c r="H33" s="23">
        <f>E33-G33</f>
        <v/>
      </c>
    </row>
    <row r="34" ht="20" customHeight="1">
      <c r="A34" s="26" t="n">
        <v>11</v>
      </c>
      <c r="B34" s="26" t="inlineStr">
        <is>
          <t>0510601</t>
        </is>
      </c>
      <c r="C34" s="35" t="inlineStr">
        <is>
          <t>TEKNIK PERTANIAN</t>
        </is>
      </c>
      <c r="D34" s="26" t="inlineStr">
        <is>
          <t>S1</t>
        </is>
      </c>
      <c r="E34" s="27" t="n">
        <v>140</v>
      </c>
      <c r="F34" s="27" t="n">
        <v>550</v>
      </c>
      <c r="G34" s="27" t="n">
        <v>101</v>
      </c>
      <c r="H34" s="23">
        <f>E34-G34</f>
        <v/>
      </c>
    </row>
    <row r="35" ht="20" customHeight="1">
      <c r="A35" s="21" t="n">
        <v>53</v>
      </c>
      <c r="B35" s="21" t="inlineStr">
        <is>
          <t>0610402</t>
        </is>
      </c>
      <c r="C35" s="34" t="inlineStr">
        <is>
          <t>PENDIDIKAN JASMANI KESEHATAN DAN REKREASI</t>
        </is>
      </c>
      <c r="D35" s="21" t="inlineStr">
        <is>
          <t>S1</t>
        </is>
      </c>
      <c r="E35" s="22" t="n">
        <v>200</v>
      </c>
      <c r="F35" s="22" t="n">
        <v>812</v>
      </c>
      <c r="G35" s="22" t="n">
        <v>198</v>
      </c>
      <c r="H35" s="23">
        <f>E35-G35</f>
        <v/>
      </c>
    </row>
    <row r="36" ht="20" customHeight="1">
      <c r="A36" s="26" t="n">
        <v>41</v>
      </c>
      <c r="B36" s="26" t="inlineStr">
        <is>
          <t>0110101</t>
        </is>
      </c>
      <c r="C36" s="35" t="inlineStr">
        <is>
          <t>EKONOMI PEMBANGUNAN</t>
        </is>
      </c>
      <c r="D36" s="26" t="inlineStr">
        <is>
          <t>S1</t>
        </is>
      </c>
      <c r="E36" s="27" t="n">
        <v>160</v>
      </c>
      <c r="F36" s="27" t="n">
        <v>694</v>
      </c>
      <c r="G36" s="27" t="n">
        <v>135</v>
      </c>
      <c r="H36" s="23">
        <f>E36-G36</f>
        <v/>
      </c>
    </row>
    <row r="37" ht="20" customHeight="1">
      <c r="A37" s="21" t="n">
        <v>17</v>
      </c>
      <c r="B37" s="21" t="inlineStr">
        <is>
          <t>1210101</t>
        </is>
      </c>
      <c r="C37" s="34" t="inlineStr">
        <is>
          <t>ILMU KEPERAWATAN</t>
        </is>
      </c>
      <c r="D37" s="21" t="inlineStr">
        <is>
          <t>S1</t>
        </is>
      </c>
      <c r="E37" s="22" t="n">
        <v>360</v>
      </c>
      <c r="F37" s="22" t="n">
        <v>1588</v>
      </c>
      <c r="G37" s="22" t="n">
        <v>295</v>
      </c>
      <c r="H37" s="23">
        <f>E37-G37</f>
        <v/>
      </c>
    </row>
    <row r="38" ht="20" customHeight="1">
      <c r="A38" s="26" t="n">
        <v>6</v>
      </c>
      <c r="B38" s="26" t="inlineStr">
        <is>
          <t>0410501</t>
        </is>
      </c>
      <c r="C38" s="35" t="inlineStr">
        <is>
          <t>TEKNIK ELEKTRO</t>
        </is>
      </c>
      <c r="D38" s="26" t="inlineStr">
        <is>
          <t>S1</t>
        </is>
      </c>
      <c r="E38" s="27" t="n">
        <v>160</v>
      </c>
      <c r="F38" s="27" t="n">
        <v>709</v>
      </c>
      <c r="G38" s="27" t="n">
        <v>112</v>
      </c>
      <c r="H38" s="23">
        <f>E38-G38</f>
        <v/>
      </c>
    </row>
    <row r="39" ht="20" customHeight="1">
      <c r="A39" s="21" t="n">
        <v>30</v>
      </c>
      <c r="B39" s="21" t="inlineStr">
        <is>
          <t>0810801</t>
        </is>
      </c>
      <c r="C39" s="34" t="inlineStr">
        <is>
          <t>STATISTIKA</t>
        </is>
      </c>
      <c r="D39" s="21" t="inlineStr">
        <is>
          <t>S1</t>
        </is>
      </c>
      <c r="E39" s="22" t="n">
        <v>120</v>
      </c>
      <c r="F39" s="22" t="n">
        <v>537</v>
      </c>
      <c r="G39" s="22" t="n">
        <v>107</v>
      </c>
      <c r="H39" s="23">
        <f>E39-G39</f>
        <v/>
      </c>
    </row>
    <row r="40" ht="20" customHeight="1">
      <c r="A40" s="26" t="n">
        <v>2</v>
      </c>
      <c r="B40" s="26" t="inlineStr">
        <is>
          <t>0400101</t>
        </is>
      </c>
      <c r="C40" s="35" t="inlineStr">
        <is>
          <t>TEKNIK SIPIL</t>
        </is>
      </c>
      <c r="D40" s="26" t="inlineStr">
        <is>
          <t>S1</t>
        </is>
      </c>
      <c r="E40" s="27" t="n">
        <v>280</v>
      </c>
      <c r="F40" s="27" t="n">
        <v>1416</v>
      </c>
      <c r="G40" s="27" t="n">
        <v>252</v>
      </c>
      <c r="H40" s="23">
        <f>E40-G40</f>
        <v/>
      </c>
    </row>
    <row r="41" ht="20" customHeight="1">
      <c r="A41" s="21" t="n">
        <v>7</v>
      </c>
      <c r="B41" s="21" t="inlineStr">
        <is>
          <t>0510105</t>
        </is>
      </c>
      <c r="C41" s="34" t="inlineStr">
        <is>
          <t>AGROTEKNOLOGI</t>
        </is>
      </c>
      <c r="D41" s="21" t="inlineStr">
        <is>
          <t>S1</t>
        </is>
      </c>
      <c r="E41" s="22" t="n">
        <v>120</v>
      </c>
      <c r="F41" s="22" t="n">
        <v>617</v>
      </c>
      <c r="G41" s="22" t="n">
        <v>94</v>
      </c>
      <c r="H41" s="23">
        <f>E41-G41</f>
        <v/>
      </c>
    </row>
    <row r="42" ht="20" customHeight="1">
      <c r="A42" s="26" t="n">
        <v>12</v>
      </c>
      <c r="B42" s="26" t="inlineStr">
        <is>
          <t>0610301</t>
        </is>
      </c>
      <c r="C42" s="35" t="inlineStr">
        <is>
          <t>PENDIDIKAN BIOLOGI</t>
        </is>
      </c>
      <c r="D42" s="26" t="inlineStr">
        <is>
          <t>S1</t>
        </is>
      </c>
      <c r="E42" s="27" t="n">
        <v>120</v>
      </c>
      <c r="F42" s="27" t="n">
        <v>638</v>
      </c>
      <c r="G42" s="27" t="n">
        <v>86</v>
      </c>
      <c r="H42" s="23">
        <f>E42-G42</f>
        <v/>
      </c>
    </row>
    <row r="43" ht="20" customHeight="1">
      <c r="A43" s="21" t="n">
        <v>46</v>
      </c>
      <c r="B43" s="21" t="inlineStr">
        <is>
          <t>0610102</t>
        </is>
      </c>
      <c r="C43" s="34" t="inlineStr">
        <is>
          <t>PENDIDIKAN SEJARAH</t>
        </is>
      </c>
      <c r="D43" s="21" t="inlineStr">
        <is>
          <t>S1</t>
        </is>
      </c>
      <c r="E43" s="22" t="n">
        <v>120</v>
      </c>
      <c r="F43" s="22" t="n">
        <v>643</v>
      </c>
      <c r="G43" s="22" t="n">
        <v>84</v>
      </c>
      <c r="H43" s="23">
        <f>E43-G43</f>
        <v/>
      </c>
    </row>
    <row r="44" ht="20" customHeight="1">
      <c r="A44" s="26" t="n">
        <v>8</v>
      </c>
      <c r="B44" s="26" t="inlineStr">
        <is>
          <t>0510201</t>
        </is>
      </c>
      <c r="C44" s="35" t="inlineStr">
        <is>
          <t>AGRIBISNIS</t>
        </is>
      </c>
      <c r="D44" s="26" t="inlineStr">
        <is>
          <t>S1</t>
        </is>
      </c>
      <c r="E44" s="27" t="n">
        <v>160</v>
      </c>
      <c r="F44" s="27" t="n">
        <v>869</v>
      </c>
      <c r="G44" s="27" t="n">
        <v>135</v>
      </c>
      <c r="H44" s="23">
        <f>E44-G44</f>
        <v/>
      </c>
    </row>
    <row r="45" ht="20" customHeight="1">
      <c r="A45" s="21" t="n">
        <v>60</v>
      </c>
      <c r="B45" s="21" t="inlineStr">
        <is>
          <t>0610421</t>
        </is>
      </c>
      <c r="C45" s="34" t="inlineStr">
        <is>
          <t>PENDIDIKAN GURU PAUD</t>
        </is>
      </c>
      <c r="D45" s="21" t="inlineStr">
        <is>
          <t>S1</t>
        </is>
      </c>
      <c r="E45" s="22" t="n">
        <v>140</v>
      </c>
      <c r="F45" s="22" t="n">
        <v>764</v>
      </c>
      <c r="G45" s="22" t="n">
        <v>103</v>
      </c>
      <c r="H45" s="23">
        <f>E45-G45</f>
        <v/>
      </c>
    </row>
    <row r="46" ht="20" customHeight="1">
      <c r="A46" s="26" t="n">
        <v>38</v>
      </c>
      <c r="B46" s="26" t="inlineStr">
        <is>
          <t>0411001</t>
        </is>
      </c>
      <c r="C46" s="35" t="inlineStr">
        <is>
          <t>PERENCANAAN WILAYAH DAN KOTA</t>
        </is>
      </c>
      <c r="D46" s="26" t="inlineStr">
        <is>
          <t>S1</t>
        </is>
      </c>
      <c r="E46" s="27" t="n">
        <v>120</v>
      </c>
      <c r="F46" s="27" t="n">
        <v>669</v>
      </c>
      <c r="G46" s="27" t="n">
        <v>90</v>
      </c>
      <c r="H46" s="23">
        <f>E46-G46</f>
        <v/>
      </c>
    </row>
    <row r="47" ht="20" customHeight="1">
      <c r="A47" s="21" t="n">
        <v>33</v>
      </c>
      <c r="B47" s="21" t="inlineStr">
        <is>
          <t>0410901</t>
        </is>
      </c>
      <c r="C47" s="34" t="inlineStr">
        <is>
          <t>TEKNIK GEOLOGI</t>
        </is>
      </c>
      <c r="D47" s="21" t="inlineStr">
        <is>
          <t>S1</t>
        </is>
      </c>
      <c r="E47" s="22" t="n">
        <v>80</v>
      </c>
      <c r="F47" s="22" t="n">
        <v>470</v>
      </c>
      <c r="G47" s="22" t="n">
        <v>78</v>
      </c>
      <c r="H47" s="23">
        <f>E47-G47</f>
        <v/>
      </c>
    </row>
    <row r="48" ht="20" customHeight="1">
      <c r="A48" s="26" t="n">
        <v>52</v>
      </c>
      <c r="B48" s="26" t="inlineStr">
        <is>
          <t>0610401</t>
        </is>
      </c>
      <c r="C48" s="35" t="inlineStr">
        <is>
          <t>PENDIDIKAN KESEJAHTERAAN KELUARGA</t>
        </is>
      </c>
      <c r="D48" s="26" t="inlineStr">
        <is>
          <t>S1</t>
        </is>
      </c>
      <c r="E48" s="27" t="n">
        <v>160</v>
      </c>
      <c r="F48" s="27" t="n">
        <v>943</v>
      </c>
      <c r="G48" s="27" t="n">
        <v>149</v>
      </c>
      <c r="H48" s="23">
        <f>E48-G48</f>
        <v/>
      </c>
    </row>
    <row r="49" ht="20" customHeight="1">
      <c r="A49" s="21" t="n">
        <v>3</v>
      </c>
      <c r="B49" s="21" t="inlineStr">
        <is>
          <t>0400201</t>
        </is>
      </c>
      <c r="C49" s="34" t="inlineStr">
        <is>
          <t>TEKNIK MESIN</t>
        </is>
      </c>
      <c r="D49" s="21" t="inlineStr">
        <is>
          <t>S1</t>
        </is>
      </c>
      <c r="E49" s="22" t="n">
        <v>120</v>
      </c>
      <c r="F49" s="22" t="n">
        <v>726</v>
      </c>
      <c r="G49" s="22" t="n">
        <v>98</v>
      </c>
      <c r="H49" s="23">
        <f>E49-G49</f>
        <v/>
      </c>
    </row>
    <row r="50" ht="20" customHeight="1">
      <c r="A50" s="26" t="n">
        <v>22</v>
      </c>
      <c r="B50" s="26" t="inlineStr">
        <is>
          <t>0810401</t>
        </is>
      </c>
      <c r="C50" s="35" t="inlineStr">
        <is>
          <t>BIOLOGI</t>
        </is>
      </c>
      <c r="D50" s="26" t="inlineStr">
        <is>
          <t>S1</t>
        </is>
      </c>
      <c r="E50" s="27" t="n">
        <v>80</v>
      </c>
      <c r="F50" s="27" t="n">
        <v>485</v>
      </c>
      <c r="G50" s="27" t="n">
        <v>68</v>
      </c>
      <c r="H50" s="23">
        <f>E50-G50</f>
        <v/>
      </c>
    </row>
    <row r="51" ht="20" customHeight="1">
      <c r="A51" s="21" t="n">
        <v>77</v>
      </c>
      <c r="B51" s="21" t="inlineStr">
        <is>
          <t>0411401</t>
        </is>
      </c>
      <c r="C51" s="34" t="inlineStr">
        <is>
          <t>TEKNIK LINGKUNGAN</t>
        </is>
      </c>
      <c r="D51" s="21" t="inlineStr">
        <is>
          <t>S1</t>
        </is>
      </c>
      <c r="E51" s="22" t="n">
        <v>80</v>
      </c>
      <c r="F51" s="22" t="n">
        <v>526</v>
      </c>
      <c r="G51" s="22" t="n">
        <v>50</v>
      </c>
      <c r="H51" s="23">
        <f>E51-G51</f>
        <v/>
      </c>
    </row>
    <row r="52" ht="20" customHeight="1">
      <c r="A52" s="26" t="n">
        <v>44</v>
      </c>
      <c r="B52" s="26" t="inlineStr">
        <is>
          <t>0310101</t>
        </is>
      </c>
      <c r="C52" s="35" t="inlineStr">
        <is>
          <t>ILMU HUKUM</t>
        </is>
      </c>
      <c r="D52" s="26" t="inlineStr">
        <is>
          <t>S1</t>
        </is>
      </c>
      <c r="E52" s="27" t="n">
        <v>560</v>
      </c>
      <c r="F52" s="27" t="n">
        <v>3720</v>
      </c>
      <c r="G52" s="27" t="n">
        <v>558</v>
      </c>
      <c r="H52" s="23">
        <f>E52-G52</f>
        <v/>
      </c>
    </row>
    <row r="53" ht="20" customHeight="1">
      <c r="A53" s="21" t="n">
        <v>61</v>
      </c>
      <c r="B53" s="21" t="inlineStr">
        <is>
          <t>1010401</t>
        </is>
      </c>
      <c r="C53" s="34" t="inlineStr">
        <is>
          <t>ILMU PEMERINTAHAN</t>
        </is>
      </c>
      <c r="D53" s="21" t="inlineStr">
        <is>
          <t>S1</t>
        </is>
      </c>
      <c r="E53" s="22" t="n">
        <v>180</v>
      </c>
      <c r="F53" s="22" t="n">
        <v>1220</v>
      </c>
      <c r="G53" s="22" t="n">
        <v>181</v>
      </c>
      <c r="H53" s="23">
        <f>E53-G53</f>
        <v/>
      </c>
    </row>
    <row r="54" ht="20" customHeight="1">
      <c r="A54" s="26" t="n">
        <v>50</v>
      </c>
      <c r="B54" s="26" t="inlineStr">
        <is>
          <t>0610202</t>
        </is>
      </c>
      <c r="C54" s="35" t="inlineStr">
        <is>
          <t>PENDIDIKAN BAHASA INGGRIS</t>
        </is>
      </c>
      <c r="D54" s="26" t="inlineStr">
        <is>
          <t>S1</t>
        </is>
      </c>
      <c r="E54" s="27" t="n">
        <v>160</v>
      </c>
      <c r="F54" s="27" t="n">
        <v>1111</v>
      </c>
      <c r="G54" s="27" t="n">
        <v>149</v>
      </c>
      <c r="H54" s="23">
        <f>E54-G54</f>
        <v/>
      </c>
    </row>
    <row r="55" ht="20" customHeight="1">
      <c r="A55" s="21" t="n">
        <v>67</v>
      </c>
      <c r="B55" s="21" t="inlineStr">
        <is>
          <t>0400501</t>
        </is>
      </c>
      <c r="C55" s="34" t="inlineStr">
        <is>
          <t>TEKNIK LISTRIK</t>
        </is>
      </c>
      <c r="D55" s="21" t="inlineStr">
        <is>
          <t>D3</t>
        </is>
      </c>
      <c r="E55" s="22" t="n">
        <v>40</v>
      </c>
      <c r="F55" s="22" t="n">
        <v>281</v>
      </c>
      <c r="G55" s="22" t="n">
        <v>22</v>
      </c>
      <c r="H55" s="23">
        <f>E55-G55</f>
        <v/>
      </c>
    </row>
    <row r="56" ht="20" customHeight="1">
      <c r="A56" s="26" t="n">
        <v>45</v>
      </c>
      <c r="B56" s="26" t="inlineStr">
        <is>
          <t>0610101</t>
        </is>
      </c>
      <c r="C56" s="35" t="inlineStr">
        <is>
          <t>PENDIDIKAN PANCASILA DAN KEWARGANEGARAAN</t>
        </is>
      </c>
      <c r="D56" s="26" t="inlineStr">
        <is>
          <t>S1</t>
        </is>
      </c>
      <c r="E56" s="27" t="n">
        <v>140</v>
      </c>
      <c r="F56" s="27" t="n">
        <v>1025</v>
      </c>
      <c r="G56" s="27" t="n">
        <v>129</v>
      </c>
      <c r="H56" s="23">
        <f>E56-G56</f>
        <v/>
      </c>
    </row>
    <row r="57" ht="20" customHeight="1">
      <c r="A57" s="21" t="n">
        <v>68</v>
      </c>
      <c r="B57" s="21" t="inlineStr">
        <is>
          <t>0500401</t>
        </is>
      </c>
      <c r="C57" s="34" t="inlineStr">
        <is>
          <t>BUDIDAYA PETERNAKAN</t>
        </is>
      </c>
      <c r="D57" s="21" t="inlineStr">
        <is>
          <t>D3</t>
        </is>
      </c>
      <c r="E57" s="22" t="n">
        <v>60</v>
      </c>
      <c r="F57" s="22" t="n">
        <v>454</v>
      </c>
      <c r="G57" s="22" t="n">
        <v>23</v>
      </c>
      <c r="H57" s="23">
        <f>E57-G57</f>
        <v/>
      </c>
    </row>
    <row r="58" ht="20" customHeight="1">
      <c r="A58" s="26" t="n">
        <v>80</v>
      </c>
      <c r="B58" s="26" t="inlineStr">
        <is>
          <t>0411601</t>
        </is>
      </c>
      <c r="C58" s="35" t="inlineStr">
        <is>
          <t>TEKNIK PERMINYAKAN</t>
        </is>
      </c>
      <c r="D58" s="26" t="inlineStr">
        <is>
          <t>S1</t>
        </is>
      </c>
      <c r="E58" s="27" t="n">
        <v>120</v>
      </c>
      <c r="F58" s="27" t="n">
        <v>930</v>
      </c>
      <c r="G58" s="27" t="n">
        <v>52</v>
      </c>
      <c r="H58" s="23">
        <f>E58-G58</f>
        <v/>
      </c>
    </row>
    <row r="59" ht="20" customHeight="1">
      <c r="A59" s="21" t="n">
        <v>66</v>
      </c>
      <c r="B59" s="21" t="inlineStr">
        <is>
          <t>0500201</t>
        </is>
      </c>
      <c r="C59" s="34" t="inlineStr">
        <is>
          <t>MANAJEMEN AGRIBISNIS</t>
        </is>
      </c>
      <c r="D59" s="21" t="inlineStr">
        <is>
          <t>D3</t>
        </is>
      </c>
      <c r="E59" s="22" t="n">
        <v>100</v>
      </c>
      <c r="F59" s="22" t="n">
        <v>801</v>
      </c>
      <c r="G59" s="22" t="n">
        <v>27</v>
      </c>
      <c r="H59" s="23">
        <f>E59-G59</f>
        <v/>
      </c>
    </row>
    <row r="60" ht="20" customHeight="1">
      <c r="A60" s="26" t="n">
        <v>16</v>
      </c>
      <c r="B60" s="26" t="inlineStr">
        <is>
          <t>0710101</t>
        </is>
      </c>
      <c r="C60" s="35" t="inlineStr">
        <is>
          <t>PENDIDIKAN DOKTER</t>
        </is>
      </c>
      <c r="D60" s="26" t="inlineStr">
        <is>
          <t>S1</t>
        </is>
      </c>
      <c r="E60" s="27" t="n">
        <v>250</v>
      </c>
      <c r="F60" s="27" t="n">
        <v>2003</v>
      </c>
      <c r="G60" s="27" t="n">
        <v>250</v>
      </c>
      <c r="H60" s="23">
        <f>E60-G60</f>
        <v/>
      </c>
    </row>
    <row r="61" ht="20" customHeight="1">
      <c r="A61" s="21" t="n">
        <v>49</v>
      </c>
      <c r="B61" s="21" t="inlineStr">
        <is>
          <t>0610201</t>
        </is>
      </c>
      <c r="C61" s="34" t="inlineStr">
        <is>
          <t>PENDIDIKAN BAHASA INDONESIA</t>
        </is>
      </c>
      <c r="D61" s="21" t="inlineStr">
        <is>
          <t>S1</t>
        </is>
      </c>
      <c r="E61" s="22" t="n">
        <v>160</v>
      </c>
      <c r="F61" s="22" t="n">
        <v>1294</v>
      </c>
      <c r="G61" s="22" t="n">
        <v>134</v>
      </c>
      <c r="H61" s="23">
        <f>E61-G61</f>
        <v/>
      </c>
    </row>
    <row r="62" ht="20" customHeight="1">
      <c r="A62" s="26" t="n">
        <v>71</v>
      </c>
      <c r="B62" s="26" t="inlineStr">
        <is>
          <t>0100202</t>
        </is>
      </c>
      <c r="C62" s="35" t="inlineStr">
        <is>
          <t>SEKRETARI</t>
        </is>
      </c>
      <c r="D62" s="26" t="inlineStr">
        <is>
          <t>D3</t>
        </is>
      </c>
      <c r="E62" s="27" t="n">
        <v>40</v>
      </c>
      <c r="F62" s="27" t="n">
        <v>342</v>
      </c>
      <c r="G62" s="27" t="n">
        <v>18</v>
      </c>
      <c r="H62" s="23">
        <f>E62-G62</f>
        <v/>
      </c>
    </row>
    <row r="63" ht="20" customHeight="1">
      <c r="A63" s="21" t="n">
        <v>25</v>
      </c>
      <c r="B63" s="21" t="inlineStr">
        <is>
          <t>0410601</t>
        </is>
      </c>
      <c r="C63" s="34" t="inlineStr">
        <is>
          <t>TEKNIK INDUSTRI</t>
        </is>
      </c>
      <c r="D63" s="21" t="inlineStr">
        <is>
          <t>S1</t>
        </is>
      </c>
      <c r="E63" s="22" t="n">
        <v>120</v>
      </c>
      <c r="F63" s="22" t="n">
        <v>1052</v>
      </c>
      <c r="G63" s="22" t="n">
        <v>109</v>
      </c>
      <c r="H63" s="23">
        <f>E63-G63</f>
        <v/>
      </c>
    </row>
    <row r="64" ht="20" customHeight="1">
      <c r="A64" s="26" t="n">
        <v>40</v>
      </c>
      <c r="B64" s="26" t="inlineStr">
        <is>
          <t>0411101</t>
        </is>
      </c>
      <c r="C64" s="35" t="inlineStr">
        <is>
          <t>TEKNIK KOMPUTER</t>
        </is>
      </c>
      <c r="D64" s="26" t="inlineStr">
        <is>
          <t>S1</t>
        </is>
      </c>
      <c r="E64" s="27" t="n">
        <v>160</v>
      </c>
      <c r="F64" s="27" t="n">
        <v>1466</v>
      </c>
      <c r="G64" s="27" t="n">
        <v>145</v>
      </c>
      <c r="H64" s="23">
        <f>E64-G64</f>
        <v/>
      </c>
    </row>
    <row r="65" ht="20" customHeight="1">
      <c r="A65" s="21" t="n">
        <v>55</v>
      </c>
      <c r="B65" s="21" t="inlineStr">
        <is>
          <t>0610404</t>
        </is>
      </c>
      <c r="C65" s="34" t="inlineStr">
        <is>
          <t>PENDIDIKAN GURU SEKOLAH DASAR</t>
        </is>
      </c>
      <c r="D65" s="21" t="inlineStr">
        <is>
          <t>S1</t>
        </is>
      </c>
      <c r="E65" s="22" t="n">
        <v>230</v>
      </c>
      <c r="F65" s="22" t="n">
        <v>2175</v>
      </c>
      <c r="G65" s="22" t="n">
        <v>217</v>
      </c>
      <c r="H65" s="23">
        <f>E65-G65</f>
        <v/>
      </c>
    </row>
    <row r="66" ht="20" customHeight="1">
      <c r="A66" s="26" t="n">
        <v>59</v>
      </c>
      <c r="B66" s="26" t="inlineStr">
        <is>
          <t>1010201</t>
        </is>
      </c>
      <c r="C66" s="35" t="inlineStr">
        <is>
          <t>ILMU KOMUNIKASI</t>
        </is>
      </c>
      <c r="D66" s="26" t="inlineStr">
        <is>
          <t>S1</t>
        </is>
      </c>
      <c r="E66" s="27" t="n">
        <v>180</v>
      </c>
      <c r="F66" s="27" t="n">
        <v>1788</v>
      </c>
      <c r="G66" s="27" t="n">
        <v>180</v>
      </c>
      <c r="H66" s="23">
        <f>E66-G66</f>
        <v/>
      </c>
    </row>
    <row r="67" ht="20" customHeight="1">
      <c r="A67" s="21" t="n">
        <v>43</v>
      </c>
      <c r="B67" s="21" t="inlineStr">
        <is>
          <t>0100301</t>
        </is>
      </c>
      <c r="C67" s="34" t="inlineStr">
        <is>
          <t>AKUNTANSI</t>
        </is>
      </c>
      <c r="D67" s="21" t="inlineStr">
        <is>
          <t>S1</t>
        </is>
      </c>
      <c r="E67" s="22" t="n">
        <v>200</v>
      </c>
      <c r="F67" s="22" t="n">
        <v>2008</v>
      </c>
      <c r="G67" s="22" t="n">
        <v>199</v>
      </c>
      <c r="H67" s="23">
        <f>E67-G67</f>
        <v/>
      </c>
    </row>
    <row r="68" ht="20" customHeight="1">
      <c r="A68" s="26" t="n">
        <v>70</v>
      </c>
      <c r="B68" s="26" t="inlineStr">
        <is>
          <t>0400101</t>
        </is>
      </c>
      <c r="C68" s="35" t="inlineStr">
        <is>
          <t>TEKNIK SIPIL</t>
        </is>
      </c>
      <c r="D68" s="26" t="inlineStr">
        <is>
          <t>D3</t>
        </is>
      </c>
      <c r="E68" s="27" t="n">
        <v>80</v>
      </c>
      <c r="F68" s="27" t="n">
        <v>925</v>
      </c>
      <c r="G68" s="27" t="n">
        <v>55</v>
      </c>
      <c r="H68" s="23">
        <f>E68-G68</f>
        <v/>
      </c>
    </row>
    <row r="69" ht="20" customHeight="1">
      <c r="A69" s="21" t="n">
        <v>54</v>
      </c>
      <c r="B69" s="21" t="inlineStr">
        <is>
          <t>0610403</t>
        </is>
      </c>
      <c r="C69" s="34" t="inlineStr">
        <is>
          <t>BIMBINGAN KONSELING</t>
        </is>
      </c>
      <c r="D69" s="21" t="inlineStr">
        <is>
          <t>S1</t>
        </is>
      </c>
      <c r="E69" s="22" t="n">
        <v>150</v>
      </c>
      <c r="F69" s="22" t="n">
        <v>1754</v>
      </c>
      <c r="G69" s="22" t="n">
        <v>145</v>
      </c>
      <c r="H69" s="23">
        <f>E69-G69</f>
        <v/>
      </c>
    </row>
    <row r="70" ht="20" customHeight="1">
      <c r="A70" s="26" t="n">
        <v>69</v>
      </c>
      <c r="B70" s="26" t="inlineStr">
        <is>
          <t>0400201</t>
        </is>
      </c>
      <c r="C70" s="35" t="inlineStr">
        <is>
          <t>TEKNIK MESIN</t>
        </is>
      </c>
      <c r="D70" s="26" t="inlineStr">
        <is>
          <t>D3</t>
        </is>
      </c>
      <c r="E70" s="27" t="n">
        <v>40</v>
      </c>
      <c r="F70" s="27" t="n">
        <v>468</v>
      </c>
      <c r="G70" s="27" t="n">
        <v>23</v>
      </c>
      <c r="H70" s="23">
        <f>E70-G70</f>
        <v/>
      </c>
    </row>
    <row r="71" ht="20" customHeight="1">
      <c r="A71" s="21" t="n">
        <v>18</v>
      </c>
      <c r="B71" s="21" t="inlineStr">
        <is>
          <t>1310101</t>
        </is>
      </c>
      <c r="C71" s="34" t="inlineStr">
        <is>
          <t>PENDIDIKAN DOKTER GIGI</t>
        </is>
      </c>
      <c r="D71" s="21" t="inlineStr">
        <is>
          <t>S1</t>
        </is>
      </c>
      <c r="E71" s="22" t="n">
        <v>100</v>
      </c>
      <c r="F71" s="22" t="n">
        <v>1204</v>
      </c>
      <c r="G71" s="22" t="n">
        <v>100</v>
      </c>
      <c r="H71" s="23">
        <f>E71-G71</f>
        <v/>
      </c>
    </row>
    <row r="72" ht="20" customHeight="1">
      <c r="A72" s="26" t="n">
        <v>79</v>
      </c>
      <c r="B72" s="26" t="inlineStr">
        <is>
          <t>0110501</t>
        </is>
      </c>
      <c r="C72" s="35" t="inlineStr">
        <is>
          <t>BISNIS DIGITAL</t>
        </is>
      </c>
      <c r="D72" s="26" t="inlineStr">
        <is>
          <t>S1</t>
        </is>
      </c>
      <c r="E72" s="27" t="n">
        <v>80</v>
      </c>
      <c r="F72" s="27" t="n">
        <v>1023</v>
      </c>
      <c r="G72" s="27" t="n">
        <v>78</v>
      </c>
      <c r="H72" s="23">
        <f>E72-G72</f>
        <v/>
      </c>
    </row>
    <row r="73" ht="20" customHeight="1">
      <c r="A73" s="21" t="n">
        <v>73</v>
      </c>
      <c r="B73" s="21" t="inlineStr">
        <is>
          <t>0100301</t>
        </is>
      </c>
      <c r="C73" s="34" t="inlineStr">
        <is>
          <t>AKUNTANSI</t>
        </is>
      </c>
      <c r="D73" s="21" t="inlineStr">
        <is>
          <t>D3</t>
        </is>
      </c>
      <c r="E73" s="22" t="n">
        <v>80</v>
      </c>
      <c r="F73" s="22" t="n">
        <v>1048</v>
      </c>
      <c r="G73" s="22" t="n">
        <v>49</v>
      </c>
      <c r="H73" s="23">
        <f>E73-G73</f>
        <v/>
      </c>
    </row>
    <row r="74" ht="20" customHeight="1">
      <c r="A74" s="26" t="n">
        <v>74</v>
      </c>
      <c r="B74" s="26" t="inlineStr">
        <is>
          <t>0100203</t>
        </is>
      </c>
      <c r="C74" s="35" t="inlineStr">
        <is>
          <t>KEUANGAN DAN PERBANKAN</t>
        </is>
      </c>
      <c r="D74" s="26" t="inlineStr">
        <is>
          <t>D3</t>
        </is>
      </c>
      <c r="E74" s="27" t="n">
        <v>80</v>
      </c>
      <c r="F74" s="27" t="n">
        <v>1119</v>
      </c>
      <c r="G74" s="27" t="n">
        <v>36</v>
      </c>
      <c r="H74" s="23">
        <f>E74-G74</f>
        <v/>
      </c>
    </row>
    <row r="75" ht="20" customHeight="1">
      <c r="A75" s="21" t="n">
        <v>42</v>
      </c>
      <c r="B75" s="21" t="inlineStr">
        <is>
          <t>0110201</t>
        </is>
      </c>
      <c r="C75" s="34" t="inlineStr">
        <is>
          <t>MANAJEMEN</t>
        </is>
      </c>
      <c r="D75" s="21" t="inlineStr">
        <is>
          <t>S1</t>
        </is>
      </c>
      <c r="E75" s="22" t="n">
        <v>200</v>
      </c>
      <c r="F75" s="22" t="n">
        <v>2823</v>
      </c>
      <c r="G75" s="22" t="n">
        <v>199</v>
      </c>
      <c r="H75" s="23">
        <f>E75-G75</f>
        <v/>
      </c>
    </row>
    <row r="76" ht="20" customHeight="1">
      <c r="A76" s="26" t="n">
        <v>29</v>
      </c>
      <c r="B76" s="26" t="inlineStr">
        <is>
          <t>0410801</t>
        </is>
      </c>
      <c r="C76" s="35" t="inlineStr">
        <is>
          <t>TEKNIK PERTAMBANGAN</t>
        </is>
      </c>
      <c r="D76" s="26" t="inlineStr">
        <is>
          <t>S1</t>
        </is>
      </c>
      <c r="E76" s="27" t="n">
        <v>120</v>
      </c>
      <c r="F76" s="27" t="n">
        <v>1735</v>
      </c>
      <c r="G76" s="27" t="n">
        <v>118</v>
      </c>
      <c r="H76" s="23">
        <f>E76-G76</f>
        <v/>
      </c>
    </row>
    <row r="77" ht="20" customHeight="1">
      <c r="A77" s="21" t="n">
        <v>75</v>
      </c>
      <c r="B77" s="21" t="inlineStr">
        <is>
          <t>0800701</t>
        </is>
      </c>
      <c r="C77" s="34" t="inlineStr">
        <is>
          <t>MANAJEMEN INFORMATIKA</t>
        </is>
      </c>
      <c r="D77" s="21" t="inlineStr">
        <is>
          <t>D3</t>
        </is>
      </c>
      <c r="E77" s="22" t="n">
        <v>80</v>
      </c>
      <c r="F77" s="22" t="n">
        <v>1331</v>
      </c>
      <c r="G77" s="22" t="n">
        <v>58</v>
      </c>
      <c r="H77" s="23">
        <f>E77-G77</f>
        <v/>
      </c>
    </row>
    <row r="78" ht="20" customHeight="1">
      <c r="A78" s="26" t="n">
        <v>56</v>
      </c>
      <c r="B78" s="26" t="inlineStr">
        <is>
          <t>0710113</t>
        </is>
      </c>
      <c r="C78" s="35" t="inlineStr">
        <is>
          <t>PSIKOLOGI</t>
        </is>
      </c>
      <c r="D78" s="26" t="inlineStr">
        <is>
          <t>S1</t>
        </is>
      </c>
      <c r="E78" s="27" t="n">
        <v>80</v>
      </c>
      <c r="F78" s="27" t="n">
        <v>1385</v>
      </c>
      <c r="G78" s="27" t="n">
        <v>76</v>
      </c>
      <c r="H78" s="23">
        <f>E78-G78</f>
        <v/>
      </c>
    </row>
    <row r="79" ht="20" customHeight="1">
      <c r="A79" s="21" t="n">
        <v>26</v>
      </c>
      <c r="B79" s="21" t="inlineStr">
        <is>
          <t>0810701</t>
        </is>
      </c>
      <c r="C79" s="34" t="inlineStr">
        <is>
          <t>INFORMATIKA</t>
        </is>
      </c>
      <c r="D79" s="21" t="inlineStr">
        <is>
          <t>S1</t>
        </is>
      </c>
      <c r="E79" s="22" t="n">
        <v>120</v>
      </c>
      <c r="F79" s="22" t="n">
        <v>2174</v>
      </c>
      <c r="G79" s="22" t="n">
        <v>117</v>
      </c>
      <c r="H79" s="23">
        <f>E79-G79</f>
        <v/>
      </c>
    </row>
    <row r="80" ht="20" customHeight="1">
      <c r="A80" s="26" t="n">
        <v>65</v>
      </c>
      <c r="B80" s="26" t="inlineStr">
        <is>
          <t>0200101</t>
        </is>
      </c>
      <c r="C80" s="35" t="inlineStr">
        <is>
          <t>KESEHATAN HEWAN</t>
        </is>
      </c>
      <c r="D80" s="26" t="inlineStr">
        <is>
          <t>D3</t>
        </is>
      </c>
      <c r="E80" s="27" t="n">
        <v>30</v>
      </c>
      <c r="F80" s="27" t="n">
        <v>572</v>
      </c>
      <c r="G80" s="27" t="n">
        <v>15</v>
      </c>
      <c r="H80" s="23">
        <f>E80-G80</f>
        <v/>
      </c>
    </row>
    <row r="81" ht="20" customHeight="1">
      <c r="A81" s="21" t="n">
        <v>64</v>
      </c>
      <c r="B81" s="21" t="inlineStr">
        <is>
          <t>0170301</t>
        </is>
      </c>
      <c r="C81" s="34" t="inlineStr">
        <is>
          <t>AKUNTANSI PERPAJAKAN</t>
        </is>
      </c>
      <c r="D81" s="21" t="inlineStr">
        <is>
          <t>D4</t>
        </is>
      </c>
      <c r="E81" s="22" t="n">
        <v>80</v>
      </c>
      <c r="F81" s="22" t="n">
        <v>1794</v>
      </c>
      <c r="G81" s="22" t="n">
        <v>59</v>
      </c>
      <c r="H81" s="23">
        <f>E81-G81</f>
        <v/>
      </c>
    </row>
    <row r="82" ht="20" customHeight="1">
      <c r="A82" s="26" t="n">
        <v>72</v>
      </c>
      <c r="B82" s="26" t="inlineStr">
        <is>
          <t>0100101</t>
        </is>
      </c>
      <c r="C82" s="35" t="inlineStr">
        <is>
          <t>MANAJEMEN PERUSAHAAN</t>
        </is>
      </c>
      <c r="D82" s="26" t="inlineStr">
        <is>
          <t>D3</t>
        </is>
      </c>
      <c r="E82" s="27" t="n">
        <v>40</v>
      </c>
      <c r="F82" s="27" t="n">
        <v>929</v>
      </c>
      <c r="G82" s="27" t="n">
        <v>18</v>
      </c>
      <c r="H82" s="23">
        <f>E82-G82</f>
        <v/>
      </c>
    </row>
    <row r="83" ht="20" customHeight="1">
      <c r="A83" s="21" t="n">
        <v>27</v>
      </c>
      <c r="B83" s="21" t="inlineStr">
        <is>
          <t>0810901</t>
        </is>
      </c>
      <c r="C83" s="34" t="inlineStr">
        <is>
          <t>FARMASI</t>
        </is>
      </c>
      <c r="D83" s="21" t="inlineStr">
        <is>
          <t>S1</t>
        </is>
      </c>
      <c r="E83" s="22" t="n">
        <v>90</v>
      </c>
      <c r="F83" s="22" t="n">
        <v>3526</v>
      </c>
      <c r="G83" s="22" t="n">
        <v>89</v>
      </c>
      <c r="H83" s="23">
        <f>E83-G83</f>
        <v/>
      </c>
    </row>
    <row r="84" ht="24" customHeight="1">
      <c r="A84" s="30" t="inlineStr">
        <is>
          <t>TOTAL KESELURUHAN UNIVERSITAS</t>
        </is>
      </c>
      <c r="B84" s="61" t="n"/>
      <c r="C84" s="61" t="n"/>
      <c r="D84" s="61" t="n"/>
      <c r="E84" s="31">
        <f>SUM(E3:E83)</f>
        <v/>
      </c>
      <c r="F84" s="31">
        <f>SUM(F3:F83)</f>
        <v/>
      </c>
      <c r="G84" s="31">
        <f>SUM(G3:G83)</f>
        <v/>
      </c>
      <c r="H84" s="31">
        <f>SUM(H3:H83)</f>
        <v/>
      </c>
    </row>
  </sheetData>
  <mergeCells count="2">
    <mergeCell ref="A84:D84"/>
    <mergeCell ref="E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4"/>
  <sheetViews>
    <sheetView showGridLines="1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10" customWidth="1" min="4" max="4"/>
    <col width="20" customWidth="1" min="5" max="5"/>
    <col width="16" customWidth="1" min="6" max="6"/>
    <col width="18" customWidth="1" min="7" max="7"/>
    <col width="15" customWidth="1" min="8" max="8"/>
  </cols>
  <sheetData>
    <row r="1" ht="24" customHeight="1">
      <c r="A1" s="62" t="inlineStr">
        <is>
          <t>No</t>
        </is>
      </c>
      <c r="B1" s="62" t="inlineStr">
        <is>
          <t>Kode Prodi</t>
        </is>
      </c>
      <c r="C1" s="62" t="inlineStr">
        <is>
          <t>Nama Prodi</t>
        </is>
      </c>
      <c r="D1" s="62" t="inlineStr">
        <is>
          <t>Jenjang</t>
        </is>
      </c>
      <c r="E1" s="64" t="inlineStr">
        <is>
          <t>2025</t>
        </is>
      </c>
      <c r="F1" s="41" t="n"/>
      <c r="G1" s="41" t="n"/>
      <c r="H1" s="41" t="n"/>
    </row>
    <row r="2" ht="24" customHeight="1">
      <c r="A2" s="20" t="inlineStr">
        <is>
          <t>No</t>
        </is>
      </c>
      <c r="B2" s="20" t="inlineStr">
        <is>
          <t>Kode Prodi</t>
        </is>
      </c>
      <c r="C2" s="20" t="inlineStr">
        <is>
          <t>Nama Prodi</t>
        </is>
      </c>
      <c r="D2" s="20" t="inlineStr">
        <is>
          <t>Jenjang</t>
        </is>
      </c>
      <c r="E2" s="65" t="inlineStr">
        <is>
          <t>Total Daya Tampung</t>
        </is>
      </c>
      <c r="F2" s="65" t="inlineStr">
        <is>
          <t>Total Peminat</t>
        </is>
      </c>
      <c r="G2" s="65" t="inlineStr">
        <is>
          <t>Total Daftar Ulang</t>
        </is>
      </c>
      <c r="H2" s="52" t="inlineStr">
        <is>
          <t>Sisa Kuota</t>
        </is>
      </c>
    </row>
    <row r="3" ht="20" customHeight="1">
      <c r="A3" s="21" t="n">
        <v>1</v>
      </c>
      <c r="B3" s="21" t="inlineStr">
        <is>
          <t>0210101</t>
        </is>
      </c>
      <c r="C3" s="34" t="inlineStr">
        <is>
          <t>PENDIDIKAN DOKTER HEWAN</t>
        </is>
      </c>
      <c r="D3" s="21" t="inlineStr">
        <is>
          <t>S1</t>
        </is>
      </c>
      <c r="E3" s="22" t="n">
        <v>240</v>
      </c>
      <c r="F3" s="22" t="n">
        <v>1010</v>
      </c>
      <c r="G3" s="22" t="n">
        <v>227</v>
      </c>
      <c r="H3" s="23">
        <f>E3-G3</f>
        <v/>
      </c>
    </row>
    <row r="4" ht="20" customHeight="1">
      <c r="A4" s="26" t="n">
        <v>2</v>
      </c>
      <c r="B4" s="26" t="inlineStr">
        <is>
          <t>0400101</t>
        </is>
      </c>
      <c r="C4" s="35" t="inlineStr">
        <is>
          <t>TEKNIK SIPIL</t>
        </is>
      </c>
      <c r="D4" s="26" t="inlineStr">
        <is>
          <t>S1</t>
        </is>
      </c>
      <c r="E4" s="27" t="n">
        <v>280</v>
      </c>
      <c r="F4" s="27" t="n">
        <v>1409</v>
      </c>
      <c r="G4" s="27" t="n">
        <v>232</v>
      </c>
      <c r="H4" s="23">
        <f>E4-G4</f>
        <v/>
      </c>
    </row>
    <row r="5" ht="20" customHeight="1">
      <c r="A5" s="21" t="n">
        <v>3</v>
      </c>
      <c r="B5" s="21" t="inlineStr">
        <is>
          <t>0400201</t>
        </is>
      </c>
      <c r="C5" s="34" t="inlineStr">
        <is>
          <t>TEKNIK MESIN</t>
        </is>
      </c>
      <c r="D5" s="21" t="inlineStr">
        <is>
          <t>S1</t>
        </is>
      </c>
      <c r="E5" s="22" t="n">
        <v>120</v>
      </c>
      <c r="F5" s="22" t="n">
        <v>662</v>
      </c>
      <c r="G5" s="22" t="n">
        <v>101</v>
      </c>
      <c r="H5" s="23">
        <f>E5-G5</f>
        <v/>
      </c>
    </row>
    <row r="6" ht="20" customHeight="1">
      <c r="A6" s="26" t="n">
        <v>4</v>
      </c>
      <c r="B6" s="26" t="inlineStr">
        <is>
          <t>0410301</t>
        </is>
      </c>
      <c r="C6" s="35" t="inlineStr">
        <is>
          <t>TEKNIK KIMIA</t>
        </is>
      </c>
      <c r="D6" s="26" t="inlineStr">
        <is>
          <t>S1</t>
        </is>
      </c>
      <c r="E6" s="27" t="n">
        <v>180</v>
      </c>
      <c r="F6" s="27" t="n">
        <v>474</v>
      </c>
      <c r="G6" s="27" t="n">
        <v>116</v>
      </c>
      <c r="H6" s="23">
        <f>E6-G6</f>
        <v/>
      </c>
    </row>
    <row r="7" ht="20" customHeight="1">
      <c r="A7" s="21" t="n">
        <v>5</v>
      </c>
      <c r="B7" s="21" t="inlineStr">
        <is>
          <t>0410401</t>
        </is>
      </c>
      <c r="C7" s="34" t="inlineStr">
        <is>
          <t>ARSITEKTUR</t>
        </is>
      </c>
      <c r="D7" s="21" t="inlineStr">
        <is>
          <t>S1</t>
        </is>
      </c>
      <c r="E7" s="22" t="n">
        <v>160</v>
      </c>
      <c r="F7" s="22" t="n">
        <v>610</v>
      </c>
      <c r="G7" s="22" t="n">
        <v>120</v>
      </c>
      <c r="H7" s="23">
        <f>E7-G7</f>
        <v/>
      </c>
    </row>
    <row r="8" ht="20" customHeight="1">
      <c r="A8" s="26" t="n">
        <v>6</v>
      </c>
      <c r="B8" s="26" t="inlineStr">
        <is>
          <t>0410501</t>
        </is>
      </c>
      <c r="C8" s="35" t="inlineStr">
        <is>
          <t>TEKNIK ELEKTRO</t>
        </is>
      </c>
      <c r="D8" s="26" t="inlineStr">
        <is>
          <t>S1</t>
        </is>
      </c>
      <c r="E8" s="27" t="n">
        <v>160</v>
      </c>
      <c r="F8" s="27" t="n">
        <v>709</v>
      </c>
      <c r="G8" s="27" t="n">
        <v>113</v>
      </c>
      <c r="H8" s="23">
        <f>E8-G8</f>
        <v/>
      </c>
    </row>
    <row r="9" ht="20" customHeight="1">
      <c r="A9" s="21" t="n">
        <v>7</v>
      </c>
      <c r="B9" s="21" t="inlineStr">
        <is>
          <t>0510105</t>
        </is>
      </c>
      <c r="C9" s="34" t="inlineStr">
        <is>
          <t>AGROTEKNOLOGI</t>
        </is>
      </c>
      <c r="D9" s="21" t="inlineStr">
        <is>
          <t>S1</t>
        </is>
      </c>
      <c r="E9" s="22" t="n">
        <v>120</v>
      </c>
      <c r="F9" s="22" t="n">
        <v>549</v>
      </c>
      <c r="G9" s="22" t="n">
        <v>88</v>
      </c>
      <c r="H9" s="23">
        <f>E9-G9</f>
        <v/>
      </c>
    </row>
    <row r="10" ht="20" customHeight="1">
      <c r="A10" s="26" t="n">
        <v>8</v>
      </c>
      <c r="B10" s="26" t="inlineStr">
        <is>
          <t>0510201</t>
        </is>
      </c>
      <c r="C10" s="35" t="inlineStr">
        <is>
          <t>AGRIBISNIS</t>
        </is>
      </c>
      <c r="D10" s="26" t="inlineStr">
        <is>
          <t>S1</t>
        </is>
      </c>
      <c r="E10" s="27" t="n">
        <v>160</v>
      </c>
      <c r="F10" s="27" t="n">
        <v>789</v>
      </c>
      <c r="G10" s="27" t="n">
        <v>126</v>
      </c>
      <c r="H10" s="23">
        <f>E10-G10</f>
        <v/>
      </c>
    </row>
    <row r="11" ht="20" customHeight="1">
      <c r="A11" s="21" t="n">
        <v>9</v>
      </c>
      <c r="B11" s="21" t="inlineStr">
        <is>
          <t>0510401</t>
        </is>
      </c>
      <c r="C11" s="34" t="inlineStr">
        <is>
          <t>PETERNAKAN</t>
        </is>
      </c>
      <c r="D11" s="21" t="inlineStr">
        <is>
          <t>S1</t>
        </is>
      </c>
      <c r="E11" s="22" t="n">
        <v>130</v>
      </c>
      <c r="F11" s="22" t="n">
        <v>290</v>
      </c>
      <c r="G11" s="22" t="n">
        <v>88</v>
      </c>
      <c r="H11" s="23">
        <f>E11-G11</f>
        <v/>
      </c>
    </row>
    <row r="12" ht="20" customHeight="1">
      <c r="A12" s="26" t="n">
        <v>10</v>
      </c>
      <c r="B12" s="26" t="inlineStr">
        <is>
          <t>0510501</t>
        </is>
      </c>
      <c r="C12" s="35" t="inlineStr">
        <is>
          <t>TEKNOLOGI HASIL PERTANIAN</t>
        </is>
      </c>
      <c r="D12" s="26" t="inlineStr">
        <is>
          <t>S1</t>
        </is>
      </c>
      <c r="E12" s="27" t="n">
        <v>160</v>
      </c>
      <c r="F12" s="27" t="n">
        <v>378</v>
      </c>
      <c r="G12" s="27" t="n">
        <v>102</v>
      </c>
      <c r="H12" s="23">
        <f>E12-G12</f>
        <v/>
      </c>
    </row>
    <row r="13" ht="20" customHeight="1">
      <c r="A13" s="21" t="n">
        <v>11</v>
      </c>
      <c r="B13" s="21" t="inlineStr">
        <is>
          <t>0510601</t>
        </is>
      </c>
      <c r="C13" s="34" t="inlineStr">
        <is>
          <t>TEKNIK PERTANIAN</t>
        </is>
      </c>
      <c r="D13" s="21" t="inlineStr">
        <is>
          <t>S1</t>
        </is>
      </c>
      <c r="E13" s="22" t="n">
        <v>160</v>
      </c>
      <c r="F13" s="22" t="n">
        <v>553</v>
      </c>
      <c r="G13" s="22" t="n">
        <v>118</v>
      </c>
      <c r="H13" s="23">
        <f>E13-G13</f>
        <v/>
      </c>
    </row>
    <row r="14" ht="20" customHeight="1">
      <c r="A14" s="26" t="n">
        <v>12</v>
      </c>
      <c r="B14" s="26" t="inlineStr">
        <is>
          <t>0610301</t>
        </is>
      </c>
      <c r="C14" s="35" t="inlineStr">
        <is>
          <t>PENDIDIKAN BIOLOGI</t>
        </is>
      </c>
      <c r="D14" s="26" t="inlineStr">
        <is>
          <t>S1</t>
        </is>
      </c>
      <c r="E14" s="27" t="n">
        <v>120</v>
      </c>
      <c r="F14" s="27" t="n">
        <v>533</v>
      </c>
      <c r="G14" s="27" t="n">
        <v>82</v>
      </c>
      <c r="H14" s="23">
        <f>E14-G14</f>
        <v/>
      </c>
    </row>
    <row r="15" ht="20" customHeight="1">
      <c r="A15" s="21" t="n">
        <v>13</v>
      </c>
      <c r="B15" s="21" t="inlineStr">
        <is>
          <t>0610302</t>
        </is>
      </c>
      <c r="C15" s="34" t="inlineStr">
        <is>
          <t>PENDIDIKAN MATEMATIKA</t>
        </is>
      </c>
      <c r="D15" s="21" t="inlineStr">
        <is>
          <t>S1</t>
        </is>
      </c>
      <c r="E15" s="22" t="n">
        <v>120</v>
      </c>
      <c r="F15" s="22" t="n">
        <v>521</v>
      </c>
      <c r="G15" s="22" t="n">
        <v>83</v>
      </c>
      <c r="H15" s="23">
        <f>E15-G15</f>
        <v/>
      </c>
    </row>
    <row r="16" ht="20" customHeight="1">
      <c r="A16" s="26" t="n">
        <v>14</v>
      </c>
      <c r="B16" s="26" t="inlineStr">
        <is>
          <t>0610303</t>
        </is>
      </c>
      <c r="C16" s="35" t="inlineStr">
        <is>
          <t>PENDIDIKAN FISIKA</t>
        </is>
      </c>
      <c r="D16" s="26" t="inlineStr">
        <is>
          <t>S1</t>
        </is>
      </c>
      <c r="E16" s="27" t="n">
        <v>120</v>
      </c>
      <c r="F16" s="27" t="n">
        <v>153</v>
      </c>
      <c r="G16" s="27" t="n">
        <v>65</v>
      </c>
      <c r="H16" s="23">
        <f>E16-G16</f>
        <v/>
      </c>
    </row>
    <row r="17" ht="20" customHeight="1">
      <c r="A17" s="21" t="n">
        <v>15</v>
      </c>
      <c r="B17" s="21" t="inlineStr">
        <is>
          <t>0610304</t>
        </is>
      </c>
      <c r="C17" s="34" t="inlineStr">
        <is>
          <t>PENDIDIKAN KIMIA</t>
        </is>
      </c>
      <c r="D17" s="21" t="inlineStr">
        <is>
          <t>S1</t>
        </is>
      </c>
      <c r="E17" s="22" t="n">
        <v>120</v>
      </c>
      <c r="F17" s="22" t="n">
        <v>216</v>
      </c>
      <c r="G17" s="22" t="n">
        <v>73</v>
      </c>
      <c r="H17" s="23">
        <f>E17-G17</f>
        <v/>
      </c>
    </row>
    <row r="18" ht="20" customHeight="1">
      <c r="A18" s="26" t="n">
        <v>16</v>
      </c>
      <c r="B18" s="26" t="inlineStr">
        <is>
          <t>0710101</t>
        </is>
      </c>
      <c r="C18" s="35" t="inlineStr">
        <is>
          <t>PENDIDIKAN DOKTER</t>
        </is>
      </c>
      <c r="D18" s="26" t="inlineStr">
        <is>
          <t>S1</t>
        </is>
      </c>
      <c r="E18" s="27" t="n">
        <v>250</v>
      </c>
      <c r="F18" s="27" t="n">
        <v>4032</v>
      </c>
      <c r="G18" s="27" t="n">
        <v>254</v>
      </c>
      <c r="H18" s="23">
        <f>E18-G18</f>
        <v/>
      </c>
    </row>
    <row r="19" ht="20" customHeight="1">
      <c r="A19" s="21" t="n">
        <v>17</v>
      </c>
      <c r="B19" s="21" t="inlineStr">
        <is>
          <t>1210101</t>
        </is>
      </c>
      <c r="C19" s="34" t="inlineStr">
        <is>
          <t>ILMU KEPERAWATAN</t>
        </is>
      </c>
      <c r="D19" s="21" t="inlineStr">
        <is>
          <t>S1</t>
        </is>
      </c>
      <c r="E19" s="22" t="n">
        <v>360</v>
      </c>
      <c r="F19" s="22" t="n">
        <v>2831</v>
      </c>
      <c r="G19" s="22" t="n">
        <v>280</v>
      </c>
      <c r="H19" s="23">
        <f>E19-G19</f>
        <v/>
      </c>
    </row>
    <row r="20" ht="20" customHeight="1">
      <c r="A20" s="26" t="n">
        <v>18</v>
      </c>
      <c r="B20" s="26" t="inlineStr">
        <is>
          <t>1310101</t>
        </is>
      </c>
      <c r="C20" s="35" t="inlineStr">
        <is>
          <t>PENDIDIKAN DOKTER GIGI</t>
        </is>
      </c>
      <c r="D20" s="26" t="inlineStr">
        <is>
          <t>S1</t>
        </is>
      </c>
      <c r="E20" s="27" t="n">
        <v>100</v>
      </c>
      <c r="F20" s="27" t="n">
        <v>1956</v>
      </c>
      <c r="G20" s="27" t="n">
        <v>101</v>
      </c>
      <c r="H20" s="23">
        <f>E20-G20</f>
        <v/>
      </c>
    </row>
    <row r="21" ht="20" customHeight="1">
      <c r="A21" s="21" t="n">
        <v>19</v>
      </c>
      <c r="B21" s="21" t="inlineStr">
        <is>
          <t>0810101</t>
        </is>
      </c>
      <c r="C21" s="34" t="inlineStr">
        <is>
          <t>MATEMATIKA</t>
        </is>
      </c>
      <c r="D21" s="21" t="inlineStr">
        <is>
          <t>S1</t>
        </is>
      </c>
      <c r="E21" s="22" t="n">
        <v>80</v>
      </c>
      <c r="F21" s="22" t="n">
        <v>186</v>
      </c>
      <c r="G21" s="22" t="n">
        <v>55</v>
      </c>
      <c r="H21" s="23">
        <f>E21-G21</f>
        <v/>
      </c>
    </row>
    <row r="22" ht="20" customHeight="1">
      <c r="A22" s="26" t="n">
        <v>20</v>
      </c>
      <c r="B22" s="26" t="inlineStr">
        <is>
          <t>0810201</t>
        </is>
      </c>
      <c r="C22" s="35" t="inlineStr">
        <is>
          <t>FISIKA</t>
        </is>
      </c>
      <c r="D22" s="26" t="inlineStr">
        <is>
          <t>S1</t>
        </is>
      </c>
      <c r="E22" s="27" t="n">
        <v>80</v>
      </c>
      <c r="F22" s="27" t="n">
        <v>80</v>
      </c>
      <c r="G22" s="27" t="n">
        <v>45</v>
      </c>
      <c r="H22" s="23">
        <f>E22-G22</f>
        <v/>
      </c>
    </row>
    <row r="23" ht="20" customHeight="1">
      <c r="A23" s="21" t="n">
        <v>21</v>
      </c>
      <c r="B23" s="21" t="inlineStr">
        <is>
          <t>0810301</t>
        </is>
      </c>
      <c r="C23" s="34" t="inlineStr">
        <is>
          <t>KIMIA</t>
        </is>
      </c>
      <c r="D23" s="21" t="inlineStr">
        <is>
          <t>S1</t>
        </is>
      </c>
      <c r="E23" s="22" t="n">
        <v>80</v>
      </c>
      <c r="F23" s="22" t="n">
        <v>221</v>
      </c>
      <c r="G23" s="22" t="n">
        <v>52</v>
      </c>
      <c r="H23" s="23">
        <f>E23-G23</f>
        <v/>
      </c>
    </row>
    <row r="24" ht="20" customHeight="1">
      <c r="A24" s="26" t="n">
        <v>22</v>
      </c>
      <c r="B24" s="26" t="inlineStr">
        <is>
          <t>0810401</t>
        </is>
      </c>
      <c r="C24" s="35" t="inlineStr">
        <is>
          <t>BIOLOGI</t>
        </is>
      </c>
      <c r="D24" s="26" t="inlineStr">
        <is>
          <t>S1</t>
        </is>
      </c>
      <c r="E24" s="27" t="n">
        <v>120</v>
      </c>
      <c r="F24" s="27" t="n">
        <v>340</v>
      </c>
      <c r="G24" s="27" t="n">
        <v>73</v>
      </c>
      <c r="H24" s="23">
        <f>E24-G24</f>
        <v/>
      </c>
    </row>
    <row r="25" ht="20" customHeight="1">
      <c r="A25" s="21" t="n">
        <v>23</v>
      </c>
      <c r="B25" s="21" t="inlineStr">
        <is>
          <t>1110101</t>
        </is>
      </c>
      <c r="C25" s="34" t="inlineStr">
        <is>
          <t>ILMU KELAUTAN</t>
        </is>
      </c>
      <c r="D25" s="21" t="inlineStr">
        <is>
          <t>S1</t>
        </is>
      </c>
      <c r="E25" s="22" t="n">
        <v>160</v>
      </c>
      <c r="F25" s="22" t="n">
        <v>348</v>
      </c>
      <c r="G25" s="22" t="n">
        <v>105</v>
      </c>
      <c r="H25" s="23">
        <f>E25-G25</f>
        <v/>
      </c>
    </row>
    <row r="26" ht="20" customHeight="1">
      <c r="A26" s="26" t="n">
        <v>24</v>
      </c>
      <c r="B26" s="26" t="inlineStr">
        <is>
          <t>1110201</t>
        </is>
      </c>
      <c r="C26" s="35" t="inlineStr">
        <is>
          <t>BUDIDAYA PERAIRAN</t>
        </is>
      </c>
      <c r="D26" s="26" t="inlineStr">
        <is>
          <t>S1</t>
        </is>
      </c>
      <c r="E26" s="27" t="n">
        <v>160</v>
      </c>
      <c r="F26" s="27" t="n">
        <v>186</v>
      </c>
      <c r="G26" s="27" t="n">
        <v>98</v>
      </c>
      <c r="H26" s="23">
        <f>E26-G26</f>
        <v/>
      </c>
    </row>
    <row r="27" ht="20" customHeight="1">
      <c r="A27" s="21" t="n">
        <v>25</v>
      </c>
      <c r="B27" s="21" t="inlineStr">
        <is>
          <t>0410601</t>
        </is>
      </c>
      <c r="C27" s="34" t="inlineStr">
        <is>
          <t>TEKNIK INDUSTRI</t>
        </is>
      </c>
      <c r="D27" s="21" t="inlineStr">
        <is>
          <t>S1</t>
        </is>
      </c>
      <c r="E27" s="22" t="n">
        <v>120</v>
      </c>
      <c r="F27" s="22" t="n">
        <v>1141</v>
      </c>
      <c r="G27" s="22" t="n">
        <v>98</v>
      </c>
      <c r="H27" s="23">
        <f>E27-G27</f>
        <v/>
      </c>
    </row>
    <row r="28" ht="20" customHeight="1">
      <c r="A28" s="26" t="n">
        <v>26</v>
      </c>
      <c r="B28" s="26" t="inlineStr">
        <is>
          <t>0810701</t>
        </is>
      </c>
      <c r="C28" s="35" t="inlineStr">
        <is>
          <t>INFORMATIKA</t>
        </is>
      </c>
      <c r="D28" s="26" t="inlineStr">
        <is>
          <t>S1</t>
        </is>
      </c>
      <c r="E28" s="27" t="n">
        <v>120</v>
      </c>
      <c r="F28" s="27" t="n">
        <v>2595</v>
      </c>
      <c r="G28" s="27" t="n">
        <v>116</v>
      </c>
      <c r="H28" s="23">
        <f>E28-G28</f>
        <v/>
      </c>
    </row>
    <row r="29" ht="20" customHeight="1">
      <c r="A29" s="21" t="n">
        <v>27</v>
      </c>
      <c r="B29" s="21" t="inlineStr">
        <is>
          <t>0810901</t>
        </is>
      </c>
      <c r="C29" s="34" t="inlineStr">
        <is>
          <t>FARMASI</t>
        </is>
      </c>
      <c r="D29" s="21" t="inlineStr">
        <is>
          <t>S1</t>
        </is>
      </c>
      <c r="E29" s="22" t="n">
        <v>80</v>
      </c>
      <c r="F29" s="22" t="n">
        <v>3231</v>
      </c>
      <c r="G29" s="22" t="n">
        <v>82</v>
      </c>
      <c r="H29" s="23">
        <f>E29-G29</f>
        <v/>
      </c>
    </row>
    <row r="30" ht="20" customHeight="1">
      <c r="A30" s="26" t="n">
        <v>28</v>
      </c>
      <c r="B30" s="26" t="inlineStr">
        <is>
          <t>0410701</t>
        </is>
      </c>
      <c r="C30" s="35" t="inlineStr">
        <is>
          <t>TEKNIK GEOFISIKA</t>
        </is>
      </c>
      <c r="D30" s="26" t="inlineStr">
        <is>
          <t>S1</t>
        </is>
      </c>
      <c r="E30" s="27" t="n">
        <v>80</v>
      </c>
      <c r="F30" s="27" t="n">
        <v>211</v>
      </c>
      <c r="G30" s="27" t="n">
        <v>51</v>
      </c>
      <c r="H30" s="23">
        <f>E30-G30</f>
        <v/>
      </c>
    </row>
    <row r="31" ht="20" customHeight="1">
      <c r="A31" s="21" t="n">
        <v>29</v>
      </c>
      <c r="B31" s="21" t="inlineStr">
        <is>
          <t>0410801</t>
        </is>
      </c>
      <c r="C31" s="34" t="inlineStr">
        <is>
          <t>TEKNIK PERTAMBANGAN</t>
        </is>
      </c>
      <c r="D31" s="21" t="inlineStr">
        <is>
          <t>S1</t>
        </is>
      </c>
      <c r="E31" s="22" t="n">
        <v>120</v>
      </c>
      <c r="F31" s="22" t="n">
        <v>1813</v>
      </c>
      <c r="G31" s="22" t="n">
        <v>113</v>
      </c>
      <c r="H31" s="23">
        <f>E31-G31</f>
        <v/>
      </c>
    </row>
    <row r="32" ht="20" customHeight="1">
      <c r="A32" s="26" t="n">
        <v>30</v>
      </c>
      <c r="B32" s="26" t="inlineStr">
        <is>
          <t>0810801</t>
        </is>
      </c>
      <c r="C32" s="35" t="inlineStr">
        <is>
          <t>STATISTIKA</t>
        </is>
      </c>
      <c r="D32" s="26" t="inlineStr">
        <is>
          <t>S1</t>
        </is>
      </c>
      <c r="E32" s="27" t="n">
        <v>120</v>
      </c>
      <c r="F32" s="27" t="n">
        <v>615</v>
      </c>
      <c r="G32" s="27" t="n">
        <v>112</v>
      </c>
      <c r="H32" s="23">
        <f>E32-G32</f>
        <v/>
      </c>
    </row>
    <row r="33" ht="20" customHeight="1">
      <c r="A33" s="21" t="n">
        <v>31</v>
      </c>
      <c r="B33" s="21" t="inlineStr">
        <is>
          <t>1110301</t>
        </is>
      </c>
      <c r="C33" s="34" t="inlineStr">
        <is>
          <t>PEMANFAATAN SUMBERDAYA PERIKANAN</t>
        </is>
      </c>
      <c r="D33" s="21" t="inlineStr">
        <is>
          <t>S1</t>
        </is>
      </c>
      <c r="E33" s="22" t="n">
        <v>120</v>
      </c>
      <c r="F33" s="22" t="n">
        <v>140</v>
      </c>
      <c r="G33" s="22" t="n">
        <v>71</v>
      </c>
      <c r="H33" s="23">
        <f>E33-G33</f>
        <v/>
      </c>
    </row>
    <row r="34" ht="20" customHeight="1">
      <c r="A34" s="26" t="n">
        <v>32</v>
      </c>
      <c r="B34" s="26" t="inlineStr">
        <is>
          <t>0510801</t>
        </is>
      </c>
      <c r="C34" s="35" t="inlineStr">
        <is>
          <t>ILMU TANAH</t>
        </is>
      </c>
      <c r="D34" s="26" t="inlineStr">
        <is>
          <t>S1</t>
        </is>
      </c>
      <c r="E34" s="27" t="n">
        <v>120</v>
      </c>
      <c r="F34" s="27" t="n">
        <v>167</v>
      </c>
      <c r="G34" s="27" t="n">
        <v>76</v>
      </c>
      <c r="H34" s="23">
        <f>E34-G34</f>
        <v/>
      </c>
    </row>
    <row r="35" ht="20" customHeight="1">
      <c r="A35" s="21" t="n">
        <v>33</v>
      </c>
      <c r="B35" s="21" t="inlineStr">
        <is>
          <t>0410901</t>
        </is>
      </c>
      <c r="C35" s="34" t="inlineStr">
        <is>
          <t>TEKNIK GEOLOGI</t>
        </is>
      </c>
      <c r="D35" s="21" t="inlineStr">
        <is>
          <t>S1</t>
        </is>
      </c>
      <c r="E35" s="22" t="n">
        <v>80</v>
      </c>
      <c r="F35" s="22" t="n">
        <v>524</v>
      </c>
      <c r="G35" s="22" t="n">
        <v>74</v>
      </c>
      <c r="H35" s="23">
        <f>E35-G35</f>
        <v/>
      </c>
    </row>
    <row r="36" ht="20" customHeight="1">
      <c r="A36" s="26" t="n">
        <v>34</v>
      </c>
      <c r="B36" s="26" t="inlineStr">
        <is>
          <t>0515001</t>
        </is>
      </c>
      <c r="C36" s="35" t="inlineStr">
        <is>
          <t>AGROTEKNOLOGI (PDD GAYO LUES)</t>
        </is>
      </c>
      <c r="D36" s="26" t="inlineStr">
        <is>
          <t>S1</t>
        </is>
      </c>
      <c r="E36" s="27" t="n">
        <v>40</v>
      </c>
      <c r="F36" s="27" t="n">
        <v>30</v>
      </c>
      <c r="G36" s="27" t="n">
        <v>13</v>
      </c>
      <c r="H36" s="23">
        <f>E36-G36</f>
        <v/>
      </c>
    </row>
    <row r="37" ht="20" customHeight="1">
      <c r="A37" s="21" t="n">
        <v>35</v>
      </c>
      <c r="B37" s="21" t="inlineStr">
        <is>
          <t>0615001</t>
        </is>
      </c>
      <c r="C37" s="34" t="inlineStr">
        <is>
          <t>PENDIDIKAN BIOLOGI  (PDD GAYO LUES)</t>
        </is>
      </c>
      <c r="D37" s="21" t="inlineStr">
        <is>
          <t>S1</t>
        </is>
      </c>
      <c r="E37" s="22" t="n">
        <v>40</v>
      </c>
      <c r="F37" s="22" t="n">
        <v>21</v>
      </c>
      <c r="G37" s="22" t="n">
        <v>11</v>
      </c>
      <c r="H37" s="23">
        <f>E37-G37</f>
        <v/>
      </c>
    </row>
    <row r="38" ht="20" customHeight="1">
      <c r="A38" s="26" t="n">
        <v>36</v>
      </c>
      <c r="B38" s="26" t="inlineStr">
        <is>
          <t>0515002</t>
        </is>
      </c>
      <c r="C38" s="35" t="inlineStr">
        <is>
          <t>KEHUTANAN (PDD GAYO LUES)</t>
        </is>
      </c>
      <c r="D38" s="26" t="inlineStr">
        <is>
          <t>S1</t>
        </is>
      </c>
      <c r="E38" s="27" t="n">
        <v>60</v>
      </c>
      <c r="F38" s="27" t="n">
        <v>39</v>
      </c>
      <c r="G38" s="27" t="n">
        <v>8</v>
      </c>
      <c r="H38" s="23">
        <f>E38-G38</f>
        <v/>
      </c>
    </row>
    <row r="39" ht="20" customHeight="1">
      <c r="A39" s="21" t="n">
        <v>37</v>
      </c>
      <c r="B39" s="21" t="inlineStr">
        <is>
          <t>0510901</t>
        </is>
      </c>
      <c r="C39" s="34" t="inlineStr">
        <is>
          <t>PROTEKSI TANAMAN</t>
        </is>
      </c>
      <c r="D39" s="21" t="inlineStr">
        <is>
          <t>S1</t>
        </is>
      </c>
      <c r="E39" s="22" t="n">
        <v>80</v>
      </c>
      <c r="F39" s="22" t="n">
        <v>123</v>
      </c>
      <c r="G39" s="22" t="n">
        <v>48</v>
      </c>
      <c r="H39" s="23">
        <f>E39-G39</f>
        <v/>
      </c>
    </row>
    <row r="40" ht="20" customHeight="1">
      <c r="A40" s="26" t="n">
        <v>38</v>
      </c>
      <c r="B40" s="26" t="inlineStr">
        <is>
          <t>0411001</t>
        </is>
      </c>
      <c r="C40" s="35" t="inlineStr">
        <is>
          <t>PERENCANAAN WILAYAH DAN KOTA</t>
        </is>
      </c>
      <c r="D40" s="26" t="inlineStr">
        <is>
          <t>S1</t>
        </is>
      </c>
      <c r="E40" s="27" t="n">
        <v>120</v>
      </c>
      <c r="F40" s="27" t="n">
        <v>740</v>
      </c>
      <c r="G40" s="27" t="n">
        <v>93</v>
      </c>
      <c r="H40" s="23">
        <f>E40-G40</f>
        <v/>
      </c>
    </row>
    <row r="41" ht="20" customHeight="1">
      <c r="A41" s="21" t="n">
        <v>39</v>
      </c>
      <c r="B41" s="21" t="inlineStr">
        <is>
          <t>0511001</t>
        </is>
      </c>
      <c r="C41" s="34" t="inlineStr">
        <is>
          <t>KEHUTANAN</t>
        </is>
      </c>
      <c r="D41" s="21" t="inlineStr">
        <is>
          <t>S1</t>
        </is>
      </c>
      <c r="E41" s="22" t="n">
        <v>120</v>
      </c>
      <c r="F41" s="22" t="n">
        <v>411</v>
      </c>
      <c r="G41" s="22" t="n">
        <v>75</v>
      </c>
      <c r="H41" s="23">
        <f>E41-G41</f>
        <v/>
      </c>
    </row>
    <row r="42" ht="20" customHeight="1">
      <c r="A42" s="26" t="n">
        <v>40</v>
      </c>
      <c r="B42" s="26" t="inlineStr">
        <is>
          <t>0411101</t>
        </is>
      </c>
      <c r="C42" s="35" t="inlineStr">
        <is>
          <t>TEKNIK KOMPUTER</t>
        </is>
      </c>
      <c r="D42" s="26" t="inlineStr">
        <is>
          <t>S1</t>
        </is>
      </c>
      <c r="E42" s="27" t="n">
        <v>160</v>
      </c>
      <c r="F42" s="27" t="n">
        <v>1756</v>
      </c>
      <c r="G42" s="27" t="n">
        <v>136</v>
      </c>
      <c r="H42" s="23">
        <f>E42-G42</f>
        <v/>
      </c>
    </row>
    <row r="43" ht="20" customHeight="1">
      <c r="A43" s="21" t="n">
        <v>41</v>
      </c>
      <c r="B43" s="21" t="inlineStr">
        <is>
          <t>0110101</t>
        </is>
      </c>
      <c r="C43" s="34" t="inlineStr">
        <is>
          <t>EKONOMI PEMBANGUNAN</t>
        </is>
      </c>
      <c r="D43" s="21" t="inlineStr">
        <is>
          <t>S1</t>
        </is>
      </c>
      <c r="E43" s="22" t="n">
        <v>160</v>
      </c>
      <c r="F43" s="22" t="n">
        <v>809</v>
      </c>
      <c r="G43" s="22" t="n">
        <v>145</v>
      </c>
      <c r="H43" s="23">
        <f>E43-G43</f>
        <v/>
      </c>
    </row>
    <row r="44" ht="20" customHeight="1">
      <c r="A44" s="26" t="n">
        <v>42</v>
      </c>
      <c r="B44" s="26" t="inlineStr">
        <is>
          <t>0110201</t>
        </is>
      </c>
      <c r="C44" s="35" t="inlineStr">
        <is>
          <t>MANAJEMEN</t>
        </is>
      </c>
      <c r="D44" s="26" t="inlineStr">
        <is>
          <t>S1</t>
        </is>
      </c>
      <c r="E44" s="27" t="n">
        <v>200</v>
      </c>
      <c r="F44" s="27" t="n">
        <v>2638</v>
      </c>
      <c r="G44" s="27" t="n">
        <v>199</v>
      </c>
      <c r="H44" s="23">
        <f>E44-G44</f>
        <v/>
      </c>
    </row>
    <row r="45" ht="20" customHeight="1">
      <c r="A45" s="21" t="n">
        <v>43</v>
      </c>
      <c r="B45" s="21" t="inlineStr">
        <is>
          <t>0100301</t>
        </is>
      </c>
      <c r="C45" s="34" t="inlineStr">
        <is>
          <t>AKUNTANSI</t>
        </is>
      </c>
      <c r="D45" s="21" t="inlineStr">
        <is>
          <t>S1</t>
        </is>
      </c>
      <c r="E45" s="22" t="n">
        <v>200</v>
      </c>
      <c r="F45" s="22" t="n">
        <v>1859</v>
      </c>
      <c r="G45" s="22" t="n">
        <v>194</v>
      </c>
      <c r="H45" s="23">
        <f>E45-G45</f>
        <v/>
      </c>
    </row>
    <row r="46" ht="20" customHeight="1">
      <c r="A46" s="26" t="n">
        <v>44</v>
      </c>
      <c r="B46" s="26" t="inlineStr">
        <is>
          <t>0310101</t>
        </is>
      </c>
      <c r="C46" s="35" t="inlineStr">
        <is>
          <t>ILMU HUKUM</t>
        </is>
      </c>
      <c r="D46" s="26" t="inlineStr">
        <is>
          <t>S1</t>
        </is>
      </c>
      <c r="E46" s="27" t="n">
        <v>560</v>
      </c>
      <c r="F46" s="27" t="n">
        <v>3880</v>
      </c>
      <c r="G46" s="27" t="n">
        <v>552</v>
      </c>
      <c r="H46" s="23">
        <f>E46-G46</f>
        <v/>
      </c>
    </row>
    <row r="47" ht="20" customHeight="1">
      <c r="A47" s="21" t="n">
        <v>45</v>
      </c>
      <c r="B47" s="21" t="inlineStr">
        <is>
          <t>0610101</t>
        </is>
      </c>
      <c r="C47" s="34" t="inlineStr">
        <is>
          <t>PENDIDIKAN PANCASILA DAN KEWARGANEGARAAN</t>
        </is>
      </c>
      <c r="D47" s="21" t="inlineStr">
        <is>
          <t>S1</t>
        </is>
      </c>
      <c r="E47" s="22" t="n">
        <v>140</v>
      </c>
      <c r="F47" s="22" t="n">
        <v>983</v>
      </c>
      <c r="G47" s="22" t="n">
        <v>110</v>
      </c>
      <c r="H47" s="23">
        <f>E47-G47</f>
        <v/>
      </c>
    </row>
    <row r="48" ht="20" customHeight="1">
      <c r="A48" s="26" t="n">
        <v>46</v>
      </c>
      <c r="B48" s="26" t="inlineStr">
        <is>
          <t>0610102</t>
        </is>
      </c>
      <c r="C48" s="35" t="inlineStr">
        <is>
          <t>PENDIDIKAN SEJARAH</t>
        </is>
      </c>
      <c r="D48" s="26" t="inlineStr">
        <is>
          <t>S1</t>
        </is>
      </c>
      <c r="E48" s="27" t="n">
        <v>120</v>
      </c>
      <c r="F48" s="27" t="n">
        <v>717</v>
      </c>
      <c r="G48" s="27" t="n">
        <v>93</v>
      </c>
      <c r="H48" s="23">
        <f>E48-G48</f>
        <v/>
      </c>
    </row>
    <row r="49" ht="20" customHeight="1">
      <c r="A49" s="21" t="n">
        <v>47</v>
      </c>
      <c r="B49" s="21" t="inlineStr">
        <is>
          <t>0610103</t>
        </is>
      </c>
      <c r="C49" s="34" t="inlineStr">
        <is>
          <t>PENDIDIKAN EKONOMI</t>
        </is>
      </c>
      <c r="D49" s="21" t="inlineStr">
        <is>
          <t>S1</t>
        </is>
      </c>
      <c r="E49" s="22" t="n">
        <v>160</v>
      </c>
      <c r="F49" s="22" t="n">
        <v>460</v>
      </c>
      <c r="G49" s="22" t="n">
        <v>104</v>
      </c>
      <c r="H49" s="23">
        <f>E49-G49</f>
        <v/>
      </c>
    </row>
    <row r="50" ht="20" customHeight="1">
      <c r="A50" s="26" t="n">
        <v>48</v>
      </c>
      <c r="B50" s="26" t="inlineStr">
        <is>
          <t>0610104</t>
        </is>
      </c>
      <c r="C50" s="35" t="inlineStr">
        <is>
          <t>PENDIDIKAN GEOGRAFI</t>
        </is>
      </c>
      <c r="D50" s="26" t="inlineStr">
        <is>
          <t>S1</t>
        </is>
      </c>
      <c r="E50" s="27" t="n">
        <v>160</v>
      </c>
      <c r="F50" s="27" t="n">
        <v>499</v>
      </c>
      <c r="G50" s="27" t="n">
        <v>111</v>
      </c>
      <c r="H50" s="23">
        <f>E50-G50</f>
        <v/>
      </c>
    </row>
    <row r="51" ht="20" customHeight="1">
      <c r="A51" s="21" t="n">
        <v>49</v>
      </c>
      <c r="B51" s="21" t="inlineStr">
        <is>
          <t>0610201</t>
        </is>
      </c>
      <c r="C51" s="34" t="inlineStr">
        <is>
          <t>PENDIDIKAN BAHASA INDONESIA</t>
        </is>
      </c>
      <c r="D51" s="21" t="inlineStr">
        <is>
          <t>S1</t>
        </is>
      </c>
      <c r="E51" s="22" t="n">
        <v>160</v>
      </c>
      <c r="F51" s="22" t="n">
        <v>1049</v>
      </c>
      <c r="G51" s="22" t="n">
        <v>124</v>
      </c>
      <c r="H51" s="23">
        <f>E51-G51</f>
        <v/>
      </c>
    </row>
    <row r="52" ht="20" customHeight="1">
      <c r="A52" s="26" t="n">
        <v>50</v>
      </c>
      <c r="B52" s="26" t="inlineStr">
        <is>
          <t>0610202</t>
        </is>
      </c>
      <c r="C52" s="35" t="inlineStr">
        <is>
          <t>PENDIDIKAN BAHASA INGGRIS</t>
        </is>
      </c>
      <c r="D52" s="26" t="inlineStr">
        <is>
          <t>S1</t>
        </is>
      </c>
      <c r="E52" s="27" t="n">
        <v>160</v>
      </c>
      <c r="F52" s="27" t="n">
        <v>1029</v>
      </c>
      <c r="G52" s="27" t="n">
        <v>154</v>
      </c>
      <c r="H52" s="23">
        <f>E52-G52</f>
        <v/>
      </c>
    </row>
    <row r="53" ht="20" customHeight="1">
      <c r="A53" s="21" t="n">
        <v>51</v>
      </c>
      <c r="B53" s="21" t="inlineStr">
        <is>
          <t>0610203</t>
        </is>
      </c>
      <c r="C53" s="34" t="inlineStr">
        <is>
          <t>PENDIDIKAN SENI DRAMA TARI DAN MUSIK</t>
        </is>
      </c>
      <c r="D53" s="21" t="inlineStr">
        <is>
          <t>S1</t>
        </is>
      </c>
      <c r="E53" s="22" t="n">
        <v>120</v>
      </c>
      <c r="F53" s="22" t="n">
        <v>426</v>
      </c>
      <c r="G53" s="22" t="n">
        <v>103</v>
      </c>
      <c r="H53" s="23">
        <f>E53-G53</f>
        <v/>
      </c>
    </row>
    <row r="54" ht="20" customHeight="1">
      <c r="A54" s="26" t="n">
        <v>52</v>
      </c>
      <c r="B54" s="26" t="inlineStr">
        <is>
          <t>0610401</t>
        </is>
      </c>
      <c r="C54" s="35" t="inlineStr">
        <is>
          <t>PENDIDIKAN KESEJAHTERAAN KELUARGA</t>
        </is>
      </c>
      <c r="D54" s="26" t="inlineStr">
        <is>
          <t>S1</t>
        </is>
      </c>
      <c r="E54" s="27" t="n">
        <v>160</v>
      </c>
      <c r="F54" s="27" t="n">
        <v>840</v>
      </c>
      <c r="G54" s="27" t="n">
        <v>141</v>
      </c>
      <c r="H54" s="23">
        <f>E54-G54</f>
        <v/>
      </c>
    </row>
    <row r="55" ht="20" customHeight="1">
      <c r="A55" s="21" t="n">
        <v>53</v>
      </c>
      <c r="B55" s="21" t="inlineStr">
        <is>
          <t>0610402</t>
        </is>
      </c>
      <c r="C55" s="34" t="inlineStr">
        <is>
          <t>PENDIDIKAN JASMANI KESEHATAN DAN REKREASI</t>
        </is>
      </c>
      <c r="D55" s="21" t="inlineStr">
        <is>
          <t>S1</t>
        </is>
      </c>
      <c r="E55" s="22" t="n">
        <v>200</v>
      </c>
      <c r="F55" s="22" t="n">
        <v>923</v>
      </c>
      <c r="G55" s="22" t="n">
        <v>186</v>
      </c>
      <c r="H55" s="23">
        <f>E55-G55</f>
        <v/>
      </c>
    </row>
    <row r="56" ht="20" customHeight="1">
      <c r="A56" s="26" t="n">
        <v>54</v>
      </c>
      <c r="B56" s="26" t="inlineStr">
        <is>
          <t>0610403</t>
        </is>
      </c>
      <c r="C56" s="35" t="inlineStr">
        <is>
          <t>BIMBINGAN KONSELING</t>
        </is>
      </c>
      <c r="D56" s="26" t="inlineStr">
        <is>
          <t>S1</t>
        </is>
      </c>
      <c r="E56" s="27" t="n">
        <v>150</v>
      </c>
      <c r="F56" s="27" t="n">
        <v>2382</v>
      </c>
      <c r="G56" s="27" t="n">
        <v>145</v>
      </c>
      <c r="H56" s="23">
        <f>E56-G56</f>
        <v/>
      </c>
    </row>
    <row r="57" ht="20" customHeight="1">
      <c r="A57" s="21" t="n">
        <v>55</v>
      </c>
      <c r="B57" s="21" t="inlineStr">
        <is>
          <t>0610404</t>
        </is>
      </c>
      <c r="C57" s="34" t="inlineStr">
        <is>
          <t>PENDIDIKAN GURU SEKOLAH DASAR</t>
        </is>
      </c>
      <c r="D57" s="21" t="inlineStr">
        <is>
          <t>S1</t>
        </is>
      </c>
      <c r="E57" s="22" t="n">
        <v>230</v>
      </c>
      <c r="F57" s="22" t="n">
        <v>2324</v>
      </c>
      <c r="G57" s="22" t="n">
        <v>204</v>
      </c>
      <c r="H57" s="23">
        <f>E57-G57</f>
        <v/>
      </c>
    </row>
    <row r="58" ht="20" customHeight="1">
      <c r="A58" s="26" t="n">
        <v>56</v>
      </c>
      <c r="B58" s="26" t="inlineStr">
        <is>
          <t>0710113</t>
        </is>
      </c>
      <c r="C58" s="35" t="inlineStr">
        <is>
          <t>PSIKOLOGI</t>
        </is>
      </c>
      <c r="D58" s="26" t="inlineStr">
        <is>
          <t>S1</t>
        </is>
      </c>
      <c r="E58" s="27" t="n">
        <v>80</v>
      </c>
      <c r="F58" s="27" t="n">
        <v>1447</v>
      </c>
      <c r="G58" s="27" t="n">
        <v>74</v>
      </c>
      <c r="H58" s="23">
        <f>E58-G58</f>
        <v/>
      </c>
    </row>
    <row r="59" ht="20" customHeight="1">
      <c r="A59" s="21" t="n">
        <v>57</v>
      </c>
      <c r="B59" s="21" t="inlineStr">
        <is>
          <t>1010301</t>
        </is>
      </c>
      <c r="C59" s="34" t="inlineStr">
        <is>
          <t>ILMU POLITIK</t>
        </is>
      </c>
      <c r="D59" s="21" t="inlineStr">
        <is>
          <t>S1</t>
        </is>
      </c>
      <c r="E59" s="22" t="n">
        <v>160</v>
      </c>
      <c r="F59" s="22" t="n">
        <v>449</v>
      </c>
      <c r="G59" s="22" t="n">
        <v>133</v>
      </c>
      <c r="H59" s="23">
        <f>E59-G59</f>
        <v/>
      </c>
    </row>
    <row r="60" ht="20" customHeight="1">
      <c r="A60" s="26" t="n">
        <v>58</v>
      </c>
      <c r="B60" s="26" t="inlineStr">
        <is>
          <t>1010101</t>
        </is>
      </c>
      <c r="C60" s="35" t="inlineStr">
        <is>
          <t>SOSIOLOGI</t>
        </is>
      </c>
      <c r="D60" s="26" t="inlineStr">
        <is>
          <t>S1</t>
        </is>
      </c>
      <c r="E60" s="27" t="n">
        <v>120</v>
      </c>
      <c r="F60" s="27" t="n">
        <v>447</v>
      </c>
      <c r="G60" s="27" t="n">
        <v>84</v>
      </c>
      <c r="H60" s="23">
        <f>E60-G60</f>
        <v/>
      </c>
    </row>
    <row r="61" ht="20" customHeight="1">
      <c r="A61" s="21" t="n">
        <v>59</v>
      </c>
      <c r="B61" s="21" t="inlineStr">
        <is>
          <t>1010201</t>
        </is>
      </c>
      <c r="C61" s="34" t="inlineStr">
        <is>
          <t>ILMU KOMUNIKASI</t>
        </is>
      </c>
      <c r="D61" s="21" t="inlineStr">
        <is>
          <t>S1</t>
        </is>
      </c>
      <c r="E61" s="22" t="n">
        <v>180</v>
      </c>
      <c r="F61" s="22" t="n">
        <v>1675</v>
      </c>
      <c r="G61" s="22" t="n">
        <v>181</v>
      </c>
      <c r="H61" s="23">
        <f>E61-G61</f>
        <v/>
      </c>
    </row>
    <row r="62" ht="20" customHeight="1">
      <c r="A62" s="26" t="n">
        <v>60</v>
      </c>
      <c r="B62" s="26" t="inlineStr">
        <is>
          <t>0610421</t>
        </is>
      </c>
      <c r="C62" s="35" t="inlineStr">
        <is>
          <t>PENDIDIKAN GURU PAUD</t>
        </is>
      </c>
      <c r="D62" s="26" t="inlineStr">
        <is>
          <t>S1</t>
        </is>
      </c>
      <c r="E62" s="27" t="n">
        <v>140</v>
      </c>
      <c r="F62" s="27" t="n">
        <v>664</v>
      </c>
      <c r="G62" s="27" t="n">
        <v>99</v>
      </c>
      <c r="H62" s="23">
        <f>E62-G62</f>
        <v/>
      </c>
    </row>
    <row r="63" ht="20" customHeight="1">
      <c r="A63" s="21" t="n">
        <v>61</v>
      </c>
      <c r="B63" s="21" t="inlineStr">
        <is>
          <t>1010401</t>
        </is>
      </c>
      <c r="C63" s="34" t="inlineStr">
        <is>
          <t>ILMU PEMERINTAHAN</t>
        </is>
      </c>
      <c r="D63" s="21" t="inlineStr">
        <is>
          <t>S1</t>
        </is>
      </c>
      <c r="E63" s="22" t="n">
        <v>180</v>
      </c>
      <c r="F63" s="22" t="n">
        <v>1020</v>
      </c>
      <c r="G63" s="22" t="n">
        <v>174</v>
      </c>
      <c r="H63" s="23">
        <f>E63-G63</f>
        <v/>
      </c>
    </row>
    <row r="64" ht="20" customHeight="1">
      <c r="A64" s="26" t="n">
        <v>62</v>
      </c>
      <c r="B64" s="26" t="inlineStr">
        <is>
          <t>0110401</t>
        </is>
      </c>
      <c r="C64" s="35" t="inlineStr">
        <is>
          <t>EKONOMI ISLAM</t>
        </is>
      </c>
      <c r="D64" s="26" t="inlineStr">
        <is>
          <t>S1</t>
        </is>
      </c>
      <c r="E64" s="27" t="n">
        <v>160</v>
      </c>
      <c r="F64" s="27" t="n">
        <v>640</v>
      </c>
      <c r="G64" s="27" t="n">
        <v>123</v>
      </c>
      <c r="H64" s="23">
        <f>E64-G64</f>
        <v/>
      </c>
    </row>
    <row r="65" ht="20" customHeight="1">
      <c r="A65" s="21" t="n">
        <v>63</v>
      </c>
      <c r="B65" s="21" t="inlineStr">
        <is>
          <t>0115001</t>
        </is>
      </c>
      <c r="C65" s="34" t="inlineStr">
        <is>
          <t>MANAJEMEN (PDD GAYO LUES)</t>
        </is>
      </c>
      <c r="D65" s="21" t="inlineStr">
        <is>
          <t>S1</t>
        </is>
      </c>
      <c r="E65" s="22" t="n">
        <v>80</v>
      </c>
      <c r="F65" s="22" t="n">
        <v>33</v>
      </c>
      <c r="G65" s="22" t="n">
        <v>14</v>
      </c>
      <c r="H65" s="23">
        <f>E65-G65</f>
        <v/>
      </c>
    </row>
    <row r="66" ht="20" customHeight="1">
      <c r="A66" s="26" t="n">
        <v>64</v>
      </c>
      <c r="B66" s="26" t="inlineStr">
        <is>
          <t>0170301</t>
        </is>
      </c>
      <c r="C66" s="35" t="inlineStr">
        <is>
          <t>AKUNTANSI PERPAJAKAN</t>
        </is>
      </c>
      <c r="D66" s="26" t="inlineStr">
        <is>
          <t>D4</t>
        </is>
      </c>
      <c r="E66" s="27" t="n">
        <v>80</v>
      </c>
      <c r="F66" s="27" t="n">
        <v>1764</v>
      </c>
      <c r="G66" s="27" t="n">
        <v>50</v>
      </c>
      <c r="H66" s="23">
        <f>E66-G66</f>
        <v/>
      </c>
    </row>
    <row r="67" ht="20" customHeight="1">
      <c r="A67" s="21" t="n">
        <v>65</v>
      </c>
      <c r="B67" s="21" t="inlineStr">
        <is>
          <t>0200101</t>
        </is>
      </c>
      <c r="C67" s="34" t="inlineStr">
        <is>
          <t>KESEHATAN HEWAN</t>
        </is>
      </c>
      <c r="D67" s="21" t="inlineStr">
        <is>
          <t>D3</t>
        </is>
      </c>
      <c r="E67" s="22" t="n">
        <v>30</v>
      </c>
      <c r="F67" s="22" t="n">
        <v>473</v>
      </c>
      <c r="G67" s="22" t="n">
        <v>13</v>
      </c>
      <c r="H67" s="23">
        <f>E67-G67</f>
        <v/>
      </c>
    </row>
    <row r="68" ht="20" customHeight="1">
      <c r="A68" s="26" t="n">
        <v>66</v>
      </c>
      <c r="B68" s="26" t="inlineStr">
        <is>
          <t>0500201</t>
        </is>
      </c>
      <c r="C68" s="35" t="inlineStr">
        <is>
          <t>MANAJEMEN AGRIBISNIS</t>
        </is>
      </c>
      <c r="D68" s="26" t="inlineStr">
        <is>
          <t>D3</t>
        </is>
      </c>
      <c r="E68" s="27" t="n">
        <v>100</v>
      </c>
      <c r="F68" s="27" t="n">
        <v>842</v>
      </c>
      <c r="G68" s="27" t="n">
        <v>32</v>
      </c>
      <c r="H68" s="23">
        <f>E68-G68</f>
        <v/>
      </c>
    </row>
    <row r="69" ht="20" customHeight="1">
      <c r="A69" s="21" t="n">
        <v>67</v>
      </c>
      <c r="B69" s="21" t="inlineStr">
        <is>
          <t>0400501</t>
        </is>
      </c>
      <c r="C69" s="34" t="inlineStr">
        <is>
          <t>TEKNIK LISTRIK</t>
        </is>
      </c>
      <c r="D69" s="21" t="inlineStr">
        <is>
          <t>D3</t>
        </is>
      </c>
      <c r="E69" s="22" t="n">
        <v>40</v>
      </c>
      <c r="F69" s="22" t="n">
        <v>331</v>
      </c>
      <c r="G69" s="22" t="n">
        <v>20</v>
      </c>
      <c r="H69" s="23">
        <f>E69-G69</f>
        <v/>
      </c>
    </row>
    <row r="70" ht="20" customHeight="1">
      <c r="A70" s="26" t="n">
        <v>68</v>
      </c>
      <c r="B70" s="26" t="inlineStr">
        <is>
          <t>0500401</t>
        </is>
      </c>
      <c r="C70" s="35" t="inlineStr">
        <is>
          <t>BUDIDAYA PETERNAKAN</t>
        </is>
      </c>
      <c r="D70" s="26" t="inlineStr">
        <is>
          <t>D3</t>
        </is>
      </c>
      <c r="E70" s="27" t="n">
        <v>60</v>
      </c>
      <c r="F70" s="27" t="n">
        <v>422</v>
      </c>
      <c r="G70" s="27" t="n">
        <v>22</v>
      </c>
      <c r="H70" s="23">
        <f>E70-G70</f>
        <v/>
      </c>
    </row>
    <row r="71" ht="20" customHeight="1">
      <c r="A71" s="21" t="n">
        <v>69</v>
      </c>
      <c r="B71" s="21" t="inlineStr">
        <is>
          <t>0400201</t>
        </is>
      </c>
      <c r="C71" s="34" t="inlineStr">
        <is>
          <t>TEKNIK MESIN</t>
        </is>
      </c>
      <c r="D71" s="21" t="inlineStr">
        <is>
          <t>D3</t>
        </is>
      </c>
      <c r="E71" s="22" t="n">
        <v>40</v>
      </c>
      <c r="F71" s="22" t="n">
        <v>394</v>
      </c>
      <c r="G71" s="22" t="n">
        <v>23</v>
      </c>
      <c r="H71" s="23">
        <f>E71-G71</f>
        <v/>
      </c>
    </row>
    <row r="72" ht="20" customHeight="1">
      <c r="A72" s="26" t="n">
        <v>70</v>
      </c>
      <c r="B72" s="26" t="inlineStr">
        <is>
          <t>0400101</t>
        </is>
      </c>
      <c r="C72" s="35" t="inlineStr">
        <is>
          <t>TEKNIK SIPIL</t>
        </is>
      </c>
      <c r="D72" s="26" t="inlineStr">
        <is>
          <t>D3</t>
        </is>
      </c>
      <c r="E72" s="27" t="n">
        <v>80</v>
      </c>
      <c r="F72" s="27" t="n">
        <v>876</v>
      </c>
      <c r="G72" s="27" t="n">
        <v>36</v>
      </c>
      <c r="H72" s="23">
        <f>E72-G72</f>
        <v/>
      </c>
    </row>
    <row r="73" ht="20" customHeight="1">
      <c r="A73" s="21" t="n">
        <v>71</v>
      </c>
      <c r="B73" s="21" t="inlineStr">
        <is>
          <t>0100202</t>
        </is>
      </c>
      <c r="C73" s="34" t="inlineStr">
        <is>
          <t>SEKRETARI</t>
        </is>
      </c>
      <c r="D73" s="21" t="inlineStr">
        <is>
          <t>D3</t>
        </is>
      </c>
      <c r="E73" s="22" t="n">
        <v>40</v>
      </c>
      <c r="F73" s="22" t="n">
        <v>426</v>
      </c>
      <c r="G73" s="22" t="n">
        <v>21</v>
      </c>
      <c r="H73" s="23">
        <f>E73-G73</f>
        <v/>
      </c>
    </row>
    <row r="74" ht="20" customHeight="1">
      <c r="A74" s="26" t="n">
        <v>72</v>
      </c>
      <c r="B74" s="26" t="inlineStr">
        <is>
          <t>0100101</t>
        </is>
      </c>
      <c r="C74" s="35" t="inlineStr">
        <is>
          <t>MANAJEMEN PERUSAHAAN</t>
        </is>
      </c>
      <c r="D74" s="26" t="inlineStr">
        <is>
          <t>D3</t>
        </is>
      </c>
      <c r="E74" s="27" t="n">
        <v>40</v>
      </c>
      <c r="F74" s="27" t="n">
        <v>1026</v>
      </c>
      <c r="G74" s="27" t="n">
        <v>26</v>
      </c>
      <c r="H74" s="23">
        <f>E74-G74</f>
        <v/>
      </c>
    </row>
    <row r="75" ht="20" customHeight="1">
      <c r="A75" s="21" t="n">
        <v>73</v>
      </c>
      <c r="B75" s="21" t="inlineStr">
        <is>
          <t>0100301</t>
        </is>
      </c>
      <c r="C75" s="34" t="inlineStr">
        <is>
          <t>AKUNTANSI</t>
        </is>
      </c>
      <c r="D75" s="21" t="inlineStr">
        <is>
          <t>D3</t>
        </is>
      </c>
      <c r="E75" s="22" t="n">
        <v>80</v>
      </c>
      <c r="F75" s="22" t="n">
        <v>1014</v>
      </c>
      <c r="G75" s="22" t="n">
        <v>47</v>
      </c>
      <c r="H75" s="23">
        <f>E75-G75</f>
        <v/>
      </c>
    </row>
    <row r="76" ht="20" customHeight="1">
      <c r="A76" s="26" t="n">
        <v>74</v>
      </c>
      <c r="B76" s="26" t="inlineStr">
        <is>
          <t>0100203</t>
        </is>
      </c>
      <c r="C76" s="35" t="inlineStr">
        <is>
          <t>KEUANGAN DAN PERBANKAN</t>
        </is>
      </c>
      <c r="D76" s="26" t="inlineStr">
        <is>
          <t>D3</t>
        </is>
      </c>
      <c r="E76" s="27" t="n">
        <v>80</v>
      </c>
      <c r="F76" s="27" t="n">
        <v>1260</v>
      </c>
      <c r="G76" s="27" t="n">
        <v>41</v>
      </c>
      <c r="H76" s="23">
        <f>E76-G76</f>
        <v/>
      </c>
    </row>
    <row r="77" ht="20" customHeight="1">
      <c r="A77" s="21" t="n">
        <v>75</v>
      </c>
      <c r="B77" s="21" t="inlineStr">
        <is>
          <t>0800701</t>
        </is>
      </c>
      <c r="C77" s="34" t="inlineStr">
        <is>
          <t>MANAJEMEN INFORMATIKA</t>
        </is>
      </c>
      <c r="D77" s="21" t="inlineStr">
        <is>
          <t>D3</t>
        </is>
      </c>
      <c r="E77" s="22" t="n">
        <v>80</v>
      </c>
      <c r="F77" s="22" t="n">
        <v>1604</v>
      </c>
      <c r="G77" s="22" t="n">
        <v>66</v>
      </c>
      <c r="H77" s="23">
        <f>E77-G77</f>
        <v/>
      </c>
    </row>
    <row r="78" ht="20" customHeight="1">
      <c r="A78" s="26" t="n">
        <v>76</v>
      </c>
      <c r="B78" s="26" t="inlineStr">
        <is>
          <t>1110401</t>
        </is>
      </c>
      <c r="C78" s="35" t="inlineStr">
        <is>
          <t>TEKNOLOGI INDUSTRI HASIL PERIKANAN</t>
        </is>
      </c>
      <c r="D78" s="26" t="inlineStr">
        <is>
          <t>S1</t>
        </is>
      </c>
      <c r="E78" s="27" t="n">
        <v>50</v>
      </c>
      <c r="F78" s="27" t="n">
        <v>131</v>
      </c>
      <c r="G78" s="27" t="n">
        <v>32</v>
      </c>
      <c r="H78" s="23">
        <f>E78-G78</f>
        <v/>
      </c>
    </row>
    <row r="79" ht="20" customHeight="1">
      <c r="A79" s="21" t="n">
        <v>77</v>
      </c>
      <c r="B79" s="21" t="inlineStr">
        <is>
          <t>0411401</t>
        </is>
      </c>
      <c r="C79" s="34" t="inlineStr">
        <is>
          <t>TEKNIK LINGKUNGAN</t>
        </is>
      </c>
      <c r="D79" s="21" t="inlineStr">
        <is>
          <t>S1</t>
        </is>
      </c>
      <c r="E79" s="22" t="n">
        <v>80</v>
      </c>
      <c r="F79" s="22" t="n">
        <v>210</v>
      </c>
      <c r="G79" s="22" t="n">
        <v>55</v>
      </c>
      <c r="H79" s="23">
        <f>E79-G79</f>
        <v/>
      </c>
    </row>
    <row r="80" ht="20" customHeight="1">
      <c r="A80" s="26" t="n">
        <v>78</v>
      </c>
      <c r="B80" s="26" t="inlineStr">
        <is>
          <t>0411501</t>
        </is>
      </c>
      <c r="C80" s="35" t="inlineStr">
        <is>
          <t>TEKNIK SUMBER DAYA AIR</t>
        </is>
      </c>
      <c r="D80" s="26" t="inlineStr">
        <is>
          <t>S1</t>
        </is>
      </c>
      <c r="E80" s="27" t="n">
        <v>80</v>
      </c>
      <c r="F80" s="27" t="n">
        <v>112</v>
      </c>
      <c r="G80" s="27" t="n">
        <v>51</v>
      </c>
      <c r="H80" s="23">
        <f>E80-G80</f>
        <v/>
      </c>
    </row>
    <row r="81" ht="20" customHeight="1">
      <c r="A81" s="21" t="n">
        <v>79</v>
      </c>
      <c r="B81" s="21" t="inlineStr">
        <is>
          <t>0110501</t>
        </is>
      </c>
      <c r="C81" s="34" t="inlineStr">
        <is>
          <t>BISNIS DIGITAL</t>
        </is>
      </c>
      <c r="D81" s="21" t="inlineStr">
        <is>
          <t>S1</t>
        </is>
      </c>
      <c r="E81" s="22" t="n">
        <v>80</v>
      </c>
      <c r="F81" s="22" t="n">
        <v>131</v>
      </c>
      <c r="G81" s="22" t="n">
        <v>72</v>
      </c>
      <c r="H81" s="23">
        <f>E81-G81</f>
        <v/>
      </c>
    </row>
    <row r="82" ht="20" customHeight="1">
      <c r="A82" s="26" t="n">
        <v>80</v>
      </c>
      <c r="B82" s="26" t="inlineStr">
        <is>
          <t>0411601</t>
        </is>
      </c>
      <c r="C82" s="35" t="inlineStr">
        <is>
          <t>TEKNIK PERMINYAKAN</t>
        </is>
      </c>
      <c r="D82" s="26" t="inlineStr">
        <is>
          <t>S1</t>
        </is>
      </c>
      <c r="E82" s="27" t="n">
        <v>120</v>
      </c>
      <c r="F82" s="27" t="n">
        <v>143</v>
      </c>
      <c r="G82" s="27" t="n">
        <v>120</v>
      </c>
      <c r="H82" s="23">
        <f>E82-G82</f>
        <v/>
      </c>
    </row>
    <row r="83" ht="20" customHeight="1">
      <c r="A83" s="21" t="n">
        <v>81</v>
      </c>
      <c r="B83" s="21" t="inlineStr">
        <is>
          <t>0910101</t>
        </is>
      </c>
      <c r="C83" s="34" t="inlineStr">
        <is>
          <t>HUBUNGAN INTERNASIONAL</t>
        </is>
      </c>
      <c r="D83" s="21" t="inlineStr">
        <is>
          <t>S1</t>
        </is>
      </c>
      <c r="E83" s="22" t="n">
        <v>0</v>
      </c>
      <c r="F83" s="22" t="n">
        <v>0</v>
      </c>
      <c r="G83" s="22" t="n">
        <v>0</v>
      </c>
      <c r="H83" s="23">
        <f>E83-G83</f>
        <v/>
      </c>
    </row>
    <row r="84" ht="24" customHeight="1">
      <c r="A84" s="30" t="inlineStr">
        <is>
          <t>TOTAL KESELURUHAN UNIVERSITAS</t>
        </is>
      </c>
      <c r="B84" s="61" t="n"/>
      <c r="C84" s="61" t="n"/>
      <c r="D84" s="61" t="n"/>
      <c r="E84" s="31">
        <f>SUM(E3:E83)</f>
        <v/>
      </c>
      <c r="F84" s="31">
        <f>SUM(F3:F83)</f>
        <v/>
      </c>
      <c r="G84" s="31">
        <f>SUM(G3:G83)</f>
        <v/>
      </c>
      <c r="H84" s="31">
        <f>SUM(H3:H83)</f>
        <v/>
      </c>
    </row>
  </sheetData>
  <mergeCells count="2">
    <mergeCell ref="A84:D84"/>
    <mergeCell ref="E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4"/>
  <sheetViews>
    <sheetView showGridLines="1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10" customWidth="1" min="4" max="4"/>
    <col width="20" customWidth="1" min="5" max="5"/>
    <col width="16" customWidth="1" min="6" max="6"/>
    <col width="18" customWidth="1" min="7" max="7"/>
    <col width="15" customWidth="1" min="8" max="8"/>
  </cols>
  <sheetData>
    <row r="1" ht="24" customHeight="1">
      <c r="A1" s="62" t="inlineStr">
        <is>
          <t>No</t>
        </is>
      </c>
      <c r="B1" s="62" t="inlineStr">
        <is>
          <t>Kode Prodi</t>
        </is>
      </c>
      <c r="C1" s="62" t="inlineStr">
        <is>
          <t>Nama Prodi</t>
        </is>
      </c>
      <c r="D1" s="62" t="inlineStr">
        <is>
          <t>Jenjang</t>
        </is>
      </c>
      <c r="E1" s="66" t="inlineStr">
        <is>
          <t>2024</t>
        </is>
      </c>
      <c r="F1" s="43" t="n"/>
      <c r="G1" s="43" t="n"/>
      <c r="H1" s="43" t="n"/>
    </row>
    <row r="2" ht="24" customHeight="1">
      <c r="A2" s="20" t="inlineStr">
        <is>
          <t>No</t>
        </is>
      </c>
      <c r="B2" s="20" t="inlineStr">
        <is>
          <t>Kode Prodi</t>
        </is>
      </c>
      <c r="C2" s="20" t="inlineStr">
        <is>
          <t>Nama Prodi</t>
        </is>
      </c>
      <c r="D2" s="20" t="inlineStr">
        <is>
          <t>Jenjang</t>
        </is>
      </c>
      <c r="E2" s="67" t="inlineStr">
        <is>
          <t>Total Daya Tampung</t>
        </is>
      </c>
      <c r="F2" s="67" t="inlineStr">
        <is>
          <t>Total Peminat</t>
        </is>
      </c>
      <c r="G2" s="67" t="inlineStr">
        <is>
          <t>Total Daftar Ulang</t>
        </is>
      </c>
      <c r="H2" s="52" t="inlineStr">
        <is>
          <t>Sisa Kuota</t>
        </is>
      </c>
    </row>
    <row r="3" ht="20" customHeight="1">
      <c r="A3" s="21" t="n">
        <v>1</v>
      </c>
      <c r="B3" s="21" t="inlineStr">
        <is>
          <t>0210101</t>
        </is>
      </c>
      <c r="C3" s="34" t="inlineStr">
        <is>
          <t>PENDIDIKAN DOKTER HEWAN</t>
        </is>
      </c>
      <c r="D3" s="21" t="inlineStr">
        <is>
          <t>S1</t>
        </is>
      </c>
      <c r="E3" s="22" t="n">
        <v>240</v>
      </c>
      <c r="F3" s="22" t="n">
        <v>984</v>
      </c>
      <c r="G3" s="22" t="n">
        <v>219</v>
      </c>
      <c r="H3" s="23">
        <f>E3-G3</f>
        <v/>
      </c>
    </row>
    <row r="4" ht="20" customHeight="1">
      <c r="A4" s="26" t="n">
        <v>2</v>
      </c>
      <c r="B4" s="26" t="inlineStr">
        <is>
          <t>0400101</t>
        </is>
      </c>
      <c r="C4" s="35" t="inlineStr">
        <is>
          <t>TEKNIK SIPIL</t>
        </is>
      </c>
      <c r="D4" s="26" t="inlineStr">
        <is>
          <t>S1</t>
        </is>
      </c>
      <c r="E4" s="27" t="n">
        <v>280</v>
      </c>
      <c r="F4" s="27" t="n">
        <v>1305</v>
      </c>
      <c r="G4" s="27" t="n">
        <v>223</v>
      </c>
      <c r="H4" s="23">
        <f>E4-G4</f>
        <v/>
      </c>
    </row>
    <row r="5" ht="20" customHeight="1">
      <c r="A5" s="21" t="n">
        <v>3</v>
      </c>
      <c r="B5" s="21" t="inlineStr">
        <is>
          <t>0400201</t>
        </is>
      </c>
      <c r="C5" s="34" t="inlineStr">
        <is>
          <t>TEKNIK MESIN</t>
        </is>
      </c>
      <c r="D5" s="21" t="inlineStr">
        <is>
          <t>S1</t>
        </is>
      </c>
      <c r="E5" s="22" t="n">
        <v>120</v>
      </c>
      <c r="F5" s="22" t="n">
        <v>550</v>
      </c>
      <c r="G5" s="22" t="n">
        <v>101</v>
      </c>
      <c r="H5" s="23">
        <f>E5-G5</f>
        <v/>
      </c>
    </row>
    <row r="6" ht="20" customHeight="1">
      <c r="A6" s="26" t="n">
        <v>4</v>
      </c>
      <c r="B6" s="26" t="inlineStr">
        <is>
          <t>0410301</t>
        </is>
      </c>
      <c r="C6" s="35" t="inlineStr">
        <is>
          <t>TEKNIK KIMIA</t>
        </is>
      </c>
      <c r="D6" s="26" t="inlineStr">
        <is>
          <t>S1</t>
        </is>
      </c>
      <c r="E6" s="27" t="n">
        <v>160</v>
      </c>
      <c r="F6" s="27" t="n">
        <v>398</v>
      </c>
      <c r="G6" s="27" t="n">
        <v>100</v>
      </c>
      <c r="H6" s="23">
        <f>E6-G6</f>
        <v/>
      </c>
    </row>
    <row r="7" ht="20" customHeight="1">
      <c r="A7" s="21" t="n">
        <v>5</v>
      </c>
      <c r="B7" s="21" t="inlineStr">
        <is>
          <t>0410401</t>
        </is>
      </c>
      <c r="C7" s="34" t="inlineStr">
        <is>
          <t>ARSITEKTUR</t>
        </is>
      </c>
      <c r="D7" s="21" t="inlineStr">
        <is>
          <t>S1</t>
        </is>
      </c>
      <c r="E7" s="22" t="n">
        <v>160</v>
      </c>
      <c r="F7" s="22" t="n">
        <v>641</v>
      </c>
      <c r="G7" s="22" t="n">
        <v>122</v>
      </c>
      <c r="H7" s="23">
        <f>E7-G7</f>
        <v/>
      </c>
    </row>
    <row r="8" ht="20" customHeight="1">
      <c r="A8" s="26" t="n">
        <v>6</v>
      </c>
      <c r="B8" s="26" t="inlineStr">
        <is>
          <t>0410501</t>
        </is>
      </c>
      <c r="C8" s="35" t="inlineStr">
        <is>
          <t>TEKNIK ELEKTRO</t>
        </is>
      </c>
      <c r="D8" s="26" t="inlineStr">
        <is>
          <t>S1</t>
        </is>
      </c>
      <c r="E8" s="27" t="n">
        <v>160</v>
      </c>
      <c r="F8" s="27" t="n">
        <v>490</v>
      </c>
      <c r="G8" s="27" t="n">
        <v>113</v>
      </c>
      <c r="H8" s="23">
        <f>E8-G8</f>
        <v/>
      </c>
    </row>
    <row r="9" ht="20" customHeight="1">
      <c r="A9" s="21" t="n">
        <v>7</v>
      </c>
      <c r="B9" s="21" t="inlineStr">
        <is>
          <t>0510105</t>
        </is>
      </c>
      <c r="C9" s="34" t="inlineStr">
        <is>
          <t>AGROTEKNOLOGI</t>
        </is>
      </c>
      <c r="D9" s="21" t="inlineStr">
        <is>
          <t>S1</t>
        </is>
      </c>
      <c r="E9" s="22" t="n">
        <v>120</v>
      </c>
      <c r="F9" s="22" t="n">
        <v>412</v>
      </c>
      <c r="G9" s="22" t="n">
        <v>75</v>
      </c>
      <c r="H9" s="23">
        <f>E9-G9</f>
        <v/>
      </c>
    </row>
    <row r="10" ht="20" customHeight="1">
      <c r="A10" s="26" t="n">
        <v>8</v>
      </c>
      <c r="B10" s="26" t="inlineStr">
        <is>
          <t>0510201</t>
        </is>
      </c>
      <c r="C10" s="35" t="inlineStr">
        <is>
          <t>AGRIBISNIS</t>
        </is>
      </c>
      <c r="D10" s="26" t="inlineStr">
        <is>
          <t>S1</t>
        </is>
      </c>
      <c r="E10" s="27" t="n">
        <v>160</v>
      </c>
      <c r="F10" s="27" t="n">
        <v>735</v>
      </c>
      <c r="G10" s="27" t="n">
        <v>126</v>
      </c>
      <c r="H10" s="23">
        <f>E10-G10</f>
        <v/>
      </c>
    </row>
    <row r="11" ht="20" customHeight="1">
      <c r="A11" s="21" t="n">
        <v>9</v>
      </c>
      <c r="B11" s="21" t="inlineStr">
        <is>
          <t>0510401</t>
        </is>
      </c>
      <c r="C11" s="34" t="inlineStr">
        <is>
          <t>PETERNAKAN</t>
        </is>
      </c>
      <c r="D11" s="21" t="inlineStr">
        <is>
          <t>S1</t>
        </is>
      </c>
      <c r="E11" s="22" t="n">
        <v>120</v>
      </c>
      <c r="F11" s="22" t="n">
        <v>276</v>
      </c>
      <c r="G11" s="22" t="n">
        <v>82</v>
      </c>
      <c r="H11" s="23">
        <f>E11-G11</f>
        <v/>
      </c>
    </row>
    <row r="12" ht="20" customHeight="1">
      <c r="A12" s="26" t="n">
        <v>10</v>
      </c>
      <c r="B12" s="26" t="inlineStr">
        <is>
          <t>0510501</t>
        </is>
      </c>
      <c r="C12" s="35" t="inlineStr">
        <is>
          <t>TEKNOLOGI HASIL PERTANIAN</t>
        </is>
      </c>
      <c r="D12" s="26" t="inlineStr">
        <is>
          <t>S1</t>
        </is>
      </c>
      <c r="E12" s="27" t="n">
        <v>160</v>
      </c>
      <c r="F12" s="27" t="n">
        <v>265</v>
      </c>
      <c r="G12" s="27" t="n">
        <v>91</v>
      </c>
      <c r="H12" s="23">
        <f>E12-G12</f>
        <v/>
      </c>
    </row>
    <row r="13" ht="20" customHeight="1">
      <c r="A13" s="21" t="n">
        <v>11</v>
      </c>
      <c r="B13" s="21" t="inlineStr">
        <is>
          <t>0510601</t>
        </is>
      </c>
      <c r="C13" s="34" t="inlineStr">
        <is>
          <t>TEKNIK PERTANIAN</t>
        </is>
      </c>
      <c r="D13" s="21" t="inlineStr">
        <is>
          <t>S1</t>
        </is>
      </c>
      <c r="E13" s="22" t="n">
        <v>160</v>
      </c>
      <c r="F13" s="22" t="n">
        <v>408</v>
      </c>
      <c r="G13" s="22" t="n">
        <v>99</v>
      </c>
      <c r="H13" s="23">
        <f>E13-G13</f>
        <v/>
      </c>
    </row>
    <row r="14" ht="20" customHeight="1">
      <c r="A14" s="26" t="n">
        <v>12</v>
      </c>
      <c r="B14" s="26" t="inlineStr">
        <is>
          <t>0610301</t>
        </is>
      </c>
      <c r="C14" s="35" t="inlineStr">
        <is>
          <t>PENDIDIKAN BIOLOGI</t>
        </is>
      </c>
      <c r="D14" s="26" t="inlineStr">
        <is>
          <t>S1</t>
        </is>
      </c>
      <c r="E14" s="27" t="n">
        <v>160</v>
      </c>
      <c r="F14" s="27" t="n">
        <v>492</v>
      </c>
      <c r="G14" s="27" t="n">
        <v>115</v>
      </c>
      <c r="H14" s="23">
        <f>E14-G14</f>
        <v/>
      </c>
    </row>
    <row r="15" ht="20" customHeight="1">
      <c r="A15" s="21" t="n">
        <v>13</v>
      </c>
      <c r="B15" s="21" t="inlineStr">
        <is>
          <t>0610302</t>
        </is>
      </c>
      <c r="C15" s="34" t="inlineStr">
        <is>
          <t>PENDIDIKAN MATEMATIKA</t>
        </is>
      </c>
      <c r="D15" s="21" t="inlineStr">
        <is>
          <t>S1</t>
        </is>
      </c>
      <c r="E15" s="22" t="n">
        <v>160</v>
      </c>
      <c r="F15" s="22" t="n">
        <v>500</v>
      </c>
      <c r="G15" s="22" t="n">
        <v>102</v>
      </c>
      <c r="H15" s="23">
        <f>E15-G15</f>
        <v/>
      </c>
    </row>
    <row r="16" ht="20" customHeight="1">
      <c r="A16" s="26" t="n">
        <v>14</v>
      </c>
      <c r="B16" s="26" t="inlineStr">
        <is>
          <t>0610303</t>
        </is>
      </c>
      <c r="C16" s="35" t="inlineStr">
        <is>
          <t>PENDIDIKAN FISIKA</t>
        </is>
      </c>
      <c r="D16" s="26" t="inlineStr">
        <is>
          <t>S1</t>
        </is>
      </c>
      <c r="E16" s="27" t="n">
        <v>160</v>
      </c>
      <c r="F16" s="27" t="n">
        <v>175</v>
      </c>
      <c r="G16" s="27" t="n">
        <v>79</v>
      </c>
      <c r="H16" s="23">
        <f>E16-G16</f>
        <v/>
      </c>
    </row>
    <row r="17" ht="20" customHeight="1">
      <c r="A17" s="21" t="n">
        <v>15</v>
      </c>
      <c r="B17" s="21" t="inlineStr">
        <is>
          <t>0610304</t>
        </is>
      </c>
      <c r="C17" s="34" t="inlineStr">
        <is>
          <t>PENDIDIKAN KIMIA</t>
        </is>
      </c>
      <c r="D17" s="21" t="inlineStr">
        <is>
          <t>S1</t>
        </is>
      </c>
      <c r="E17" s="22" t="n">
        <v>120</v>
      </c>
      <c r="F17" s="22" t="n">
        <v>178</v>
      </c>
      <c r="G17" s="22" t="n">
        <v>72</v>
      </c>
      <c r="H17" s="23">
        <f>E17-G17</f>
        <v/>
      </c>
    </row>
    <row r="18" ht="20" customHeight="1">
      <c r="A18" s="26" t="n">
        <v>16</v>
      </c>
      <c r="B18" s="26" t="inlineStr">
        <is>
          <t>0710101</t>
        </is>
      </c>
      <c r="C18" s="35" t="inlineStr">
        <is>
          <t>PENDIDIKAN DOKTER</t>
        </is>
      </c>
      <c r="D18" s="26" t="inlineStr">
        <is>
          <t>S1</t>
        </is>
      </c>
      <c r="E18" s="27" t="n">
        <v>250</v>
      </c>
      <c r="F18" s="27" t="n">
        <v>4317</v>
      </c>
      <c r="G18" s="27" t="n">
        <v>259</v>
      </c>
      <c r="H18" s="23">
        <f>E18-G18</f>
        <v/>
      </c>
    </row>
    <row r="19" ht="20" customHeight="1">
      <c r="A19" s="21" t="n">
        <v>17</v>
      </c>
      <c r="B19" s="21" t="inlineStr">
        <is>
          <t>1210101</t>
        </is>
      </c>
      <c r="C19" s="34" t="inlineStr">
        <is>
          <t>ILMU KEPERAWATAN</t>
        </is>
      </c>
      <c r="D19" s="21" t="inlineStr">
        <is>
          <t>S1</t>
        </is>
      </c>
      <c r="E19" s="22" t="n">
        <v>360</v>
      </c>
      <c r="F19" s="22" t="n">
        <v>2845</v>
      </c>
      <c r="G19" s="22" t="n">
        <v>296</v>
      </c>
      <c r="H19" s="23">
        <f>E19-G19</f>
        <v/>
      </c>
    </row>
    <row r="20" ht="20" customHeight="1">
      <c r="A20" s="26" t="n">
        <v>18</v>
      </c>
      <c r="B20" s="26" t="inlineStr">
        <is>
          <t>1310101</t>
        </is>
      </c>
      <c r="C20" s="35" t="inlineStr">
        <is>
          <t>PENDIDIKAN DOKTER GIGI</t>
        </is>
      </c>
      <c r="D20" s="26" t="inlineStr">
        <is>
          <t>S1</t>
        </is>
      </c>
      <c r="E20" s="27" t="n">
        <v>100</v>
      </c>
      <c r="F20" s="27" t="n">
        <v>1941</v>
      </c>
      <c r="G20" s="27" t="n">
        <v>101</v>
      </c>
      <c r="H20" s="23">
        <f>E20-G20</f>
        <v/>
      </c>
    </row>
    <row r="21" ht="20" customHeight="1">
      <c r="A21" s="21" t="n">
        <v>19</v>
      </c>
      <c r="B21" s="21" t="inlineStr">
        <is>
          <t>0810101</t>
        </is>
      </c>
      <c r="C21" s="34" t="inlineStr">
        <is>
          <t>MATEMATIKA</t>
        </is>
      </c>
      <c r="D21" s="21" t="inlineStr">
        <is>
          <t>S1</t>
        </is>
      </c>
      <c r="E21" s="22" t="n">
        <v>120</v>
      </c>
      <c r="F21" s="22" t="n">
        <v>159</v>
      </c>
      <c r="G21" s="22" t="n">
        <v>62</v>
      </c>
      <c r="H21" s="23">
        <f>E21-G21</f>
        <v/>
      </c>
    </row>
    <row r="22" ht="20" customHeight="1">
      <c r="A22" s="26" t="n">
        <v>20</v>
      </c>
      <c r="B22" s="26" t="inlineStr">
        <is>
          <t>0810201</t>
        </is>
      </c>
      <c r="C22" s="35" t="inlineStr">
        <is>
          <t>FISIKA</t>
        </is>
      </c>
      <c r="D22" s="26" t="inlineStr">
        <is>
          <t>S1</t>
        </is>
      </c>
      <c r="E22" s="27" t="n">
        <v>120</v>
      </c>
      <c r="F22" s="27" t="n">
        <v>62</v>
      </c>
      <c r="G22" s="27" t="n">
        <v>31</v>
      </c>
      <c r="H22" s="23">
        <f>E22-G22</f>
        <v/>
      </c>
    </row>
    <row r="23" ht="20" customHeight="1">
      <c r="A23" s="21" t="n">
        <v>21</v>
      </c>
      <c r="B23" s="21" t="inlineStr">
        <is>
          <t>0810301</t>
        </is>
      </c>
      <c r="C23" s="34" t="inlineStr">
        <is>
          <t>KIMIA</t>
        </is>
      </c>
      <c r="D23" s="21" t="inlineStr">
        <is>
          <t>S1</t>
        </is>
      </c>
      <c r="E23" s="22" t="n">
        <v>120</v>
      </c>
      <c r="F23" s="22" t="n">
        <v>164</v>
      </c>
      <c r="G23" s="22" t="n">
        <v>74</v>
      </c>
      <c r="H23" s="23">
        <f>E23-G23</f>
        <v/>
      </c>
    </row>
    <row r="24" ht="20" customHeight="1">
      <c r="A24" s="26" t="n">
        <v>22</v>
      </c>
      <c r="B24" s="26" t="inlineStr">
        <is>
          <t>0810401</t>
        </is>
      </c>
      <c r="C24" s="35" t="inlineStr">
        <is>
          <t>BIOLOGI</t>
        </is>
      </c>
      <c r="D24" s="26" t="inlineStr">
        <is>
          <t>S1</t>
        </is>
      </c>
      <c r="E24" s="27" t="n">
        <v>120</v>
      </c>
      <c r="F24" s="27" t="n">
        <v>318</v>
      </c>
      <c r="G24" s="27" t="n">
        <v>82</v>
      </c>
      <c r="H24" s="23">
        <f>E24-G24</f>
        <v/>
      </c>
    </row>
    <row r="25" ht="20" customHeight="1">
      <c r="A25" s="21" t="n">
        <v>23</v>
      </c>
      <c r="B25" s="21" t="inlineStr">
        <is>
          <t>1110101</t>
        </is>
      </c>
      <c r="C25" s="34" t="inlineStr">
        <is>
          <t>ILMU KELAUTAN</t>
        </is>
      </c>
      <c r="D25" s="21" t="inlineStr">
        <is>
          <t>S1</t>
        </is>
      </c>
      <c r="E25" s="22" t="n">
        <v>160</v>
      </c>
      <c r="F25" s="22" t="n">
        <v>335</v>
      </c>
      <c r="G25" s="22" t="n">
        <v>104</v>
      </c>
      <c r="H25" s="23">
        <f>E25-G25</f>
        <v/>
      </c>
    </row>
    <row r="26" ht="20" customHeight="1">
      <c r="A26" s="26" t="n">
        <v>24</v>
      </c>
      <c r="B26" s="26" t="inlineStr">
        <is>
          <t>1110201</t>
        </is>
      </c>
      <c r="C26" s="35" t="inlineStr">
        <is>
          <t>BUDIDAYA PERAIRAN</t>
        </is>
      </c>
      <c r="D26" s="26" t="inlineStr">
        <is>
          <t>S1</t>
        </is>
      </c>
      <c r="E26" s="27" t="n">
        <v>160</v>
      </c>
      <c r="F26" s="27" t="n">
        <v>164</v>
      </c>
      <c r="G26" s="27" t="n">
        <v>84</v>
      </c>
      <c r="H26" s="23">
        <f>E26-G26</f>
        <v/>
      </c>
    </row>
    <row r="27" ht="20" customHeight="1">
      <c r="A27" s="21" t="n">
        <v>25</v>
      </c>
      <c r="B27" s="21" t="inlineStr">
        <is>
          <t>0410601</t>
        </is>
      </c>
      <c r="C27" s="34" t="inlineStr">
        <is>
          <t>TEKNIK INDUSTRI</t>
        </is>
      </c>
      <c r="D27" s="21" t="inlineStr">
        <is>
          <t>S1</t>
        </is>
      </c>
      <c r="E27" s="22" t="n">
        <v>120</v>
      </c>
      <c r="F27" s="22" t="n">
        <v>952</v>
      </c>
      <c r="G27" s="22" t="n">
        <v>106</v>
      </c>
      <c r="H27" s="23">
        <f>E27-G27</f>
        <v/>
      </c>
    </row>
    <row r="28" ht="20" customHeight="1">
      <c r="A28" s="26" t="n">
        <v>26</v>
      </c>
      <c r="B28" s="26" t="inlineStr">
        <is>
          <t>0810701</t>
        </is>
      </c>
      <c r="C28" s="35" t="inlineStr">
        <is>
          <t>INFORMATIKA</t>
        </is>
      </c>
      <c r="D28" s="26" t="inlineStr">
        <is>
          <t>S1</t>
        </is>
      </c>
      <c r="E28" s="27" t="n">
        <v>120</v>
      </c>
      <c r="F28" s="27" t="n">
        <v>2591</v>
      </c>
      <c r="G28" s="27" t="n">
        <v>115</v>
      </c>
      <c r="H28" s="23">
        <f>E28-G28</f>
        <v/>
      </c>
    </row>
    <row r="29" ht="20" customHeight="1">
      <c r="A29" s="21" t="n">
        <v>27</v>
      </c>
      <c r="B29" s="21" t="inlineStr">
        <is>
          <t>0810901</t>
        </is>
      </c>
      <c r="C29" s="34" t="inlineStr">
        <is>
          <t>FARMASI</t>
        </is>
      </c>
      <c r="D29" s="21" t="inlineStr">
        <is>
          <t>S1</t>
        </is>
      </c>
      <c r="E29" s="22" t="n">
        <v>80</v>
      </c>
      <c r="F29" s="22" t="n">
        <v>3588</v>
      </c>
      <c r="G29" s="22" t="n">
        <v>83</v>
      </c>
      <c r="H29" s="23">
        <f>E29-G29</f>
        <v/>
      </c>
    </row>
    <row r="30" ht="20" customHeight="1">
      <c r="A30" s="26" t="n">
        <v>28</v>
      </c>
      <c r="B30" s="26" t="inlineStr">
        <is>
          <t>0410701</t>
        </is>
      </c>
      <c r="C30" s="35" t="inlineStr">
        <is>
          <t>TEKNIK GEOFISIKA</t>
        </is>
      </c>
      <c r="D30" s="26" t="inlineStr">
        <is>
          <t>S1</t>
        </is>
      </c>
      <c r="E30" s="27" t="n">
        <v>120</v>
      </c>
      <c r="F30" s="27" t="n">
        <v>180</v>
      </c>
      <c r="G30" s="27" t="n">
        <v>74</v>
      </c>
      <c r="H30" s="23">
        <f>E30-G30</f>
        <v/>
      </c>
    </row>
    <row r="31" ht="20" customHeight="1">
      <c r="A31" s="21" t="n">
        <v>29</v>
      </c>
      <c r="B31" s="21" t="inlineStr">
        <is>
          <t>0410801</t>
        </is>
      </c>
      <c r="C31" s="34" t="inlineStr">
        <is>
          <t>TEKNIK PERTAMBANGAN</t>
        </is>
      </c>
      <c r="D31" s="21" t="inlineStr">
        <is>
          <t>S1</t>
        </is>
      </c>
      <c r="E31" s="22" t="n">
        <v>120</v>
      </c>
      <c r="F31" s="22" t="n">
        <v>1650</v>
      </c>
      <c r="G31" s="22" t="n">
        <v>109</v>
      </c>
      <c r="H31" s="23">
        <f>E31-G31</f>
        <v/>
      </c>
    </row>
    <row r="32" ht="20" customHeight="1">
      <c r="A32" s="26" t="n">
        <v>30</v>
      </c>
      <c r="B32" s="26" t="inlineStr">
        <is>
          <t>0810801</t>
        </is>
      </c>
      <c r="C32" s="35" t="inlineStr">
        <is>
          <t>STATISTIKA</t>
        </is>
      </c>
      <c r="D32" s="26" t="inlineStr">
        <is>
          <t>S1</t>
        </is>
      </c>
      <c r="E32" s="27" t="n">
        <v>120</v>
      </c>
      <c r="F32" s="27" t="n">
        <v>582</v>
      </c>
      <c r="G32" s="27" t="n">
        <v>113</v>
      </c>
      <c r="H32" s="23">
        <f>E32-G32</f>
        <v/>
      </c>
    </row>
    <row r="33" ht="20" customHeight="1">
      <c r="A33" s="21" t="n">
        <v>31</v>
      </c>
      <c r="B33" s="21" t="inlineStr">
        <is>
          <t>1110301</t>
        </is>
      </c>
      <c r="C33" s="34" t="inlineStr">
        <is>
          <t>PEMANFAATAN SUMBERDAYA PERIKANAN</t>
        </is>
      </c>
      <c r="D33" s="21" t="inlineStr">
        <is>
          <t>S1</t>
        </is>
      </c>
      <c r="E33" s="22" t="n">
        <v>120</v>
      </c>
      <c r="F33" s="22" t="n">
        <v>145</v>
      </c>
      <c r="G33" s="22" t="n">
        <v>62</v>
      </c>
      <c r="H33" s="23">
        <f>E33-G33</f>
        <v/>
      </c>
    </row>
    <row r="34" ht="20" customHeight="1">
      <c r="A34" s="26" t="n">
        <v>32</v>
      </c>
      <c r="B34" s="26" t="inlineStr">
        <is>
          <t>0510801</t>
        </is>
      </c>
      <c r="C34" s="35" t="inlineStr">
        <is>
          <t>ILMU TANAH</t>
        </is>
      </c>
      <c r="D34" s="26" t="inlineStr">
        <is>
          <t>S1</t>
        </is>
      </c>
      <c r="E34" s="27" t="n">
        <v>120</v>
      </c>
      <c r="F34" s="27" t="n">
        <v>177</v>
      </c>
      <c r="G34" s="27" t="n">
        <v>76</v>
      </c>
      <c r="H34" s="23">
        <f>E34-G34</f>
        <v/>
      </c>
    </row>
    <row r="35" ht="20" customHeight="1">
      <c r="A35" s="21" t="n">
        <v>33</v>
      </c>
      <c r="B35" s="21" t="inlineStr">
        <is>
          <t>0410901</t>
        </is>
      </c>
      <c r="C35" s="34" t="inlineStr">
        <is>
          <t>TEKNIK GEOLOGI</t>
        </is>
      </c>
      <c r="D35" s="21" t="inlineStr">
        <is>
          <t>S1</t>
        </is>
      </c>
      <c r="E35" s="22" t="n">
        <v>80</v>
      </c>
      <c r="F35" s="22" t="n">
        <v>410</v>
      </c>
      <c r="G35" s="22" t="n">
        <v>68</v>
      </c>
      <c r="H35" s="23">
        <f>E35-G35</f>
        <v/>
      </c>
    </row>
    <row r="36" ht="20" customHeight="1">
      <c r="A36" s="26" t="n">
        <v>34</v>
      </c>
      <c r="B36" s="26" t="inlineStr">
        <is>
          <t>0515001</t>
        </is>
      </c>
      <c r="C36" s="35" t="inlineStr">
        <is>
          <t>AGROTEKNOLOGI (PDD GAYO LUES)</t>
        </is>
      </c>
      <c r="D36" s="26" t="inlineStr">
        <is>
          <t>S1</t>
        </is>
      </c>
      <c r="E36" s="27" t="n">
        <v>40</v>
      </c>
      <c r="F36" s="27" t="n">
        <v>41</v>
      </c>
      <c r="G36" s="27" t="n">
        <v>13</v>
      </c>
      <c r="H36" s="23">
        <f>E36-G36</f>
        <v/>
      </c>
    </row>
    <row r="37" ht="20" customHeight="1">
      <c r="A37" s="21" t="n">
        <v>35</v>
      </c>
      <c r="B37" s="21" t="inlineStr">
        <is>
          <t>0615001</t>
        </is>
      </c>
      <c r="C37" s="34" t="inlineStr">
        <is>
          <t>PENDIDIKAN BIOLOGI  (PDD GAYO LUES)</t>
        </is>
      </c>
      <c r="D37" s="21" t="inlineStr">
        <is>
          <t>S1</t>
        </is>
      </c>
      <c r="E37" s="22" t="n">
        <v>40</v>
      </c>
      <c r="F37" s="22" t="n">
        <v>34</v>
      </c>
      <c r="G37" s="22" t="n">
        <v>10</v>
      </c>
      <c r="H37" s="23">
        <f>E37-G37</f>
        <v/>
      </c>
    </row>
    <row r="38" ht="20" customHeight="1">
      <c r="A38" s="26" t="n">
        <v>36</v>
      </c>
      <c r="B38" s="26" t="inlineStr">
        <is>
          <t>0515002</t>
        </is>
      </c>
      <c r="C38" s="35" t="inlineStr">
        <is>
          <t>KEHUTANAN (PDD GAYO LUES)</t>
        </is>
      </c>
      <c r="D38" s="26" t="inlineStr">
        <is>
          <t>S1</t>
        </is>
      </c>
      <c r="E38" s="27" t="n">
        <v>60</v>
      </c>
      <c r="F38" s="27" t="n">
        <v>32</v>
      </c>
      <c r="G38" s="27" t="n">
        <v>9</v>
      </c>
      <c r="H38" s="23">
        <f>E38-G38</f>
        <v/>
      </c>
    </row>
    <row r="39" ht="20" customHeight="1">
      <c r="A39" s="21" t="n">
        <v>37</v>
      </c>
      <c r="B39" s="21" t="inlineStr">
        <is>
          <t>0510901</t>
        </is>
      </c>
      <c r="C39" s="34" t="inlineStr">
        <is>
          <t>PROTEKSI TANAMAN</t>
        </is>
      </c>
      <c r="D39" s="21" t="inlineStr">
        <is>
          <t>S1</t>
        </is>
      </c>
      <c r="E39" s="22" t="n">
        <v>80</v>
      </c>
      <c r="F39" s="22" t="n">
        <v>89</v>
      </c>
      <c r="G39" s="22" t="n">
        <v>40</v>
      </c>
      <c r="H39" s="23">
        <f>E39-G39</f>
        <v/>
      </c>
    </row>
    <row r="40" ht="20" customHeight="1">
      <c r="A40" s="26" t="n">
        <v>38</v>
      </c>
      <c r="B40" s="26" t="inlineStr">
        <is>
          <t>0411001</t>
        </is>
      </c>
      <c r="C40" s="35" t="inlineStr">
        <is>
          <t>PERENCANAAN WILAYAH DAN KOTA</t>
        </is>
      </c>
      <c r="D40" s="26" t="inlineStr">
        <is>
          <t>S1</t>
        </is>
      </c>
      <c r="E40" s="27" t="n">
        <v>120</v>
      </c>
      <c r="F40" s="27" t="n">
        <v>626</v>
      </c>
      <c r="G40" s="27" t="n">
        <v>98</v>
      </c>
      <c r="H40" s="23">
        <f>E40-G40</f>
        <v/>
      </c>
    </row>
    <row r="41" ht="20" customHeight="1">
      <c r="A41" s="21" t="n">
        <v>39</v>
      </c>
      <c r="B41" s="21" t="inlineStr">
        <is>
          <t>0511001</t>
        </is>
      </c>
      <c r="C41" s="34" t="inlineStr">
        <is>
          <t>KEHUTANAN</t>
        </is>
      </c>
      <c r="D41" s="21" t="inlineStr">
        <is>
          <t>S1</t>
        </is>
      </c>
      <c r="E41" s="22" t="n">
        <v>120</v>
      </c>
      <c r="F41" s="22" t="n">
        <v>301</v>
      </c>
      <c r="G41" s="22" t="n">
        <v>72</v>
      </c>
      <c r="H41" s="23">
        <f>E41-G41</f>
        <v/>
      </c>
    </row>
    <row r="42" ht="20" customHeight="1">
      <c r="A42" s="26" t="n">
        <v>40</v>
      </c>
      <c r="B42" s="26" t="inlineStr">
        <is>
          <t>0411101</t>
        </is>
      </c>
      <c r="C42" s="35" t="inlineStr">
        <is>
          <t>TEKNIK KOMPUTER</t>
        </is>
      </c>
      <c r="D42" s="26" t="inlineStr">
        <is>
          <t>S1</t>
        </is>
      </c>
      <c r="E42" s="27" t="n">
        <v>160</v>
      </c>
      <c r="F42" s="27" t="n">
        <v>1791</v>
      </c>
      <c r="G42" s="27" t="n">
        <v>142</v>
      </c>
      <c r="H42" s="23">
        <f>E42-G42</f>
        <v/>
      </c>
    </row>
    <row r="43" ht="20" customHeight="1">
      <c r="A43" s="21" t="n">
        <v>41</v>
      </c>
      <c r="B43" s="21" t="inlineStr">
        <is>
          <t>0110101</t>
        </is>
      </c>
      <c r="C43" s="34" t="inlineStr">
        <is>
          <t>EKONOMI PEMBANGUNAN</t>
        </is>
      </c>
      <c r="D43" s="21" t="inlineStr">
        <is>
          <t>S1</t>
        </is>
      </c>
      <c r="E43" s="22" t="n">
        <v>160</v>
      </c>
      <c r="F43" s="22" t="n">
        <v>770</v>
      </c>
      <c r="G43" s="22" t="n">
        <v>152</v>
      </c>
      <c r="H43" s="23">
        <f>E43-G43</f>
        <v/>
      </c>
    </row>
    <row r="44" ht="20" customHeight="1">
      <c r="A44" s="26" t="n">
        <v>42</v>
      </c>
      <c r="B44" s="26" t="inlineStr">
        <is>
          <t>0110201</t>
        </is>
      </c>
      <c r="C44" s="35" t="inlineStr">
        <is>
          <t>MANAJEMEN</t>
        </is>
      </c>
      <c r="D44" s="26" t="inlineStr">
        <is>
          <t>S1</t>
        </is>
      </c>
      <c r="E44" s="27" t="n">
        <v>200</v>
      </c>
      <c r="F44" s="27" t="n">
        <v>2936</v>
      </c>
      <c r="G44" s="27" t="n">
        <v>206</v>
      </c>
      <c r="H44" s="23">
        <f>E44-G44</f>
        <v/>
      </c>
    </row>
    <row r="45" ht="20" customHeight="1">
      <c r="A45" s="21" t="n">
        <v>43</v>
      </c>
      <c r="B45" s="21" t="inlineStr">
        <is>
          <t>0100301</t>
        </is>
      </c>
      <c r="C45" s="34" t="inlineStr">
        <is>
          <t>AKUNTANSI</t>
        </is>
      </c>
      <c r="D45" s="21" t="inlineStr">
        <is>
          <t>S1</t>
        </is>
      </c>
      <c r="E45" s="22" t="n">
        <v>200</v>
      </c>
      <c r="F45" s="22" t="n">
        <v>1855</v>
      </c>
      <c r="G45" s="22" t="n">
        <v>195</v>
      </c>
      <c r="H45" s="23">
        <f>E45-G45</f>
        <v/>
      </c>
    </row>
    <row r="46" ht="20" customHeight="1">
      <c r="A46" s="26" t="n">
        <v>44</v>
      </c>
      <c r="B46" s="26" t="inlineStr">
        <is>
          <t>0310101</t>
        </is>
      </c>
      <c r="C46" s="35" t="inlineStr">
        <is>
          <t>ILMU HUKUM</t>
        </is>
      </c>
      <c r="D46" s="26" t="inlineStr">
        <is>
          <t>S1</t>
        </is>
      </c>
      <c r="E46" s="27" t="n">
        <v>560</v>
      </c>
      <c r="F46" s="27" t="n">
        <v>3356</v>
      </c>
      <c r="G46" s="27" t="n">
        <v>566</v>
      </c>
      <c r="H46" s="23">
        <f>E46-G46</f>
        <v/>
      </c>
    </row>
    <row r="47" ht="20" customHeight="1">
      <c r="A47" s="21" t="n">
        <v>45</v>
      </c>
      <c r="B47" s="21" t="inlineStr">
        <is>
          <t>0610101</t>
        </is>
      </c>
      <c r="C47" s="34" t="inlineStr">
        <is>
          <t>PENDIDIKAN PANCASILA DAN KEWARGANEGARAAN</t>
        </is>
      </c>
      <c r="D47" s="21" t="inlineStr">
        <is>
          <t>S1</t>
        </is>
      </c>
      <c r="E47" s="22" t="n">
        <v>140</v>
      </c>
      <c r="F47" s="22" t="n">
        <v>750</v>
      </c>
      <c r="G47" s="22" t="n">
        <v>106</v>
      </c>
      <c r="H47" s="23">
        <f>E47-G47</f>
        <v/>
      </c>
    </row>
    <row r="48" ht="20" customHeight="1">
      <c r="A48" s="26" t="n">
        <v>46</v>
      </c>
      <c r="B48" s="26" t="inlineStr">
        <is>
          <t>0610102</t>
        </is>
      </c>
      <c r="C48" s="35" t="inlineStr">
        <is>
          <t>PENDIDIKAN SEJARAH</t>
        </is>
      </c>
      <c r="D48" s="26" t="inlineStr">
        <is>
          <t>S1</t>
        </is>
      </c>
      <c r="E48" s="27" t="n">
        <v>120</v>
      </c>
      <c r="F48" s="27" t="n">
        <v>583</v>
      </c>
      <c r="G48" s="27" t="n">
        <v>92</v>
      </c>
      <c r="H48" s="23">
        <f>E48-G48</f>
        <v/>
      </c>
    </row>
    <row r="49" ht="20" customHeight="1">
      <c r="A49" s="21" t="n">
        <v>47</v>
      </c>
      <c r="B49" s="21" t="inlineStr">
        <is>
          <t>0610103</t>
        </is>
      </c>
      <c r="C49" s="34" t="inlineStr">
        <is>
          <t>PENDIDIKAN EKONOMI</t>
        </is>
      </c>
      <c r="D49" s="21" t="inlineStr">
        <is>
          <t>S1</t>
        </is>
      </c>
      <c r="E49" s="22" t="n">
        <v>160</v>
      </c>
      <c r="F49" s="22" t="n">
        <v>347</v>
      </c>
      <c r="G49" s="22" t="n">
        <v>107</v>
      </c>
      <c r="H49" s="23">
        <f>E49-G49</f>
        <v/>
      </c>
    </row>
    <row r="50" ht="20" customHeight="1">
      <c r="A50" s="26" t="n">
        <v>48</v>
      </c>
      <c r="B50" s="26" t="inlineStr">
        <is>
          <t>0610104</t>
        </is>
      </c>
      <c r="C50" s="35" t="inlineStr">
        <is>
          <t>PENDIDIKAN GEOGRAFI</t>
        </is>
      </c>
      <c r="D50" s="26" t="inlineStr">
        <is>
          <t>S1</t>
        </is>
      </c>
      <c r="E50" s="27" t="n">
        <v>160</v>
      </c>
      <c r="F50" s="27" t="n">
        <v>355</v>
      </c>
      <c r="G50" s="27" t="n">
        <v>102</v>
      </c>
      <c r="H50" s="23">
        <f>E50-G50</f>
        <v/>
      </c>
    </row>
    <row r="51" ht="20" customHeight="1">
      <c r="A51" s="21" t="n">
        <v>49</v>
      </c>
      <c r="B51" s="21" t="inlineStr">
        <is>
          <t>0610201</t>
        </is>
      </c>
      <c r="C51" s="34" t="inlineStr">
        <is>
          <t>PENDIDIKAN BAHASA INDONESIA</t>
        </is>
      </c>
      <c r="D51" s="21" t="inlineStr">
        <is>
          <t>S1</t>
        </is>
      </c>
      <c r="E51" s="22" t="n">
        <v>160</v>
      </c>
      <c r="F51" s="22" t="n">
        <v>920</v>
      </c>
      <c r="G51" s="22" t="n">
        <v>133</v>
      </c>
      <c r="H51" s="23">
        <f>E51-G51</f>
        <v/>
      </c>
    </row>
    <row r="52" ht="20" customHeight="1">
      <c r="A52" s="26" t="n">
        <v>50</v>
      </c>
      <c r="B52" s="26" t="inlineStr">
        <is>
          <t>0610202</t>
        </is>
      </c>
      <c r="C52" s="35" t="inlineStr">
        <is>
          <t>PENDIDIKAN BAHASA INGGRIS</t>
        </is>
      </c>
      <c r="D52" s="26" t="inlineStr">
        <is>
          <t>S1</t>
        </is>
      </c>
      <c r="E52" s="27" t="n">
        <v>160</v>
      </c>
      <c r="F52" s="27" t="n">
        <v>874</v>
      </c>
      <c r="G52" s="27" t="n">
        <v>136</v>
      </c>
      <c r="H52" s="23">
        <f>E52-G52</f>
        <v/>
      </c>
    </row>
    <row r="53" ht="20" customHeight="1">
      <c r="A53" s="21" t="n">
        <v>51</v>
      </c>
      <c r="B53" s="21" t="inlineStr">
        <is>
          <t>0610203</t>
        </is>
      </c>
      <c r="C53" s="34" t="inlineStr">
        <is>
          <t>PENDIDIKAN SENI DRAMA TARI DAN MUSIK</t>
        </is>
      </c>
      <c r="D53" s="21" t="inlineStr">
        <is>
          <t>S1</t>
        </is>
      </c>
      <c r="E53" s="22" t="n">
        <v>160</v>
      </c>
      <c r="F53" s="22" t="n">
        <v>227</v>
      </c>
      <c r="G53" s="22" t="n">
        <v>125</v>
      </c>
      <c r="H53" s="23">
        <f>E53-G53</f>
        <v/>
      </c>
    </row>
    <row r="54" ht="20" customHeight="1">
      <c r="A54" s="26" t="n">
        <v>52</v>
      </c>
      <c r="B54" s="26" t="inlineStr">
        <is>
          <t>0610401</t>
        </is>
      </c>
      <c r="C54" s="35" t="inlineStr">
        <is>
          <t>PENDIDIKAN KESEJAHTERAAN KELUARGA</t>
        </is>
      </c>
      <c r="D54" s="26" t="inlineStr">
        <is>
          <t>S1</t>
        </is>
      </c>
      <c r="E54" s="27" t="n">
        <v>160</v>
      </c>
      <c r="F54" s="27" t="n">
        <v>884</v>
      </c>
      <c r="G54" s="27" t="n">
        <v>139</v>
      </c>
      <c r="H54" s="23">
        <f>E54-G54</f>
        <v/>
      </c>
    </row>
    <row r="55" ht="20" customHeight="1">
      <c r="A55" s="21" t="n">
        <v>53</v>
      </c>
      <c r="B55" s="21" t="inlineStr">
        <is>
          <t>0610402</t>
        </is>
      </c>
      <c r="C55" s="34" t="inlineStr">
        <is>
          <t>PENDIDIKAN JASMANI KESEHATAN DAN REKREASI</t>
        </is>
      </c>
      <c r="D55" s="21" t="inlineStr">
        <is>
          <t>S1</t>
        </is>
      </c>
      <c r="E55" s="22" t="n">
        <v>160</v>
      </c>
      <c r="F55" s="22" t="n">
        <v>524</v>
      </c>
      <c r="G55" s="22" t="n">
        <v>159</v>
      </c>
      <c r="H55" s="23">
        <f>E55-G55</f>
        <v/>
      </c>
    </row>
    <row r="56" ht="20" customHeight="1">
      <c r="A56" s="26" t="n">
        <v>54</v>
      </c>
      <c r="B56" s="26" t="inlineStr">
        <is>
          <t>0610403</t>
        </is>
      </c>
      <c r="C56" s="35" t="inlineStr">
        <is>
          <t>BIMBINGAN KONSELING</t>
        </is>
      </c>
      <c r="D56" s="26" t="inlineStr">
        <is>
          <t>S1</t>
        </is>
      </c>
      <c r="E56" s="27" t="n">
        <v>120</v>
      </c>
      <c r="F56" s="27" t="n">
        <v>1720</v>
      </c>
      <c r="G56" s="27" t="n">
        <v>115</v>
      </c>
      <c r="H56" s="23">
        <f>E56-G56</f>
        <v/>
      </c>
    </row>
    <row r="57" ht="20" customHeight="1">
      <c r="A57" s="21" t="n">
        <v>55</v>
      </c>
      <c r="B57" s="21" t="inlineStr">
        <is>
          <t>0610404</t>
        </is>
      </c>
      <c r="C57" s="34" t="inlineStr">
        <is>
          <t>PENDIDIKAN GURU SEKOLAH DASAR</t>
        </is>
      </c>
      <c r="D57" s="21" t="inlineStr">
        <is>
          <t>S1</t>
        </is>
      </c>
      <c r="E57" s="22" t="n">
        <v>200</v>
      </c>
      <c r="F57" s="22" t="n">
        <v>2269</v>
      </c>
      <c r="G57" s="22" t="n">
        <v>188</v>
      </c>
      <c r="H57" s="23">
        <f>E57-G57</f>
        <v/>
      </c>
    </row>
    <row r="58" ht="20" customHeight="1">
      <c r="A58" s="26" t="n">
        <v>56</v>
      </c>
      <c r="B58" s="26" t="inlineStr">
        <is>
          <t>0710113</t>
        </is>
      </c>
      <c r="C58" s="35" t="inlineStr">
        <is>
          <t>PSIKOLOGI</t>
        </is>
      </c>
      <c r="D58" s="26" t="inlineStr">
        <is>
          <t>S1</t>
        </is>
      </c>
      <c r="E58" s="27" t="n">
        <v>80</v>
      </c>
      <c r="F58" s="27" t="n">
        <v>1504</v>
      </c>
      <c r="G58" s="27" t="n">
        <v>76</v>
      </c>
      <c r="H58" s="23">
        <f>E58-G58</f>
        <v/>
      </c>
    </row>
    <row r="59" ht="20" customHeight="1">
      <c r="A59" s="21" t="n">
        <v>57</v>
      </c>
      <c r="B59" s="21" t="inlineStr">
        <is>
          <t>1010301</t>
        </is>
      </c>
      <c r="C59" s="34" t="inlineStr">
        <is>
          <t>ILMU POLITIK</t>
        </is>
      </c>
      <c r="D59" s="21" t="inlineStr">
        <is>
          <t>S1</t>
        </is>
      </c>
      <c r="E59" s="22" t="n">
        <v>160</v>
      </c>
      <c r="F59" s="22" t="n">
        <v>478</v>
      </c>
      <c r="G59" s="22" t="n">
        <v>133</v>
      </c>
      <c r="H59" s="23">
        <f>E59-G59</f>
        <v/>
      </c>
    </row>
    <row r="60" ht="20" customHeight="1">
      <c r="A60" s="26" t="n">
        <v>58</v>
      </c>
      <c r="B60" s="26" t="inlineStr">
        <is>
          <t>1010101</t>
        </is>
      </c>
      <c r="C60" s="35" t="inlineStr">
        <is>
          <t>SOSIOLOGI</t>
        </is>
      </c>
      <c r="D60" s="26" t="inlineStr">
        <is>
          <t>S1</t>
        </is>
      </c>
      <c r="E60" s="27" t="n">
        <v>160</v>
      </c>
      <c r="F60" s="27" t="n">
        <v>411</v>
      </c>
      <c r="G60" s="27" t="n">
        <v>102</v>
      </c>
      <c r="H60" s="23">
        <f>E60-G60</f>
        <v/>
      </c>
    </row>
    <row r="61" ht="20" customHeight="1">
      <c r="A61" s="21" t="n">
        <v>59</v>
      </c>
      <c r="B61" s="21" t="inlineStr">
        <is>
          <t>1010201</t>
        </is>
      </c>
      <c r="C61" s="34" t="inlineStr">
        <is>
          <t>ILMU KOMUNIKASI</t>
        </is>
      </c>
      <c r="D61" s="21" t="inlineStr">
        <is>
          <t>S1</t>
        </is>
      </c>
      <c r="E61" s="22" t="n">
        <v>180</v>
      </c>
      <c r="F61" s="22" t="n">
        <v>1764</v>
      </c>
      <c r="G61" s="22" t="n">
        <v>177</v>
      </c>
      <c r="H61" s="23">
        <f>E61-G61</f>
        <v/>
      </c>
    </row>
    <row r="62" ht="20" customHeight="1">
      <c r="A62" s="26" t="n">
        <v>60</v>
      </c>
      <c r="B62" s="26" t="inlineStr">
        <is>
          <t>0610421</t>
        </is>
      </c>
      <c r="C62" s="35" t="inlineStr">
        <is>
          <t>PENDIDIKAN GURU PAUD</t>
        </is>
      </c>
      <c r="D62" s="26" t="inlineStr">
        <is>
          <t>S1</t>
        </is>
      </c>
      <c r="E62" s="27" t="n">
        <v>140</v>
      </c>
      <c r="F62" s="27" t="n">
        <v>716</v>
      </c>
      <c r="G62" s="27" t="n">
        <v>97</v>
      </c>
      <c r="H62" s="23">
        <f>E62-G62</f>
        <v/>
      </c>
    </row>
    <row r="63" ht="20" customHeight="1">
      <c r="A63" s="21" t="n">
        <v>61</v>
      </c>
      <c r="B63" s="21" t="inlineStr">
        <is>
          <t>1010401</t>
        </is>
      </c>
      <c r="C63" s="34" t="inlineStr">
        <is>
          <t>ILMU PEMERINTAHAN</t>
        </is>
      </c>
      <c r="D63" s="21" t="inlineStr">
        <is>
          <t>S1</t>
        </is>
      </c>
      <c r="E63" s="22" t="n">
        <v>180</v>
      </c>
      <c r="F63" s="22" t="n">
        <v>944</v>
      </c>
      <c r="G63" s="22" t="n">
        <v>172</v>
      </c>
      <c r="H63" s="23">
        <f>E63-G63</f>
        <v/>
      </c>
    </row>
    <row r="64" ht="20" customHeight="1">
      <c r="A64" s="26" t="n">
        <v>62</v>
      </c>
      <c r="B64" s="26" t="inlineStr">
        <is>
          <t>0110401</t>
        </is>
      </c>
      <c r="C64" s="35" t="inlineStr">
        <is>
          <t>EKONOMI ISLAM</t>
        </is>
      </c>
      <c r="D64" s="26" t="inlineStr">
        <is>
          <t>S1</t>
        </is>
      </c>
      <c r="E64" s="27" t="n">
        <v>160</v>
      </c>
      <c r="F64" s="27" t="n">
        <v>698</v>
      </c>
      <c r="G64" s="27" t="n">
        <v>130</v>
      </c>
      <c r="H64" s="23">
        <f>E64-G64</f>
        <v/>
      </c>
    </row>
    <row r="65" ht="20" customHeight="1">
      <c r="A65" s="21" t="n">
        <v>63</v>
      </c>
      <c r="B65" s="21" t="inlineStr">
        <is>
          <t>0115001</t>
        </is>
      </c>
      <c r="C65" s="34" t="inlineStr">
        <is>
          <t>MANAJEMEN (PDD GAYO LUES)</t>
        </is>
      </c>
      <c r="D65" s="21" t="inlineStr">
        <is>
          <t>S1</t>
        </is>
      </c>
      <c r="E65" s="22" t="n">
        <v>80</v>
      </c>
      <c r="F65" s="22" t="n">
        <v>65</v>
      </c>
      <c r="G65" s="22" t="n">
        <v>24</v>
      </c>
      <c r="H65" s="23">
        <f>E65-G65</f>
        <v/>
      </c>
    </row>
    <row r="66" ht="20" customHeight="1">
      <c r="A66" s="26" t="n">
        <v>64</v>
      </c>
      <c r="B66" s="26" t="inlineStr">
        <is>
          <t>0170301</t>
        </is>
      </c>
      <c r="C66" s="35" t="inlineStr">
        <is>
          <t>AKUNTANSI PERPAJAKAN</t>
        </is>
      </c>
      <c r="D66" s="26" t="inlineStr">
        <is>
          <t>D4</t>
        </is>
      </c>
      <c r="E66" s="27" t="n">
        <v>80</v>
      </c>
      <c r="F66" s="27" t="n">
        <v>1824</v>
      </c>
      <c r="G66" s="27" t="n">
        <v>71</v>
      </c>
      <c r="H66" s="23">
        <f>E66-G66</f>
        <v/>
      </c>
    </row>
    <row r="67" ht="20" customHeight="1">
      <c r="A67" s="21" t="n">
        <v>65</v>
      </c>
      <c r="B67" s="21" t="inlineStr">
        <is>
          <t>0200101</t>
        </is>
      </c>
      <c r="C67" s="34" t="inlineStr">
        <is>
          <t>KESEHATAN HEWAN</t>
        </is>
      </c>
      <c r="D67" s="21" t="inlineStr">
        <is>
          <t>D3</t>
        </is>
      </c>
      <c r="E67" s="22" t="n">
        <v>30</v>
      </c>
      <c r="F67" s="22" t="n">
        <v>409</v>
      </c>
      <c r="G67" s="22" t="n">
        <v>8</v>
      </c>
      <c r="H67" s="23">
        <f>E67-G67</f>
        <v/>
      </c>
    </row>
    <row r="68" ht="20" customHeight="1">
      <c r="A68" s="26" t="n">
        <v>66</v>
      </c>
      <c r="B68" s="26" t="inlineStr">
        <is>
          <t>0500201</t>
        </is>
      </c>
      <c r="C68" s="35" t="inlineStr">
        <is>
          <t>MANAJEMEN AGRIBISNIS</t>
        </is>
      </c>
      <c r="D68" s="26" t="inlineStr">
        <is>
          <t>D3</t>
        </is>
      </c>
      <c r="E68" s="27" t="n">
        <v>80</v>
      </c>
      <c r="F68" s="27" t="n">
        <v>631</v>
      </c>
      <c r="G68" s="27" t="n">
        <v>26</v>
      </c>
      <c r="H68" s="23">
        <f>E68-G68</f>
        <v/>
      </c>
    </row>
    <row r="69" ht="20" customHeight="1">
      <c r="A69" s="21" t="n">
        <v>67</v>
      </c>
      <c r="B69" s="21" t="inlineStr">
        <is>
          <t>0400501</t>
        </is>
      </c>
      <c r="C69" s="34" t="inlineStr">
        <is>
          <t>TEKNIK LISTRIK</t>
        </is>
      </c>
      <c r="D69" s="21" t="inlineStr">
        <is>
          <t>D3</t>
        </is>
      </c>
      <c r="E69" s="22" t="n">
        <v>40</v>
      </c>
      <c r="F69" s="22" t="n">
        <v>216</v>
      </c>
      <c r="G69" s="22" t="n">
        <v>22</v>
      </c>
      <c r="H69" s="23">
        <f>E69-G69</f>
        <v/>
      </c>
    </row>
    <row r="70" ht="20" customHeight="1">
      <c r="A70" s="26" t="n">
        <v>68</v>
      </c>
      <c r="B70" s="26" t="inlineStr">
        <is>
          <t>0500401</t>
        </is>
      </c>
      <c r="C70" s="35" t="inlineStr">
        <is>
          <t>BUDIDAYA PETERNAKAN</t>
        </is>
      </c>
      <c r="D70" s="26" t="inlineStr">
        <is>
          <t>D3</t>
        </is>
      </c>
      <c r="E70" s="27" t="n">
        <v>40</v>
      </c>
      <c r="F70" s="27" t="n">
        <v>301</v>
      </c>
      <c r="G70" s="27" t="n">
        <v>10</v>
      </c>
      <c r="H70" s="23">
        <f>E70-G70</f>
        <v/>
      </c>
    </row>
    <row r="71" ht="20" customHeight="1">
      <c r="A71" s="21" t="n">
        <v>69</v>
      </c>
      <c r="B71" s="21" t="inlineStr">
        <is>
          <t>0400201</t>
        </is>
      </c>
      <c r="C71" s="34" t="inlineStr">
        <is>
          <t>TEKNIK MESIN</t>
        </is>
      </c>
      <c r="D71" s="21" t="inlineStr">
        <is>
          <t>D3</t>
        </is>
      </c>
      <c r="E71" s="22" t="n">
        <v>40</v>
      </c>
      <c r="F71" s="22" t="n">
        <v>300</v>
      </c>
      <c r="G71" s="22" t="n">
        <v>19</v>
      </c>
      <c r="H71" s="23">
        <f>E71-G71</f>
        <v/>
      </c>
    </row>
    <row r="72" ht="20" customHeight="1">
      <c r="A72" s="26" t="n">
        <v>70</v>
      </c>
      <c r="B72" s="26" t="inlineStr">
        <is>
          <t>0400101</t>
        </is>
      </c>
      <c r="C72" s="35" t="inlineStr">
        <is>
          <t>TEKNIK SIPIL</t>
        </is>
      </c>
      <c r="D72" s="26" t="inlineStr">
        <is>
          <t>D3</t>
        </is>
      </c>
      <c r="E72" s="27" t="n">
        <v>80</v>
      </c>
      <c r="F72" s="27" t="n">
        <v>772</v>
      </c>
      <c r="G72" s="27" t="n">
        <v>39</v>
      </c>
      <c r="H72" s="23">
        <f>E72-G72</f>
        <v/>
      </c>
    </row>
    <row r="73" ht="20" customHeight="1">
      <c r="A73" s="21" t="n">
        <v>71</v>
      </c>
      <c r="B73" s="21" t="inlineStr">
        <is>
          <t>0100202</t>
        </is>
      </c>
      <c r="C73" s="34" t="inlineStr">
        <is>
          <t>SEKRETARI</t>
        </is>
      </c>
      <c r="D73" s="21" t="inlineStr">
        <is>
          <t>D3</t>
        </is>
      </c>
      <c r="E73" s="22" t="n">
        <v>40</v>
      </c>
      <c r="F73" s="22" t="n">
        <v>358</v>
      </c>
      <c r="G73" s="22" t="n">
        <v>16</v>
      </c>
      <c r="H73" s="23">
        <f>E73-G73</f>
        <v/>
      </c>
    </row>
    <row r="74" ht="20" customHeight="1">
      <c r="A74" s="26" t="n">
        <v>72</v>
      </c>
      <c r="B74" s="26" t="inlineStr">
        <is>
          <t>0100101</t>
        </is>
      </c>
      <c r="C74" s="35" t="inlineStr">
        <is>
          <t>MANAJEMEN PERUSAHAAN</t>
        </is>
      </c>
      <c r="D74" s="26" t="inlineStr">
        <is>
          <t>D3</t>
        </is>
      </c>
      <c r="E74" s="27" t="n">
        <v>40</v>
      </c>
      <c r="F74" s="27" t="n">
        <v>869</v>
      </c>
      <c r="G74" s="27" t="n">
        <v>17</v>
      </c>
      <c r="H74" s="23">
        <f>E74-G74</f>
        <v/>
      </c>
    </row>
    <row r="75" ht="20" customHeight="1">
      <c r="A75" s="21" t="n">
        <v>73</v>
      </c>
      <c r="B75" s="21" t="inlineStr">
        <is>
          <t>0100301</t>
        </is>
      </c>
      <c r="C75" s="34" t="inlineStr">
        <is>
          <t>AKUNTANSI</t>
        </is>
      </c>
      <c r="D75" s="21" t="inlineStr">
        <is>
          <t>D3</t>
        </is>
      </c>
      <c r="E75" s="22" t="n">
        <v>80</v>
      </c>
      <c r="F75" s="22" t="n">
        <v>965</v>
      </c>
      <c r="G75" s="22" t="n">
        <v>40</v>
      </c>
      <c r="H75" s="23">
        <f>E75-G75</f>
        <v/>
      </c>
    </row>
    <row r="76" ht="20" customHeight="1">
      <c r="A76" s="26" t="n">
        <v>74</v>
      </c>
      <c r="B76" s="26" t="inlineStr">
        <is>
          <t>0100203</t>
        </is>
      </c>
      <c r="C76" s="35" t="inlineStr">
        <is>
          <t>KEUANGAN DAN PERBANKAN</t>
        </is>
      </c>
      <c r="D76" s="26" t="inlineStr">
        <is>
          <t>D3</t>
        </is>
      </c>
      <c r="E76" s="27" t="n">
        <v>80</v>
      </c>
      <c r="F76" s="27" t="n">
        <v>1184</v>
      </c>
      <c r="G76" s="27" t="n">
        <v>32</v>
      </c>
      <c r="H76" s="23">
        <f>E76-G76</f>
        <v/>
      </c>
    </row>
    <row r="77" ht="20" customHeight="1">
      <c r="A77" s="21" t="n">
        <v>75</v>
      </c>
      <c r="B77" s="21" t="inlineStr">
        <is>
          <t>0800701</t>
        </is>
      </c>
      <c r="C77" s="34" t="inlineStr">
        <is>
          <t>MANAJEMEN INFORMATIKA</t>
        </is>
      </c>
      <c r="D77" s="21" t="inlineStr">
        <is>
          <t>D3</t>
        </is>
      </c>
      <c r="E77" s="22" t="n">
        <v>80</v>
      </c>
      <c r="F77" s="22" t="n">
        <v>1413</v>
      </c>
      <c r="G77" s="22" t="n">
        <v>57</v>
      </c>
      <c r="H77" s="23">
        <f>E77-G77</f>
        <v/>
      </c>
    </row>
    <row r="78" ht="20" customHeight="1">
      <c r="A78" s="26" t="n">
        <v>76</v>
      </c>
      <c r="B78" s="26" t="inlineStr">
        <is>
          <t>1110401</t>
        </is>
      </c>
      <c r="C78" s="35" t="inlineStr">
        <is>
          <t>TEKNOLOGI INDUSTRI HASIL PERIKANAN</t>
        </is>
      </c>
      <c r="D78" s="26" t="inlineStr">
        <is>
          <t>S1</t>
        </is>
      </c>
      <c r="E78" s="27" t="n">
        <v>0</v>
      </c>
      <c r="F78" s="27" t="n">
        <v>0</v>
      </c>
      <c r="G78" s="27" t="n">
        <v>0</v>
      </c>
      <c r="H78" s="23">
        <f>E78-G78</f>
        <v/>
      </c>
    </row>
    <row r="79" ht="20" customHeight="1">
      <c r="A79" s="21" t="n">
        <v>77</v>
      </c>
      <c r="B79" s="21" t="inlineStr">
        <is>
          <t>0411401</t>
        </is>
      </c>
      <c r="C79" s="34" t="inlineStr">
        <is>
          <t>TEKNIK LINGKUNGAN</t>
        </is>
      </c>
      <c r="D79" s="21" t="inlineStr">
        <is>
          <t>S1</t>
        </is>
      </c>
      <c r="E79" s="22" t="n">
        <v>0</v>
      </c>
      <c r="F79" s="22" t="n">
        <v>0</v>
      </c>
      <c r="G79" s="22" t="n">
        <v>0</v>
      </c>
      <c r="H79" s="23">
        <f>E79-G79</f>
        <v/>
      </c>
    </row>
    <row r="80" ht="20" customHeight="1">
      <c r="A80" s="26" t="n">
        <v>78</v>
      </c>
      <c r="B80" s="26" t="inlineStr">
        <is>
          <t>0411501</t>
        </is>
      </c>
      <c r="C80" s="35" t="inlineStr">
        <is>
          <t>TEKNIK SUMBER DAYA AIR</t>
        </is>
      </c>
      <c r="D80" s="26" t="inlineStr">
        <is>
          <t>S1</t>
        </is>
      </c>
      <c r="E80" s="27" t="n">
        <v>0</v>
      </c>
      <c r="F80" s="27" t="n">
        <v>0</v>
      </c>
      <c r="G80" s="27" t="n">
        <v>0</v>
      </c>
      <c r="H80" s="23">
        <f>E80-G80</f>
        <v/>
      </c>
    </row>
    <row r="81" ht="20" customHeight="1">
      <c r="A81" s="21" t="n">
        <v>79</v>
      </c>
      <c r="B81" s="21" t="inlineStr">
        <is>
          <t>0110501</t>
        </is>
      </c>
      <c r="C81" s="34" t="inlineStr">
        <is>
          <t>BISNIS DIGITAL</t>
        </is>
      </c>
      <c r="D81" s="21" t="inlineStr">
        <is>
          <t>S1</t>
        </is>
      </c>
      <c r="E81" s="22" t="n">
        <v>0</v>
      </c>
      <c r="F81" s="22" t="n">
        <v>0</v>
      </c>
      <c r="G81" s="22" t="n">
        <v>0</v>
      </c>
      <c r="H81" s="23">
        <f>E81-G81</f>
        <v/>
      </c>
    </row>
    <row r="82" ht="20" customHeight="1">
      <c r="A82" s="26" t="n">
        <v>80</v>
      </c>
      <c r="B82" s="26" t="inlineStr">
        <is>
          <t>0411601</t>
        </is>
      </c>
      <c r="C82" s="35" t="inlineStr">
        <is>
          <t>TEKNIK PERMINYAKAN</t>
        </is>
      </c>
      <c r="D82" s="26" t="inlineStr">
        <is>
          <t>S1</t>
        </is>
      </c>
      <c r="E82" s="27" t="n">
        <v>0</v>
      </c>
      <c r="F82" s="27" t="n">
        <v>0</v>
      </c>
      <c r="G82" s="27" t="n">
        <v>0</v>
      </c>
      <c r="H82" s="23">
        <f>E82-G82</f>
        <v/>
      </c>
    </row>
    <row r="83" ht="20" customHeight="1">
      <c r="A83" s="21" t="n">
        <v>81</v>
      </c>
      <c r="B83" s="21" t="inlineStr">
        <is>
          <t>0910101</t>
        </is>
      </c>
      <c r="C83" s="34" t="inlineStr">
        <is>
          <t>HUBUNGAN INTERNASIONAL</t>
        </is>
      </c>
      <c r="D83" s="21" t="inlineStr">
        <is>
          <t>S1</t>
        </is>
      </c>
      <c r="E83" s="22" t="n">
        <v>0</v>
      </c>
      <c r="F83" s="22" t="n">
        <v>0</v>
      </c>
      <c r="G83" s="22" t="n">
        <v>0</v>
      </c>
      <c r="H83" s="23">
        <f>E83-G83</f>
        <v/>
      </c>
    </row>
    <row r="84" ht="24" customHeight="1">
      <c r="A84" s="30" t="inlineStr">
        <is>
          <t>TOTAL KESELURUHAN UNIVERSITAS</t>
        </is>
      </c>
      <c r="B84" s="61" t="n"/>
      <c r="C84" s="61" t="n"/>
      <c r="D84" s="61" t="n"/>
      <c r="E84" s="31">
        <f>SUM(E3:E83)</f>
        <v/>
      </c>
      <c r="F84" s="31">
        <f>SUM(F3:F83)</f>
        <v/>
      </c>
      <c r="G84" s="31">
        <f>SUM(G3:G83)</f>
        <v/>
      </c>
      <c r="H84" s="31">
        <f>SUM(H3:H83)</f>
        <v/>
      </c>
    </row>
  </sheetData>
  <mergeCells count="2">
    <mergeCell ref="A84:D84"/>
    <mergeCell ref="E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4"/>
  <sheetViews>
    <sheetView showGridLines="1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10" customWidth="1" min="4" max="4"/>
    <col width="20" customWidth="1" min="5" max="5"/>
    <col width="16" customWidth="1" min="6" max="6"/>
    <col width="18" customWidth="1" min="7" max="7"/>
    <col width="15" customWidth="1" min="8" max="8"/>
  </cols>
  <sheetData>
    <row r="1" ht="24" customHeight="1">
      <c r="A1" s="62" t="inlineStr">
        <is>
          <t>No</t>
        </is>
      </c>
      <c r="B1" s="62" t="inlineStr">
        <is>
          <t>Kode Prodi</t>
        </is>
      </c>
      <c r="C1" s="62" t="inlineStr">
        <is>
          <t>Nama Prodi</t>
        </is>
      </c>
      <c r="D1" s="62" t="inlineStr">
        <is>
          <t>Jenjang</t>
        </is>
      </c>
      <c r="E1" s="68" t="inlineStr">
        <is>
          <t>2023</t>
        </is>
      </c>
      <c r="F1" s="45" t="n"/>
      <c r="G1" s="45" t="n"/>
      <c r="H1" s="45" t="n"/>
    </row>
    <row r="2" ht="24" customHeight="1">
      <c r="A2" s="20" t="inlineStr">
        <is>
          <t>No</t>
        </is>
      </c>
      <c r="B2" s="20" t="inlineStr">
        <is>
          <t>Kode Prodi</t>
        </is>
      </c>
      <c r="C2" s="20" t="inlineStr">
        <is>
          <t>Nama Prodi</t>
        </is>
      </c>
      <c r="D2" s="20" t="inlineStr">
        <is>
          <t>Jenjang</t>
        </is>
      </c>
      <c r="E2" s="69" t="inlineStr">
        <is>
          <t>Total Daya Tampung</t>
        </is>
      </c>
      <c r="F2" s="69" t="inlineStr">
        <is>
          <t>Total Peminat</t>
        </is>
      </c>
      <c r="G2" s="69" t="inlineStr">
        <is>
          <t>Total Daftar Ulang</t>
        </is>
      </c>
      <c r="H2" s="52" t="inlineStr">
        <is>
          <t>Sisa Kuota</t>
        </is>
      </c>
    </row>
    <row r="3" ht="20" customHeight="1">
      <c r="A3" s="21" t="n">
        <v>1</v>
      </c>
      <c r="B3" s="21" t="inlineStr">
        <is>
          <t>0210101</t>
        </is>
      </c>
      <c r="C3" s="34" t="inlineStr">
        <is>
          <t>PENDIDIKAN DOKTER HEWAN</t>
        </is>
      </c>
      <c r="D3" s="21" t="inlineStr">
        <is>
          <t>S1</t>
        </is>
      </c>
      <c r="E3" s="22" t="n">
        <v>200</v>
      </c>
      <c r="F3" s="22" t="n">
        <v>952</v>
      </c>
      <c r="G3" s="22" t="n">
        <v>174</v>
      </c>
      <c r="H3" s="23">
        <f>E3-G3</f>
        <v/>
      </c>
    </row>
    <row r="4" ht="20" customHeight="1">
      <c r="A4" s="26" t="n">
        <v>2</v>
      </c>
      <c r="B4" s="26" t="inlineStr">
        <is>
          <t>0400101</t>
        </is>
      </c>
      <c r="C4" s="35" t="inlineStr">
        <is>
          <t>TEKNIK SIPIL</t>
        </is>
      </c>
      <c r="D4" s="26" t="inlineStr">
        <is>
          <t>S1</t>
        </is>
      </c>
      <c r="E4" s="27" t="n">
        <v>215</v>
      </c>
      <c r="F4" s="27" t="n">
        <v>1064</v>
      </c>
      <c r="G4" s="27" t="n">
        <v>169</v>
      </c>
      <c r="H4" s="23">
        <f>E4-G4</f>
        <v/>
      </c>
    </row>
    <row r="5" ht="20" customHeight="1">
      <c r="A5" s="21" t="n">
        <v>3</v>
      </c>
      <c r="B5" s="21" t="inlineStr">
        <is>
          <t>0400201</t>
        </is>
      </c>
      <c r="C5" s="34" t="inlineStr">
        <is>
          <t>TEKNIK MESIN</t>
        </is>
      </c>
      <c r="D5" s="21" t="inlineStr">
        <is>
          <t>S1</t>
        </is>
      </c>
      <c r="E5" s="22" t="n">
        <v>120</v>
      </c>
      <c r="F5" s="22" t="n">
        <v>457</v>
      </c>
      <c r="G5" s="22" t="n">
        <v>87</v>
      </c>
      <c r="H5" s="23">
        <f>E5-G5</f>
        <v/>
      </c>
    </row>
    <row r="6" ht="20" customHeight="1">
      <c r="A6" s="26" t="n">
        <v>4</v>
      </c>
      <c r="B6" s="26" t="inlineStr">
        <is>
          <t>0410301</t>
        </is>
      </c>
      <c r="C6" s="35" t="inlineStr">
        <is>
          <t>TEKNIK KIMIA</t>
        </is>
      </c>
      <c r="D6" s="26" t="inlineStr">
        <is>
          <t>S1</t>
        </is>
      </c>
      <c r="E6" s="27" t="n">
        <v>140</v>
      </c>
      <c r="F6" s="27" t="n">
        <v>293</v>
      </c>
      <c r="G6" s="27" t="n">
        <v>85</v>
      </c>
      <c r="H6" s="23">
        <f>E6-G6</f>
        <v/>
      </c>
    </row>
    <row r="7" ht="20" customHeight="1">
      <c r="A7" s="21" t="n">
        <v>5</v>
      </c>
      <c r="B7" s="21" t="inlineStr">
        <is>
          <t>0410401</t>
        </is>
      </c>
      <c r="C7" s="34" t="inlineStr">
        <is>
          <t>ARSITEKTUR</t>
        </is>
      </c>
      <c r="D7" s="21" t="inlineStr">
        <is>
          <t>S1</t>
        </is>
      </c>
      <c r="E7" s="22" t="n">
        <v>150</v>
      </c>
      <c r="F7" s="22" t="n">
        <v>558</v>
      </c>
      <c r="G7" s="22" t="n">
        <v>116</v>
      </c>
      <c r="H7" s="23">
        <f>E7-G7</f>
        <v/>
      </c>
    </row>
    <row r="8" ht="20" customHeight="1">
      <c r="A8" s="26" t="n">
        <v>6</v>
      </c>
      <c r="B8" s="26" t="inlineStr">
        <is>
          <t>0410501</t>
        </is>
      </c>
      <c r="C8" s="35" t="inlineStr">
        <is>
          <t>TEKNIK ELEKTRO</t>
        </is>
      </c>
      <c r="D8" s="26" t="inlineStr">
        <is>
          <t>S1</t>
        </is>
      </c>
      <c r="E8" s="27" t="n">
        <v>120</v>
      </c>
      <c r="F8" s="27" t="n">
        <v>410</v>
      </c>
      <c r="G8" s="27" t="n">
        <v>79</v>
      </c>
      <c r="H8" s="23">
        <f>E8-G8</f>
        <v/>
      </c>
    </row>
    <row r="9" ht="20" customHeight="1">
      <c r="A9" s="21" t="n">
        <v>7</v>
      </c>
      <c r="B9" s="21" t="inlineStr">
        <is>
          <t>0510105</t>
        </is>
      </c>
      <c r="C9" s="34" t="inlineStr">
        <is>
          <t>AGROTEKNOLOGI</t>
        </is>
      </c>
      <c r="D9" s="21" t="inlineStr">
        <is>
          <t>S1</t>
        </is>
      </c>
      <c r="E9" s="22" t="n">
        <v>120</v>
      </c>
      <c r="F9" s="22" t="n">
        <v>380</v>
      </c>
      <c r="G9" s="22" t="n">
        <v>78</v>
      </c>
      <c r="H9" s="23">
        <f>E9-G9</f>
        <v/>
      </c>
    </row>
    <row r="10" ht="20" customHeight="1">
      <c r="A10" s="26" t="n">
        <v>8</v>
      </c>
      <c r="B10" s="26" t="inlineStr">
        <is>
          <t>0510201</t>
        </is>
      </c>
      <c r="C10" s="35" t="inlineStr">
        <is>
          <t>AGRIBISNIS</t>
        </is>
      </c>
      <c r="D10" s="26" t="inlineStr">
        <is>
          <t>S1</t>
        </is>
      </c>
      <c r="E10" s="27" t="n">
        <v>110</v>
      </c>
      <c r="F10" s="27" t="n">
        <v>610</v>
      </c>
      <c r="G10" s="27" t="n">
        <v>81</v>
      </c>
      <c r="H10" s="23">
        <f>E10-G10</f>
        <v/>
      </c>
    </row>
    <row r="11" ht="20" customHeight="1">
      <c r="A11" s="21" t="n">
        <v>9</v>
      </c>
      <c r="B11" s="21" t="inlineStr">
        <is>
          <t>0510401</t>
        </is>
      </c>
      <c r="C11" s="34" t="inlineStr">
        <is>
          <t>PETERNAKAN</t>
        </is>
      </c>
      <c r="D11" s="21" t="inlineStr">
        <is>
          <t>S1</t>
        </is>
      </c>
      <c r="E11" s="22" t="n">
        <v>115</v>
      </c>
      <c r="F11" s="22" t="n">
        <v>246</v>
      </c>
      <c r="G11" s="22" t="n">
        <v>76</v>
      </c>
      <c r="H11" s="23">
        <f>E11-G11</f>
        <v/>
      </c>
    </row>
    <row r="12" ht="20" customHeight="1">
      <c r="A12" s="26" t="n">
        <v>10</v>
      </c>
      <c r="B12" s="26" t="inlineStr">
        <is>
          <t>0510501</t>
        </is>
      </c>
      <c r="C12" s="35" t="inlineStr">
        <is>
          <t>TEKNOLOGI HASIL PERTANIAN</t>
        </is>
      </c>
      <c r="D12" s="26" t="inlineStr">
        <is>
          <t>S1</t>
        </is>
      </c>
      <c r="E12" s="27" t="n">
        <v>100</v>
      </c>
      <c r="F12" s="27" t="n">
        <v>211</v>
      </c>
      <c r="G12" s="27" t="n">
        <v>60</v>
      </c>
      <c r="H12" s="23">
        <f>E12-G12</f>
        <v/>
      </c>
    </row>
    <row r="13" ht="20" customHeight="1">
      <c r="A13" s="21" t="n">
        <v>11</v>
      </c>
      <c r="B13" s="21" t="inlineStr">
        <is>
          <t>0510601</t>
        </is>
      </c>
      <c r="C13" s="34" t="inlineStr">
        <is>
          <t>TEKNIK PERTANIAN</t>
        </is>
      </c>
      <c r="D13" s="21" t="inlineStr">
        <is>
          <t>S1</t>
        </is>
      </c>
      <c r="E13" s="22" t="n">
        <v>140</v>
      </c>
      <c r="F13" s="22" t="n">
        <v>431</v>
      </c>
      <c r="G13" s="22" t="n">
        <v>85</v>
      </c>
      <c r="H13" s="23">
        <f>E13-G13</f>
        <v/>
      </c>
    </row>
    <row r="14" ht="20" customHeight="1">
      <c r="A14" s="26" t="n">
        <v>12</v>
      </c>
      <c r="B14" s="26" t="inlineStr">
        <is>
          <t>0610301</t>
        </is>
      </c>
      <c r="C14" s="35" t="inlineStr">
        <is>
          <t>PENDIDIKAN BIOLOGI</t>
        </is>
      </c>
      <c r="D14" s="26" t="inlineStr">
        <is>
          <t>S1</t>
        </is>
      </c>
      <c r="E14" s="27" t="n">
        <v>130</v>
      </c>
      <c r="F14" s="27" t="n">
        <v>383</v>
      </c>
      <c r="G14" s="27" t="n">
        <v>82</v>
      </c>
      <c r="H14" s="23">
        <f>E14-G14</f>
        <v/>
      </c>
    </row>
    <row r="15" ht="20" customHeight="1">
      <c r="A15" s="21" t="n">
        <v>13</v>
      </c>
      <c r="B15" s="21" t="inlineStr">
        <is>
          <t>0610302</t>
        </is>
      </c>
      <c r="C15" s="34" t="inlineStr">
        <is>
          <t>PENDIDIKAN MATEMATIKA</t>
        </is>
      </c>
      <c r="D15" s="21" t="inlineStr">
        <is>
          <t>S1</t>
        </is>
      </c>
      <c r="E15" s="22" t="n">
        <v>130</v>
      </c>
      <c r="F15" s="22" t="n">
        <v>408</v>
      </c>
      <c r="G15" s="22" t="n">
        <v>86</v>
      </c>
      <c r="H15" s="23">
        <f>E15-G15</f>
        <v/>
      </c>
    </row>
    <row r="16" ht="20" customHeight="1">
      <c r="A16" s="26" t="n">
        <v>14</v>
      </c>
      <c r="B16" s="26" t="inlineStr">
        <is>
          <t>0610303</t>
        </is>
      </c>
      <c r="C16" s="35" t="inlineStr">
        <is>
          <t>PENDIDIKAN FISIKA</t>
        </is>
      </c>
      <c r="D16" s="26" t="inlineStr">
        <is>
          <t>S1</t>
        </is>
      </c>
      <c r="E16" s="27" t="n">
        <v>110</v>
      </c>
      <c r="F16" s="27" t="n">
        <v>129</v>
      </c>
      <c r="G16" s="27" t="n">
        <v>56</v>
      </c>
      <c r="H16" s="23">
        <f>E16-G16</f>
        <v/>
      </c>
    </row>
    <row r="17" ht="20" customHeight="1">
      <c r="A17" s="21" t="n">
        <v>15</v>
      </c>
      <c r="B17" s="21" t="inlineStr">
        <is>
          <t>0610304</t>
        </is>
      </c>
      <c r="C17" s="34" t="inlineStr">
        <is>
          <t>PENDIDIKAN KIMIA</t>
        </is>
      </c>
      <c r="D17" s="21" t="inlineStr">
        <is>
          <t>S1</t>
        </is>
      </c>
      <c r="E17" s="22" t="n">
        <v>110</v>
      </c>
      <c r="F17" s="22" t="n">
        <v>134</v>
      </c>
      <c r="G17" s="22" t="n">
        <v>51</v>
      </c>
      <c r="H17" s="23">
        <f>E17-G17</f>
        <v/>
      </c>
    </row>
    <row r="18" ht="20" customHeight="1">
      <c r="A18" s="26" t="n">
        <v>16</v>
      </c>
      <c r="B18" s="26" t="inlineStr">
        <is>
          <t>0710101</t>
        </is>
      </c>
      <c r="C18" s="35" t="inlineStr">
        <is>
          <t>PENDIDIKAN DOKTER</t>
        </is>
      </c>
      <c r="D18" s="26" t="inlineStr">
        <is>
          <t>S1</t>
        </is>
      </c>
      <c r="E18" s="27" t="n">
        <v>250</v>
      </c>
      <c r="F18" s="27" t="n">
        <v>3210</v>
      </c>
      <c r="G18" s="27" t="n">
        <v>213</v>
      </c>
      <c r="H18" s="23">
        <f>E18-G18</f>
        <v/>
      </c>
    </row>
    <row r="19" ht="20" customHeight="1">
      <c r="A19" s="21" t="n">
        <v>17</v>
      </c>
      <c r="B19" s="21" t="inlineStr">
        <is>
          <t>1210101</t>
        </is>
      </c>
      <c r="C19" s="34" t="inlineStr">
        <is>
          <t>ILMU KEPERAWATAN</t>
        </is>
      </c>
      <c r="D19" s="21" t="inlineStr">
        <is>
          <t>S1</t>
        </is>
      </c>
      <c r="E19" s="22" t="n">
        <v>200</v>
      </c>
      <c r="F19" s="22" t="n">
        <v>2171</v>
      </c>
      <c r="G19" s="22" t="n">
        <v>164</v>
      </c>
      <c r="H19" s="23">
        <f>E19-G19</f>
        <v/>
      </c>
    </row>
    <row r="20" ht="20" customHeight="1">
      <c r="A20" s="26" t="n">
        <v>18</v>
      </c>
      <c r="B20" s="26" t="inlineStr">
        <is>
          <t>1310101</t>
        </is>
      </c>
      <c r="C20" s="35" t="inlineStr">
        <is>
          <t>PENDIDIKAN DOKTER GIGI</t>
        </is>
      </c>
      <c r="D20" s="26" t="inlineStr">
        <is>
          <t>S1</t>
        </is>
      </c>
      <c r="E20" s="27" t="n">
        <v>100</v>
      </c>
      <c r="F20" s="27" t="n">
        <v>1560</v>
      </c>
      <c r="G20" s="27" t="n">
        <v>83</v>
      </c>
      <c r="H20" s="23">
        <f>E20-G20</f>
        <v/>
      </c>
    </row>
    <row r="21" ht="20" customHeight="1">
      <c r="A21" s="21" t="n">
        <v>19</v>
      </c>
      <c r="B21" s="21" t="inlineStr">
        <is>
          <t>0810101</t>
        </is>
      </c>
      <c r="C21" s="34" t="inlineStr">
        <is>
          <t>MATEMATIKA</t>
        </is>
      </c>
      <c r="D21" s="21" t="inlineStr">
        <is>
          <t>S1</t>
        </is>
      </c>
      <c r="E21" s="22" t="n">
        <v>90</v>
      </c>
      <c r="F21" s="22" t="n">
        <v>145</v>
      </c>
      <c r="G21" s="22" t="n">
        <v>54</v>
      </c>
      <c r="H21" s="23">
        <f>E21-G21</f>
        <v/>
      </c>
    </row>
    <row r="22" ht="20" customHeight="1">
      <c r="A22" s="26" t="n">
        <v>20</v>
      </c>
      <c r="B22" s="26" t="inlineStr">
        <is>
          <t>0810201</t>
        </is>
      </c>
      <c r="C22" s="35" t="inlineStr">
        <is>
          <t>FISIKA</t>
        </is>
      </c>
      <c r="D22" s="26" t="inlineStr">
        <is>
          <t>S1</t>
        </is>
      </c>
      <c r="E22" s="27" t="n">
        <v>90</v>
      </c>
      <c r="F22" s="27" t="n">
        <v>62</v>
      </c>
      <c r="G22" s="27" t="n">
        <v>36</v>
      </c>
      <c r="H22" s="23">
        <f>E22-G22</f>
        <v/>
      </c>
    </row>
    <row r="23" ht="20" customHeight="1">
      <c r="A23" s="21" t="n">
        <v>21</v>
      </c>
      <c r="B23" s="21" t="inlineStr">
        <is>
          <t>0810301</t>
        </is>
      </c>
      <c r="C23" s="34" t="inlineStr">
        <is>
          <t>KIMIA</t>
        </is>
      </c>
      <c r="D23" s="21" t="inlineStr">
        <is>
          <t>S1</t>
        </is>
      </c>
      <c r="E23" s="22" t="n">
        <v>90</v>
      </c>
      <c r="F23" s="22" t="n">
        <v>137</v>
      </c>
      <c r="G23" s="22" t="n">
        <v>58</v>
      </c>
      <c r="H23" s="23">
        <f>E23-G23</f>
        <v/>
      </c>
    </row>
    <row r="24" ht="20" customHeight="1">
      <c r="A24" s="26" t="n">
        <v>22</v>
      </c>
      <c r="B24" s="26" t="inlineStr">
        <is>
          <t>0810401</t>
        </is>
      </c>
      <c r="C24" s="35" t="inlineStr">
        <is>
          <t>BIOLOGI</t>
        </is>
      </c>
      <c r="D24" s="26" t="inlineStr">
        <is>
          <t>S1</t>
        </is>
      </c>
      <c r="E24" s="27" t="n">
        <v>90</v>
      </c>
      <c r="F24" s="27" t="n">
        <v>214</v>
      </c>
      <c r="G24" s="27" t="n">
        <v>61</v>
      </c>
      <c r="H24" s="23">
        <f>E24-G24</f>
        <v/>
      </c>
    </row>
    <row r="25" ht="20" customHeight="1">
      <c r="A25" s="21" t="n">
        <v>23</v>
      </c>
      <c r="B25" s="21" t="inlineStr">
        <is>
          <t>1110101</t>
        </is>
      </c>
      <c r="C25" s="34" t="inlineStr">
        <is>
          <t>ILMU KELAUTAN</t>
        </is>
      </c>
      <c r="D25" s="21" t="inlineStr">
        <is>
          <t>S1</t>
        </is>
      </c>
      <c r="E25" s="22" t="n">
        <v>180</v>
      </c>
      <c r="F25" s="22" t="n">
        <v>339</v>
      </c>
      <c r="G25" s="22" t="n">
        <v>124</v>
      </c>
      <c r="H25" s="23">
        <f>E25-G25</f>
        <v/>
      </c>
    </row>
    <row r="26" ht="20" customHeight="1">
      <c r="A26" s="26" t="n">
        <v>24</v>
      </c>
      <c r="B26" s="26" t="inlineStr">
        <is>
          <t>1110201</t>
        </is>
      </c>
      <c r="C26" s="35" t="inlineStr">
        <is>
          <t>BUDIDAYA PERAIRAN</t>
        </is>
      </c>
      <c r="D26" s="26" t="inlineStr">
        <is>
          <t>S1</t>
        </is>
      </c>
      <c r="E26" s="27" t="n">
        <v>180</v>
      </c>
      <c r="F26" s="27" t="n">
        <v>169</v>
      </c>
      <c r="G26" s="27" t="n">
        <v>94</v>
      </c>
      <c r="H26" s="23">
        <f>E26-G26</f>
        <v/>
      </c>
    </row>
    <row r="27" ht="20" customHeight="1">
      <c r="A27" s="21" t="n">
        <v>25</v>
      </c>
      <c r="B27" s="21" t="inlineStr">
        <is>
          <t>0410601</t>
        </is>
      </c>
      <c r="C27" s="34" t="inlineStr">
        <is>
          <t>TEKNIK INDUSTRI</t>
        </is>
      </c>
      <c r="D27" s="21" t="inlineStr">
        <is>
          <t>S1</t>
        </is>
      </c>
      <c r="E27" s="22" t="n">
        <v>90</v>
      </c>
      <c r="F27" s="22" t="n">
        <v>657</v>
      </c>
      <c r="G27" s="22" t="n">
        <v>61</v>
      </c>
      <c r="H27" s="23">
        <f>E27-G27</f>
        <v/>
      </c>
    </row>
    <row r="28" ht="20" customHeight="1">
      <c r="A28" s="26" t="n">
        <v>26</v>
      </c>
      <c r="B28" s="26" t="inlineStr">
        <is>
          <t>0810701</t>
        </is>
      </c>
      <c r="C28" s="35" t="inlineStr">
        <is>
          <t>INFORMATIKA</t>
        </is>
      </c>
      <c r="D28" s="26" t="inlineStr">
        <is>
          <t>S1</t>
        </is>
      </c>
      <c r="E28" s="27" t="n">
        <v>90</v>
      </c>
      <c r="F28" s="27" t="n">
        <v>1950</v>
      </c>
      <c r="G28" s="27" t="n">
        <v>78</v>
      </c>
      <c r="H28" s="23">
        <f>E28-G28</f>
        <v/>
      </c>
    </row>
    <row r="29" ht="20" customHeight="1">
      <c r="A29" s="21" t="n">
        <v>27</v>
      </c>
      <c r="B29" s="21" t="inlineStr">
        <is>
          <t>0810901</t>
        </is>
      </c>
      <c r="C29" s="34" t="inlineStr">
        <is>
          <t>FARMASI</t>
        </is>
      </c>
      <c r="D29" s="21" t="inlineStr">
        <is>
          <t>S1</t>
        </is>
      </c>
      <c r="E29" s="22" t="n">
        <v>60</v>
      </c>
      <c r="F29" s="22" t="n">
        <v>2707</v>
      </c>
      <c r="G29" s="22" t="n">
        <v>52</v>
      </c>
      <c r="H29" s="23">
        <f>E29-G29</f>
        <v/>
      </c>
    </row>
    <row r="30" ht="20" customHeight="1">
      <c r="A30" s="26" t="n">
        <v>28</v>
      </c>
      <c r="B30" s="26" t="inlineStr">
        <is>
          <t>0410701</t>
        </is>
      </c>
      <c r="C30" s="35" t="inlineStr">
        <is>
          <t>TEKNIK GEOFISIKA</t>
        </is>
      </c>
      <c r="D30" s="26" t="inlineStr">
        <is>
          <t>S1</t>
        </is>
      </c>
      <c r="E30" s="27" t="n">
        <v>90</v>
      </c>
      <c r="F30" s="27" t="n">
        <v>148</v>
      </c>
      <c r="G30" s="27" t="n">
        <v>56</v>
      </c>
      <c r="H30" s="23">
        <f>E30-G30</f>
        <v/>
      </c>
    </row>
    <row r="31" ht="20" customHeight="1">
      <c r="A31" s="21" t="n">
        <v>29</v>
      </c>
      <c r="B31" s="21" t="inlineStr">
        <is>
          <t>0410801</t>
        </is>
      </c>
      <c r="C31" s="34" t="inlineStr">
        <is>
          <t>TEKNIK PERTAMBANGAN</t>
        </is>
      </c>
      <c r="D31" s="21" t="inlineStr">
        <is>
          <t>S1</t>
        </is>
      </c>
      <c r="E31" s="22" t="n">
        <v>90</v>
      </c>
      <c r="F31" s="22" t="n">
        <v>1086</v>
      </c>
      <c r="G31" s="22" t="n">
        <v>75</v>
      </c>
      <c r="H31" s="23">
        <f>E31-G31</f>
        <v/>
      </c>
    </row>
    <row r="32" ht="20" customHeight="1">
      <c r="A32" s="26" t="n">
        <v>30</v>
      </c>
      <c r="B32" s="26" t="inlineStr">
        <is>
          <t>0810801</t>
        </is>
      </c>
      <c r="C32" s="35" t="inlineStr">
        <is>
          <t>STATISTIKA</t>
        </is>
      </c>
      <c r="D32" s="26" t="inlineStr">
        <is>
          <t>S1</t>
        </is>
      </c>
      <c r="E32" s="27" t="n">
        <v>90</v>
      </c>
      <c r="F32" s="27" t="n">
        <v>527</v>
      </c>
      <c r="G32" s="27" t="n">
        <v>88</v>
      </c>
      <c r="H32" s="23">
        <f>E32-G32</f>
        <v/>
      </c>
    </row>
    <row r="33" ht="20" customHeight="1">
      <c r="A33" s="21" t="n">
        <v>31</v>
      </c>
      <c r="B33" s="21" t="inlineStr">
        <is>
          <t>1110301</t>
        </is>
      </c>
      <c r="C33" s="34" t="inlineStr">
        <is>
          <t>PEMANFAATAN SUMBERDAYA PERIKANAN</t>
        </is>
      </c>
      <c r="D33" s="21" t="inlineStr">
        <is>
          <t>S1</t>
        </is>
      </c>
      <c r="E33" s="22" t="n">
        <v>150</v>
      </c>
      <c r="F33" s="22" t="n">
        <v>141</v>
      </c>
      <c r="G33" s="22" t="n">
        <v>83</v>
      </c>
      <c r="H33" s="23">
        <f>E33-G33</f>
        <v/>
      </c>
    </row>
    <row r="34" ht="20" customHeight="1">
      <c r="A34" s="26" t="n">
        <v>32</v>
      </c>
      <c r="B34" s="26" t="inlineStr">
        <is>
          <t>0510801</t>
        </is>
      </c>
      <c r="C34" s="35" t="inlineStr">
        <is>
          <t>ILMU TANAH</t>
        </is>
      </c>
      <c r="D34" s="26" t="inlineStr">
        <is>
          <t>S1</t>
        </is>
      </c>
      <c r="E34" s="27" t="n">
        <v>90</v>
      </c>
      <c r="F34" s="27" t="n">
        <v>185</v>
      </c>
      <c r="G34" s="27" t="n">
        <v>56</v>
      </c>
      <c r="H34" s="23">
        <f>E34-G34</f>
        <v/>
      </c>
    </row>
    <row r="35" ht="20" customHeight="1">
      <c r="A35" s="21" t="n">
        <v>33</v>
      </c>
      <c r="B35" s="21" t="inlineStr">
        <is>
          <t>0410901</t>
        </is>
      </c>
      <c r="C35" s="34" t="inlineStr">
        <is>
          <t>TEKNIK GEOLOGI</t>
        </is>
      </c>
      <c r="D35" s="21" t="inlineStr">
        <is>
          <t>S1</t>
        </is>
      </c>
      <c r="E35" s="22" t="n">
        <v>80</v>
      </c>
      <c r="F35" s="22" t="n">
        <v>228</v>
      </c>
      <c r="G35" s="22" t="n">
        <v>59</v>
      </c>
      <c r="H35" s="23">
        <f>E35-G35</f>
        <v/>
      </c>
    </row>
    <row r="36" ht="20" customHeight="1">
      <c r="A36" s="26" t="n">
        <v>34</v>
      </c>
      <c r="B36" s="26" t="inlineStr">
        <is>
          <t>0515001</t>
        </is>
      </c>
      <c r="C36" s="35" t="inlineStr">
        <is>
          <t>AGROTEKNOLOGI (PDD GAYO LUES)</t>
        </is>
      </c>
      <c r="D36" s="26" t="inlineStr">
        <is>
          <t>S1</t>
        </is>
      </c>
      <c r="E36" s="27" t="n">
        <v>40</v>
      </c>
      <c r="F36" s="27" t="n">
        <v>36</v>
      </c>
      <c r="G36" s="27" t="n">
        <v>17</v>
      </c>
      <c r="H36" s="23">
        <f>E36-G36</f>
        <v/>
      </c>
    </row>
    <row r="37" ht="20" customHeight="1">
      <c r="A37" s="21" t="n">
        <v>35</v>
      </c>
      <c r="B37" s="21" t="inlineStr">
        <is>
          <t>0615001</t>
        </is>
      </c>
      <c r="C37" s="34" t="inlineStr">
        <is>
          <t>PENDIDIKAN BIOLOGI  (PDD GAYO LUES)</t>
        </is>
      </c>
      <c r="D37" s="21" t="inlineStr">
        <is>
          <t>S1</t>
        </is>
      </c>
      <c r="E37" s="22" t="n">
        <v>50</v>
      </c>
      <c r="F37" s="22" t="n">
        <v>23</v>
      </c>
      <c r="G37" s="22" t="n">
        <v>13</v>
      </c>
      <c r="H37" s="23">
        <f>E37-G37</f>
        <v/>
      </c>
    </row>
    <row r="38" ht="20" customHeight="1">
      <c r="A38" s="26" t="n">
        <v>36</v>
      </c>
      <c r="B38" s="26" t="inlineStr">
        <is>
          <t>0515002</t>
        </is>
      </c>
      <c r="C38" s="35" t="inlineStr">
        <is>
          <t>KEHUTANAN (PDD GAYO LUES)</t>
        </is>
      </c>
      <c r="D38" s="26" t="inlineStr">
        <is>
          <t>S1</t>
        </is>
      </c>
      <c r="E38" s="27" t="n">
        <v>50</v>
      </c>
      <c r="F38" s="27" t="n">
        <v>55</v>
      </c>
      <c r="G38" s="27" t="n">
        <v>18</v>
      </c>
      <c r="H38" s="23">
        <f>E38-G38</f>
        <v/>
      </c>
    </row>
    <row r="39" ht="20" customHeight="1">
      <c r="A39" s="21" t="n">
        <v>37</v>
      </c>
      <c r="B39" s="21" t="inlineStr">
        <is>
          <t>0510901</t>
        </is>
      </c>
      <c r="C39" s="34" t="inlineStr">
        <is>
          <t>PROTEKSI TANAMAN</t>
        </is>
      </c>
      <c r="D39" s="21" t="inlineStr">
        <is>
          <t>S1</t>
        </is>
      </c>
      <c r="E39" s="22" t="n">
        <v>60</v>
      </c>
      <c r="F39" s="22" t="n">
        <v>102</v>
      </c>
      <c r="G39" s="22" t="n">
        <v>37</v>
      </c>
      <c r="H39" s="23">
        <f>E39-G39</f>
        <v/>
      </c>
    </row>
    <row r="40" ht="20" customHeight="1">
      <c r="A40" s="26" t="n">
        <v>38</v>
      </c>
      <c r="B40" s="26" t="inlineStr">
        <is>
          <t>0411001</t>
        </is>
      </c>
      <c r="C40" s="35" t="inlineStr">
        <is>
          <t>PERENCANAAN WILAYAH DAN KOTA</t>
        </is>
      </c>
      <c r="D40" s="26" t="inlineStr">
        <is>
          <t>S1</t>
        </is>
      </c>
      <c r="E40" s="27" t="n">
        <v>90</v>
      </c>
      <c r="F40" s="27" t="n">
        <v>570</v>
      </c>
      <c r="G40" s="27" t="n">
        <v>72</v>
      </c>
      <c r="H40" s="23">
        <f>E40-G40</f>
        <v/>
      </c>
    </row>
    <row r="41" ht="20" customHeight="1">
      <c r="A41" s="21" t="n">
        <v>39</v>
      </c>
      <c r="B41" s="21" t="inlineStr">
        <is>
          <t>0511001</t>
        </is>
      </c>
      <c r="C41" s="34" t="inlineStr">
        <is>
          <t>KEHUTANAN</t>
        </is>
      </c>
      <c r="D41" s="21" t="inlineStr">
        <is>
          <t>S1</t>
        </is>
      </c>
      <c r="E41" s="22" t="n">
        <v>100</v>
      </c>
      <c r="F41" s="22" t="n">
        <v>290</v>
      </c>
      <c r="G41" s="22" t="n">
        <v>64</v>
      </c>
      <c r="H41" s="23">
        <f>E41-G41</f>
        <v/>
      </c>
    </row>
    <row r="42" ht="20" customHeight="1">
      <c r="A42" s="26" t="n">
        <v>40</v>
      </c>
      <c r="B42" s="26" t="inlineStr">
        <is>
          <t>0411101</t>
        </is>
      </c>
      <c r="C42" s="35" t="inlineStr">
        <is>
          <t>TEKNIK KOMPUTER</t>
        </is>
      </c>
      <c r="D42" s="26" t="inlineStr">
        <is>
          <t>S1</t>
        </is>
      </c>
      <c r="E42" s="27" t="n">
        <v>120</v>
      </c>
      <c r="F42" s="27" t="n">
        <v>1404</v>
      </c>
      <c r="G42" s="27" t="n">
        <v>100</v>
      </c>
      <c r="H42" s="23">
        <f>E42-G42</f>
        <v/>
      </c>
    </row>
    <row r="43" ht="20" customHeight="1">
      <c r="A43" s="21" t="n">
        <v>41</v>
      </c>
      <c r="B43" s="21" t="inlineStr">
        <is>
          <t>0110101</t>
        </is>
      </c>
      <c r="C43" s="34" t="inlineStr">
        <is>
          <t>EKONOMI PEMBANGUNAN</t>
        </is>
      </c>
      <c r="D43" s="21" t="inlineStr">
        <is>
          <t>S1</t>
        </is>
      </c>
      <c r="E43" s="22" t="n">
        <v>160</v>
      </c>
      <c r="F43" s="22" t="n">
        <v>609</v>
      </c>
      <c r="G43" s="22" t="n">
        <v>141</v>
      </c>
      <c r="H43" s="23">
        <f>E43-G43</f>
        <v/>
      </c>
    </row>
    <row r="44" ht="20" customHeight="1">
      <c r="A44" s="26" t="n">
        <v>42</v>
      </c>
      <c r="B44" s="26" t="inlineStr">
        <is>
          <t>0110201</t>
        </is>
      </c>
      <c r="C44" s="35" t="inlineStr">
        <is>
          <t>MANAJEMEN</t>
        </is>
      </c>
      <c r="D44" s="26" t="inlineStr">
        <is>
          <t>S1</t>
        </is>
      </c>
      <c r="E44" s="27" t="n">
        <v>260</v>
      </c>
      <c r="F44" s="27" t="n">
        <v>2228</v>
      </c>
      <c r="G44" s="27" t="n">
        <v>227</v>
      </c>
      <c r="H44" s="23">
        <f>E44-G44</f>
        <v/>
      </c>
    </row>
    <row r="45" ht="20" customHeight="1">
      <c r="A45" s="21" t="n">
        <v>43</v>
      </c>
      <c r="B45" s="21" t="inlineStr">
        <is>
          <t>0100301</t>
        </is>
      </c>
      <c r="C45" s="34" t="inlineStr">
        <is>
          <t>AKUNTANSI</t>
        </is>
      </c>
      <c r="D45" s="21" t="inlineStr">
        <is>
          <t>S1</t>
        </is>
      </c>
      <c r="E45" s="22" t="n">
        <v>200</v>
      </c>
      <c r="F45" s="22" t="n">
        <v>1482</v>
      </c>
      <c r="G45" s="22" t="n">
        <v>185</v>
      </c>
      <c r="H45" s="23">
        <f>E45-G45</f>
        <v/>
      </c>
    </row>
    <row r="46" ht="20" customHeight="1">
      <c r="A46" s="26" t="n">
        <v>44</v>
      </c>
      <c r="B46" s="26" t="inlineStr">
        <is>
          <t>0310101</t>
        </is>
      </c>
      <c r="C46" s="35" t="inlineStr">
        <is>
          <t>ILMU HUKUM</t>
        </is>
      </c>
      <c r="D46" s="26" t="inlineStr">
        <is>
          <t>S1</t>
        </is>
      </c>
      <c r="E46" s="27" t="n">
        <v>495</v>
      </c>
      <c r="F46" s="27" t="n">
        <v>2216</v>
      </c>
      <c r="G46" s="27" t="n">
        <v>459</v>
      </c>
      <c r="H46" s="23">
        <f>E46-G46</f>
        <v/>
      </c>
    </row>
    <row r="47" ht="20" customHeight="1">
      <c r="A47" s="21" t="n">
        <v>45</v>
      </c>
      <c r="B47" s="21" t="inlineStr">
        <is>
          <t>0610101</t>
        </is>
      </c>
      <c r="C47" s="34" t="inlineStr">
        <is>
          <t>PENDIDIKAN PANCASILA DAN KEWARGANEGARAAN</t>
        </is>
      </c>
      <c r="D47" s="21" t="inlineStr">
        <is>
          <t>S1</t>
        </is>
      </c>
      <c r="E47" s="22" t="n">
        <v>110</v>
      </c>
      <c r="F47" s="22" t="n">
        <v>546</v>
      </c>
      <c r="G47" s="22" t="n">
        <v>86</v>
      </c>
      <c r="H47" s="23">
        <f>E47-G47</f>
        <v/>
      </c>
    </row>
    <row r="48" ht="20" customHeight="1">
      <c r="A48" s="26" t="n">
        <v>46</v>
      </c>
      <c r="B48" s="26" t="inlineStr">
        <is>
          <t>0610102</t>
        </is>
      </c>
      <c r="C48" s="35" t="inlineStr">
        <is>
          <t>PENDIDIKAN SEJARAH</t>
        </is>
      </c>
      <c r="D48" s="26" t="inlineStr">
        <is>
          <t>S1</t>
        </is>
      </c>
      <c r="E48" s="27" t="n">
        <v>110</v>
      </c>
      <c r="F48" s="27" t="n">
        <v>374</v>
      </c>
      <c r="G48" s="27" t="n">
        <v>69</v>
      </c>
      <c r="H48" s="23">
        <f>E48-G48</f>
        <v/>
      </c>
    </row>
    <row r="49" ht="20" customHeight="1">
      <c r="A49" s="21" t="n">
        <v>47</v>
      </c>
      <c r="B49" s="21" t="inlineStr">
        <is>
          <t>0610103</t>
        </is>
      </c>
      <c r="C49" s="34" t="inlineStr">
        <is>
          <t>PENDIDIKAN EKONOMI</t>
        </is>
      </c>
      <c r="D49" s="21" t="inlineStr">
        <is>
          <t>S1</t>
        </is>
      </c>
      <c r="E49" s="22" t="n">
        <v>110</v>
      </c>
      <c r="F49" s="22" t="n">
        <v>286</v>
      </c>
      <c r="G49" s="22" t="n">
        <v>76</v>
      </c>
      <c r="H49" s="23">
        <f>E49-G49</f>
        <v/>
      </c>
    </row>
    <row r="50" ht="20" customHeight="1">
      <c r="A50" s="26" t="n">
        <v>48</v>
      </c>
      <c r="B50" s="26" t="inlineStr">
        <is>
          <t>0610104</t>
        </is>
      </c>
      <c r="C50" s="35" t="inlineStr">
        <is>
          <t>PENDIDIKAN GEOGRAFI</t>
        </is>
      </c>
      <c r="D50" s="26" t="inlineStr">
        <is>
          <t>S1</t>
        </is>
      </c>
      <c r="E50" s="27" t="n">
        <v>110</v>
      </c>
      <c r="F50" s="27" t="n">
        <v>296</v>
      </c>
      <c r="G50" s="27" t="n">
        <v>82</v>
      </c>
      <c r="H50" s="23">
        <f>E50-G50</f>
        <v/>
      </c>
    </row>
    <row r="51" ht="20" customHeight="1">
      <c r="A51" s="21" t="n">
        <v>49</v>
      </c>
      <c r="B51" s="21" t="inlineStr">
        <is>
          <t>0610201</t>
        </is>
      </c>
      <c r="C51" s="34" t="inlineStr">
        <is>
          <t>PENDIDIKAN BAHASA INDONESIA</t>
        </is>
      </c>
      <c r="D51" s="21" t="inlineStr">
        <is>
          <t>S1</t>
        </is>
      </c>
      <c r="E51" s="22" t="n">
        <v>100</v>
      </c>
      <c r="F51" s="22" t="n">
        <v>648</v>
      </c>
      <c r="G51" s="22" t="n">
        <v>82</v>
      </c>
      <c r="H51" s="23">
        <f>E51-G51</f>
        <v/>
      </c>
    </row>
    <row r="52" ht="20" customHeight="1">
      <c r="A52" s="26" t="n">
        <v>50</v>
      </c>
      <c r="B52" s="26" t="inlineStr">
        <is>
          <t>0610202</t>
        </is>
      </c>
      <c r="C52" s="35" t="inlineStr">
        <is>
          <t>PENDIDIKAN BAHASA INGGRIS</t>
        </is>
      </c>
      <c r="D52" s="26" t="inlineStr">
        <is>
          <t>S1</t>
        </is>
      </c>
      <c r="E52" s="27" t="n">
        <v>120</v>
      </c>
      <c r="F52" s="27" t="n">
        <v>712</v>
      </c>
      <c r="G52" s="27" t="n">
        <v>104</v>
      </c>
      <c r="H52" s="23">
        <f>E52-G52</f>
        <v/>
      </c>
    </row>
    <row r="53" ht="20" customHeight="1">
      <c r="A53" s="21" t="n">
        <v>51</v>
      </c>
      <c r="B53" s="21" t="inlineStr">
        <is>
          <t>0610203</t>
        </is>
      </c>
      <c r="C53" s="34" t="inlineStr">
        <is>
          <t>PENDIDIKAN SENI DRAMA TARI DAN MUSIK</t>
        </is>
      </c>
      <c r="D53" s="21" t="inlineStr">
        <is>
          <t>S1</t>
        </is>
      </c>
      <c r="E53" s="22" t="n">
        <v>125</v>
      </c>
      <c r="F53" s="22" t="n">
        <v>181</v>
      </c>
      <c r="G53" s="22" t="n">
        <v>94</v>
      </c>
      <c r="H53" s="23">
        <f>E53-G53</f>
        <v/>
      </c>
    </row>
    <row r="54" ht="20" customHeight="1">
      <c r="A54" s="26" t="n">
        <v>52</v>
      </c>
      <c r="B54" s="26" t="inlineStr">
        <is>
          <t>0610401</t>
        </is>
      </c>
      <c r="C54" s="35" t="inlineStr">
        <is>
          <t>PENDIDIKAN KESEJAHTERAAN KELUARGA</t>
        </is>
      </c>
      <c r="D54" s="26" t="inlineStr">
        <is>
          <t>S1</t>
        </is>
      </c>
      <c r="E54" s="27" t="n">
        <v>110</v>
      </c>
      <c r="F54" s="27" t="n">
        <v>890</v>
      </c>
      <c r="G54" s="27" t="n">
        <v>100</v>
      </c>
      <c r="H54" s="23">
        <f>E54-G54</f>
        <v/>
      </c>
    </row>
    <row r="55" ht="20" customHeight="1">
      <c r="A55" s="21" t="n">
        <v>53</v>
      </c>
      <c r="B55" s="21" t="inlineStr">
        <is>
          <t>0610402</t>
        </is>
      </c>
      <c r="C55" s="34" t="inlineStr">
        <is>
          <t>PENDIDIKAN JASMANI KESEHATAN DAN REKREASI</t>
        </is>
      </c>
      <c r="D55" s="21" t="inlineStr">
        <is>
          <t>S1</t>
        </is>
      </c>
      <c r="E55" s="22" t="n">
        <v>125</v>
      </c>
      <c r="F55" s="22" t="n">
        <v>380</v>
      </c>
      <c r="G55" s="22" t="n">
        <v>101</v>
      </c>
      <c r="H55" s="23">
        <f>E55-G55</f>
        <v/>
      </c>
    </row>
    <row r="56" ht="20" customHeight="1">
      <c r="A56" s="26" t="n">
        <v>54</v>
      </c>
      <c r="B56" s="26" t="inlineStr">
        <is>
          <t>0610403</t>
        </is>
      </c>
      <c r="C56" s="35" t="inlineStr">
        <is>
          <t>BIMBINGAN KONSELING</t>
        </is>
      </c>
      <c r="D56" s="26" t="inlineStr">
        <is>
          <t>S1</t>
        </is>
      </c>
      <c r="E56" s="27" t="n">
        <v>110</v>
      </c>
      <c r="F56" s="27" t="n">
        <v>1236</v>
      </c>
      <c r="G56" s="27" t="n">
        <v>101</v>
      </c>
      <c r="H56" s="23">
        <f>E56-G56</f>
        <v/>
      </c>
    </row>
    <row r="57" ht="20" customHeight="1">
      <c r="A57" s="21" t="n">
        <v>55</v>
      </c>
      <c r="B57" s="21" t="inlineStr">
        <is>
          <t>0610404</t>
        </is>
      </c>
      <c r="C57" s="34" t="inlineStr">
        <is>
          <t>PENDIDIKAN GURU SEKOLAH DASAR</t>
        </is>
      </c>
      <c r="D57" s="21" t="inlineStr">
        <is>
          <t>S1</t>
        </is>
      </c>
      <c r="E57" s="22" t="n">
        <v>130</v>
      </c>
      <c r="F57" s="22" t="n">
        <v>1730</v>
      </c>
      <c r="G57" s="22" t="n">
        <v>108</v>
      </c>
      <c r="H57" s="23">
        <f>E57-G57</f>
        <v/>
      </c>
    </row>
    <row r="58" ht="20" customHeight="1">
      <c r="A58" s="26" t="n">
        <v>56</v>
      </c>
      <c r="B58" s="26" t="inlineStr">
        <is>
          <t>0710113</t>
        </is>
      </c>
      <c r="C58" s="35" t="inlineStr">
        <is>
          <t>PSIKOLOGI</t>
        </is>
      </c>
      <c r="D58" s="26" t="inlineStr">
        <is>
          <t>S1</t>
        </is>
      </c>
      <c r="E58" s="27" t="n">
        <v>80</v>
      </c>
      <c r="F58" s="27" t="n">
        <v>1437</v>
      </c>
      <c r="G58" s="27" t="n">
        <v>65</v>
      </c>
      <c r="H58" s="23">
        <f>E58-G58</f>
        <v/>
      </c>
    </row>
    <row r="59" ht="20" customHeight="1">
      <c r="A59" s="21" t="n">
        <v>57</v>
      </c>
      <c r="B59" s="21" t="inlineStr">
        <is>
          <t>1010301</t>
        </is>
      </c>
      <c r="C59" s="34" t="inlineStr">
        <is>
          <t>ILMU POLITIK</t>
        </is>
      </c>
      <c r="D59" s="21" t="inlineStr">
        <is>
          <t>S1</t>
        </is>
      </c>
      <c r="E59" s="22" t="n">
        <v>150</v>
      </c>
      <c r="F59" s="22" t="n">
        <v>370</v>
      </c>
      <c r="G59" s="22" t="n">
        <v>120</v>
      </c>
      <c r="H59" s="23">
        <f>E59-G59</f>
        <v/>
      </c>
    </row>
    <row r="60" ht="20" customHeight="1">
      <c r="A60" s="26" t="n">
        <v>58</v>
      </c>
      <c r="B60" s="26" t="inlineStr">
        <is>
          <t>1010101</t>
        </is>
      </c>
      <c r="C60" s="35" t="inlineStr">
        <is>
          <t>SOSIOLOGI</t>
        </is>
      </c>
      <c r="D60" s="26" t="inlineStr">
        <is>
          <t>S1</t>
        </is>
      </c>
      <c r="E60" s="27" t="n">
        <v>150</v>
      </c>
      <c r="F60" s="27" t="n">
        <v>390</v>
      </c>
      <c r="G60" s="27" t="n">
        <v>101</v>
      </c>
      <c r="H60" s="23">
        <f>E60-G60</f>
        <v/>
      </c>
    </row>
    <row r="61" ht="20" customHeight="1">
      <c r="A61" s="21" t="n">
        <v>59</v>
      </c>
      <c r="B61" s="21" t="inlineStr">
        <is>
          <t>1010201</t>
        </is>
      </c>
      <c r="C61" s="34" t="inlineStr">
        <is>
          <t>ILMU KOMUNIKASI</t>
        </is>
      </c>
      <c r="D61" s="21" t="inlineStr">
        <is>
          <t>S1</t>
        </is>
      </c>
      <c r="E61" s="22" t="n">
        <v>150</v>
      </c>
      <c r="F61" s="22" t="n">
        <v>1292</v>
      </c>
      <c r="G61" s="22" t="n">
        <v>136</v>
      </c>
      <c r="H61" s="23">
        <f>E61-G61</f>
        <v/>
      </c>
    </row>
    <row r="62" ht="20" customHeight="1">
      <c r="A62" s="26" t="n">
        <v>60</v>
      </c>
      <c r="B62" s="26" t="inlineStr">
        <is>
          <t>0610421</t>
        </is>
      </c>
      <c r="C62" s="35" t="inlineStr">
        <is>
          <t>PENDIDIKAN GURU PAUD</t>
        </is>
      </c>
      <c r="D62" s="26" t="inlineStr">
        <is>
          <t>S1</t>
        </is>
      </c>
      <c r="E62" s="27" t="n">
        <v>110</v>
      </c>
      <c r="F62" s="27" t="n">
        <v>675</v>
      </c>
      <c r="G62" s="27" t="n">
        <v>78</v>
      </c>
      <c r="H62" s="23">
        <f>E62-G62</f>
        <v/>
      </c>
    </row>
    <row r="63" ht="20" customHeight="1">
      <c r="A63" s="21" t="n">
        <v>61</v>
      </c>
      <c r="B63" s="21" t="inlineStr">
        <is>
          <t>1010401</t>
        </is>
      </c>
      <c r="C63" s="34" t="inlineStr">
        <is>
          <t>ILMU PEMERINTAHAN</t>
        </is>
      </c>
      <c r="D63" s="21" t="inlineStr">
        <is>
          <t>S1</t>
        </is>
      </c>
      <c r="E63" s="22" t="n">
        <v>150</v>
      </c>
      <c r="F63" s="22" t="n">
        <v>602</v>
      </c>
      <c r="G63" s="22" t="n">
        <v>136</v>
      </c>
      <c r="H63" s="23">
        <f>E63-G63</f>
        <v/>
      </c>
    </row>
    <row r="64" ht="20" customHeight="1">
      <c r="A64" s="26" t="n">
        <v>62</v>
      </c>
      <c r="B64" s="26" t="inlineStr">
        <is>
          <t>0110401</t>
        </is>
      </c>
      <c r="C64" s="35" t="inlineStr">
        <is>
          <t>EKONOMI ISLAM</t>
        </is>
      </c>
      <c r="D64" s="26" t="inlineStr">
        <is>
          <t>S1</t>
        </is>
      </c>
      <c r="E64" s="27" t="n">
        <v>160</v>
      </c>
      <c r="F64" s="27" t="n">
        <v>661</v>
      </c>
      <c r="G64" s="27" t="n">
        <v>130</v>
      </c>
      <c r="H64" s="23">
        <f>E64-G64</f>
        <v/>
      </c>
    </row>
    <row r="65" ht="20" customHeight="1">
      <c r="A65" s="21" t="n">
        <v>63</v>
      </c>
      <c r="B65" s="21" t="inlineStr">
        <is>
          <t>0115001</t>
        </is>
      </c>
      <c r="C65" s="34" t="inlineStr">
        <is>
          <t>MANAJEMEN (PDD GAYO LUES)</t>
        </is>
      </c>
      <c r="D65" s="21" t="inlineStr">
        <is>
          <t>S1</t>
        </is>
      </c>
      <c r="E65" s="22" t="n">
        <v>60</v>
      </c>
      <c r="F65" s="22" t="n">
        <v>60</v>
      </c>
      <c r="G65" s="22" t="n">
        <v>26</v>
      </c>
      <c r="H65" s="23">
        <f>E65-G65</f>
        <v/>
      </c>
    </row>
    <row r="66" ht="20" customHeight="1">
      <c r="A66" s="26" t="n">
        <v>64</v>
      </c>
      <c r="B66" s="26" t="inlineStr">
        <is>
          <t>0170301</t>
        </is>
      </c>
      <c r="C66" s="35" t="inlineStr">
        <is>
          <t>AKUNTANSI PERPAJAKAN</t>
        </is>
      </c>
      <c r="D66" s="26" t="inlineStr">
        <is>
          <t>D4</t>
        </is>
      </c>
      <c r="E66" s="27" t="n">
        <v>40</v>
      </c>
      <c r="F66" s="27" t="n">
        <v>139</v>
      </c>
      <c r="G66" s="27" t="n">
        <v>21</v>
      </c>
      <c r="H66" s="23">
        <f>E66-G66</f>
        <v/>
      </c>
    </row>
    <row r="67" ht="20" customHeight="1">
      <c r="A67" s="21" t="n">
        <v>65</v>
      </c>
      <c r="B67" s="21" t="inlineStr">
        <is>
          <t>0200101</t>
        </is>
      </c>
      <c r="C67" s="34" t="inlineStr">
        <is>
          <t>KESEHATAN HEWAN</t>
        </is>
      </c>
      <c r="D67" s="21" t="inlineStr">
        <is>
          <t>D3</t>
        </is>
      </c>
      <c r="E67" s="22" t="n">
        <v>80</v>
      </c>
      <c r="F67" s="22" t="n">
        <v>33</v>
      </c>
      <c r="G67" s="22" t="n">
        <v>62</v>
      </c>
      <c r="H67" s="23">
        <f>E67-G67</f>
        <v/>
      </c>
    </row>
    <row r="68" ht="20" customHeight="1">
      <c r="A68" s="26" t="n">
        <v>66</v>
      </c>
      <c r="B68" s="26" t="inlineStr">
        <is>
          <t>0500201</t>
        </is>
      </c>
      <c r="C68" s="35" t="inlineStr">
        <is>
          <t>MANAJEMEN AGRIBISNIS</t>
        </is>
      </c>
      <c r="D68" s="26" t="inlineStr">
        <is>
          <t>D3</t>
        </is>
      </c>
      <c r="E68" s="27" t="n">
        <v>100</v>
      </c>
      <c r="F68" s="27" t="n">
        <v>33</v>
      </c>
      <c r="G68" s="27" t="n">
        <v>18</v>
      </c>
      <c r="H68" s="23">
        <f>E68-G68</f>
        <v/>
      </c>
    </row>
    <row r="69" ht="20" customHeight="1">
      <c r="A69" s="21" t="n">
        <v>67</v>
      </c>
      <c r="B69" s="21" t="inlineStr">
        <is>
          <t>0400501</t>
        </is>
      </c>
      <c r="C69" s="34" t="inlineStr">
        <is>
          <t>TEKNIK LISTRIK</t>
        </is>
      </c>
      <c r="D69" s="21" t="inlineStr">
        <is>
          <t>D3</t>
        </is>
      </c>
      <c r="E69" s="22" t="n">
        <v>30</v>
      </c>
      <c r="F69" s="22" t="n">
        <v>18</v>
      </c>
      <c r="G69" s="22" t="n">
        <v>10</v>
      </c>
      <c r="H69" s="23">
        <f>E69-G69</f>
        <v/>
      </c>
    </row>
    <row r="70" ht="20" customHeight="1">
      <c r="A70" s="26" t="n">
        <v>68</v>
      </c>
      <c r="B70" s="26" t="inlineStr">
        <is>
          <t>0500401</t>
        </is>
      </c>
      <c r="C70" s="35" t="inlineStr">
        <is>
          <t>BUDIDAYA PETERNAKAN</t>
        </is>
      </c>
      <c r="D70" s="26" t="inlineStr">
        <is>
          <t>D3</t>
        </is>
      </c>
      <c r="E70" s="27" t="n">
        <v>40</v>
      </c>
      <c r="F70" s="27" t="n">
        <v>19</v>
      </c>
      <c r="G70" s="27" t="n">
        <v>9</v>
      </c>
      <c r="H70" s="23">
        <f>E70-G70</f>
        <v/>
      </c>
    </row>
    <row r="71" ht="20" customHeight="1">
      <c r="A71" s="21" t="n">
        <v>69</v>
      </c>
      <c r="B71" s="21" t="inlineStr">
        <is>
          <t>0400201</t>
        </is>
      </c>
      <c r="C71" s="34" t="inlineStr">
        <is>
          <t>TEKNIK MESIN</t>
        </is>
      </c>
      <c r="D71" s="21" t="inlineStr">
        <is>
          <t>D3</t>
        </is>
      </c>
      <c r="E71" s="22" t="n">
        <v>30</v>
      </c>
      <c r="F71" s="22" t="n">
        <v>34</v>
      </c>
      <c r="G71" s="22" t="n">
        <v>12</v>
      </c>
      <c r="H71" s="23">
        <f>E71-G71</f>
        <v/>
      </c>
    </row>
    <row r="72" ht="20" customHeight="1">
      <c r="A72" s="26" t="n">
        <v>70</v>
      </c>
      <c r="B72" s="26" t="inlineStr">
        <is>
          <t>0400101</t>
        </is>
      </c>
      <c r="C72" s="35" t="inlineStr">
        <is>
          <t>TEKNIK SIPIL</t>
        </is>
      </c>
      <c r="D72" s="26" t="inlineStr">
        <is>
          <t>D3</t>
        </is>
      </c>
      <c r="E72" s="27" t="n">
        <v>40</v>
      </c>
      <c r="F72" s="27" t="n">
        <v>11</v>
      </c>
      <c r="G72" s="27" t="n">
        <v>0</v>
      </c>
      <c r="H72" s="23">
        <f>E72-G72</f>
        <v/>
      </c>
    </row>
    <row r="73" ht="20" customHeight="1">
      <c r="A73" s="21" t="n">
        <v>71</v>
      </c>
      <c r="B73" s="21" t="inlineStr">
        <is>
          <t>0100202</t>
        </is>
      </c>
      <c r="C73" s="34" t="inlineStr">
        <is>
          <t>SEKRETARI</t>
        </is>
      </c>
      <c r="D73" s="21" t="inlineStr">
        <is>
          <t>D3</t>
        </is>
      </c>
      <c r="E73" s="22" t="n">
        <v>60</v>
      </c>
      <c r="F73" s="22" t="n">
        <v>53</v>
      </c>
      <c r="G73" s="22" t="n">
        <v>28</v>
      </c>
      <c r="H73" s="23">
        <f>E73-G73</f>
        <v/>
      </c>
    </row>
    <row r="74" ht="20" customHeight="1">
      <c r="A74" s="26" t="n">
        <v>72</v>
      </c>
      <c r="B74" s="26" t="inlineStr">
        <is>
          <t>0100101</t>
        </is>
      </c>
      <c r="C74" s="35" t="inlineStr">
        <is>
          <t>MANAJEMEN PERUSAHAAN</t>
        </is>
      </c>
      <c r="D74" s="26" t="inlineStr">
        <is>
          <t>D3</t>
        </is>
      </c>
      <c r="E74" s="27" t="n">
        <v>50</v>
      </c>
      <c r="F74" s="27" t="n">
        <v>9</v>
      </c>
      <c r="G74" s="27" t="n">
        <v>9</v>
      </c>
      <c r="H74" s="23">
        <f>E74-G74</f>
        <v/>
      </c>
    </row>
    <row r="75" ht="20" customHeight="1">
      <c r="A75" s="21" t="n">
        <v>73</v>
      </c>
      <c r="B75" s="21" t="inlineStr">
        <is>
          <t>0100301</t>
        </is>
      </c>
      <c r="C75" s="34" t="inlineStr">
        <is>
          <t>AKUNTANSI</t>
        </is>
      </c>
      <c r="D75" s="21" t="inlineStr">
        <is>
          <t>D3</t>
        </is>
      </c>
      <c r="E75" s="22" t="n">
        <v>50</v>
      </c>
      <c r="F75" s="22" t="n">
        <v>31</v>
      </c>
      <c r="G75" s="22" t="n">
        <v>19</v>
      </c>
      <c r="H75" s="23">
        <f>E75-G75</f>
        <v/>
      </c>
    </row>
    <row r="76" ht="20" customHeight="1">
      <c r="A76" s="26" t="n">
        <v>74</v>
      </c>
      <c r="B76" s="26" t="inlineStr">
        <is>
          <t>0100203</t>
        </is>
      </c>
      <c r="C76" s="35" t="inlineStr">
        <is>
          <t>KEUANGAN DAN PERBANKAN</t>
        </is>
      </c>
      <c r="D76" s="26" t="inlineStr">
        <is>
          <t>D3</t>
        </is>
      </c>
      <c r="E76" s="27" t="n">
        <v>35</v>
      </c>
      <c r="F76" s="27" t="n">
        <v>11</v>
      </c>
      <c r="G76" s="27" t="n">
        <v>0</v>
      </c>
      <c r="H76" s="23">
        <f>E76-G76</f>
        <v/>
      </c>
    </row>
    <row r="77" ht="20" customHeight="1">
      <c r="A77" s="21" t="n">
        <v>75</v>
      </c>
      <c r="B77" s="21" t="inlineStr">
        <is>
          <t>0800701</t>
        </is>
      </c>
      <c r="C77" s="34" t="inlineStr">
        <is>
          <t>MANAJEMEN INFORMATIKA</t>
        </is>
      </c>
      <c r="D77" s="21" t="inlineStr">
        <is>
          <t>D3</t>
        </is>
      </c>
      <c r="E77" s="22" t="n">
        <v>80</v>
      </c>
      <c r="F77" s="22" t="n">
        <v>50</v>
      </c>
      <c r="G77" s="22" t="n">
        <v>32</v>
      </c>
      <c r="H77" s="23">
        <f>E77-G77</f>
        <v/>
      </c>
    </row>
    <row r="78" ht="20" customHeight="1">
      <c r="A78" s="26" t="n">
        <v>76</v>
      </c>
      <c r="B78" s="26" t="inlineStr">
        <is>
          <t>1110401</t>
        </is>
      </c>
      <c r="C78" s="35" t="inlineStr">
        <is>
          <t>TEKNOLOGI INDUSTRI HASIL PERIKANAN</t>
        </is>
      </c>
      <c r="D78" s="26" t="inlineStr">
        <is>
          <t>S1</t>
        </is>
      </c>
      <c r="E78" s="27" t="n">
        <v>80</v>
      </c>
      <c r="F78" s="27" t="n">
        <v>75</v>
      </c>
      <c r="G78" s="27" t="n">
        <v>36</v>
      </c>
      <c r="H78" s="23">
        <f>E78-G78</f>
        <v/>
      </c>
    </row>
    <row r="79" ht="20" customHeight="1">
      <c r="A79" s="21" t="n">
        <v>77</v>
      </c>
      <c r="B79" s="21" t="inlineStr">
        <is>
          <t>0411401</t>
        </is>
      </c>
      <c r="C79" s="34" t="inlineStr">
        <is>
          <t>TEKNIK LINGKUNGAN</t>
        </is>
      </c>
      <c r="D79" s="21" t="inlineStr">
        <is>
          <t>S1</t>
        </is>
      </c>
      <c r="E79" s="22" t="n">
        <v>0</v>
      </c>
      <c r="F79" s="22" t="n">
        <v>0</v>
      </c>
      <c r="G79" s="22" t="n">
        <v>0</v>
      </c>
      <c r="H79" s="23">
        <f>E79-G79</f>
        <v/>
      </c>
    </row>
    <row r="80" ht="20" customHeight="1">
      <c r="A80" s="26" t="n">
        <v>78</v>
      </c>
      <c r="B80" s="26" t="inlineStr">
        <is>
          <t>0411501</t>
        </is>
      </c>
      <c r="C80" s="35" t="inlineStr">
        <is>
          <t>TEKNIK SUMBER DAYA AIR</t>
        </is>
      </c>
      <c r="D80" s="26" t="inlineStr">
        <is>
          <t>S1</t>
        </is>
      </c>
      <c r="E80" s="27" t="n">
        <v>0</v>
      </c>
      <c r="F80" s="27" t="n">
        <v>0</v>
      </c>
      <c r="G80" s="27" t="n">
        <v>0</v>
      </c>
      <c r="H80" s="23">
        <f>E80-G80</f>
        <v/>
      </c>
    </row>
    <row r="81" ht="20" customHeight="1">
      <c r="A81" s="21" t="n">
        <v>79</v>
      </c>
      <c r="B81" s="21" t="inlineStr">
        <is>
          <t>0110501</t>
        </is>
      </c>
      <c r="C81" s="34" t="inlineStr">
        <is>
          <t>BISNIS DIGITAL</t>
        </is>
      </c>
      <c r="D81" s="21" t="inlineStr">
        <is>
          <t>S1</t>
        </is>
      </c>
      <c r="E81" s="22" t="n">
        <v>0</v>
      </c>
      <c r="F81" s="22" t="n">
        <v>0</v>
      </c>
      <c r="G81" s="22" t="n">
        <v>0</v>
      </c>
      <c r="H81" s="23">
        <f>E81-G81</f>
        <v/>
      </c>
    </row>
    <row r="82" ht="20" customHeight="1">
      <c r="A82" s="26" t="n">
        <v>80</v>
      </c>
      <c r="B82" s="26" t="inlineStr">
        <is>
          <t>0411601</t>
        </is>
      </c>
      <c r="C82" s="35" t="inlineStr">
        <is>
          <t>TEKNIK PERMINYAKAN</t>
        </is>
      </c>
      <c r="D82" s="26" t="inlineStr">
        <is>
          <t>S1</t>
        </is>
      </c>
      <c r="E82" s="27" t="n">
        <v>0</v>
      </c>
      <c r="F82" s="27" t="n">
        <v>0</v>
      </c>
      <c r="G82" s="27" t="n">
        <v>0</v>
      </c>
      <c r="H82" s="23">
        <f>E82-G82</f>
        <v/>
      </c>
    </row>
    <row r="83" ht="20" customHeight="1">
      <c r="A83" s="21" t="n">
        <v>81</v>
      </c>
      <c r="B83" s="21" t="inlineStr">
        <is>
          <t>0910101</t>
        </is>
      </c>
      <c r="C83" s="34" t="inlineStr">
        <is>
          <t>HUBUNGAN INTERNASIONAL</t>
        </is>
      </c>
      <c r="D83" s="21" t="inlineStr">
        <is>
          <t>S1</t>
        </is>
      </c>
      <c r="E83" s="22" t="n">
        <v>0</v>
      </c>
      <c r="F83" s="22" t="n">
        <v>0</v>
      </c>
      <c r="G83" s="22" t="n">
        <v>0</v>
      </c>
      <c r="H83" s="23">
        <f>E83-G83</f>
        <v/>
      </c>
    </row>
    <row r="84" ht="24" customHeight="1">
      <c r="A84" s="30" t="inlineStr">
        <is>
          <t>TOTAL KESELURUHAN UNIVERSITAS</t>
        </is>
      </c>
      <c r="B84" s="61" t="n"/>
      <c r="C84" s="61" t="n"/>
      <c r="D84" s="61" t="n"/>
      <c r="E84" s="31">
        <f>SUM(E3:E83)</f>
        <v/>
      </c>
      <c r="F84" s="31">
        <f>SUM(F3:F83)</f>
        <v/>
      </c>
      <c r="G84" s="31">
        <f>SUM(G3:G83)</f>
        <v/>
      </c>
      <c r="H84" s="31">
        <f>SUM(H3:H83)</f>
        <v/>
      </c>
    </row>
  </sheetData>
  <mergeCells count="2">
    <mergeCell ref="A84:D84"/>
    <mergeCell ref="E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4"/>
  <sheetViews>
    <sheetView showGridLines="1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10" customWidth="1" min="4" max="4"/>
    <col width="20" customWidth="1" min="5" max="5"/>
    <col width="16" customWidth="1" min="6" max="6"/>
    <col width="18" customWidth="1" min="7" max="7"/>
    <col width="15" customWidth="1" min="8" max="8"/>
  </cols>
  <sheetData>
    <row r="1" ht="24" customHeight="1">
      <c r="A1" s="62" t="inlineStr">
        <is>
          <t>No</t>
        </is>
      </c>
      <c r="B1" s="62" t="inlineStr">
        <is>
          <t>Kode Prodi</t>
        </is>
      </c>
      <c r="C1" s="62" t="inlineStr">
        <is>
          <t>Nama Prodi</t>
        </is>
      </c>
      <c r="D1" s="62" t="inlineStr">
        <is>
          <t>Jenjang</t>
        </is>
      </c>
      <c r="E1" s="63" t="inlineStr">
        <is>
          <t>2022</t>
        </is>
      </c>
      <c r="F1" s="47" t="n"/>
      <c r="G1" s="47" t="n"/>
      <c r="H1" s="47" t="n"/>
    </row>
    <row r="2" ht="24" customHeight="1">
      <c r="A2" s="20" t="inlineStr">
        <is>
          <t>No</t>
        </is>
      </c>
      <c r="B2" s="20" t="inlineStr">
        <is>
          <t>Kode Prodi</t>
        </is>
      </c>
      <c r="C2" s="20" t="inlineStr">
        <is>
          <t>Nama Prodi</t>
        </is>
      </c>
      <c r="D2" s="20" t="inlineStr">
        <is>
          <t>Jenjang</t>
        </is>
      </c>
      <c r="E2" s="70" t="inlineStr">
        <is>
          <t>Total Daya Tampung</t>
        </is>
      </c>
      <c r="F2" s="70" t="inlineStr">
        <is>
          <t>Total Peminat</t>
        </is>
      </c>
      <c r="G2" s="70" t="inlineStr">
        <is>
          <t>Total Daftar Ulang</t>
        </is>
      </c>
      <c r="H2" s="52" t="inlineStr">
        <is>
          <t>Sisa Kuota</t>
        </is>
      </c>
    </row>
    <row r="3" ht="20" customHeight="1">
      <c r="A3" s="21" t="n">
        <v>1</v>
      </c>
      <c r="B3" s="21" t="inlineStr">
        <is>
          <t>0210101</t>
        </is>
      </c>
      <c r="C3" s="34" t="inlineStr">
        <is>
          <t>PENDIDIKAN DOKTER HEWAN</t>
        </is>
      </c>
      <c r="D3" s="21" t="inlineStr">
        <is>
          <t>S1</t>
        </is>
      </c>
      <c r="E3" s="22" t="n">
        <v>220</v>
      </c>
      <c r="F3" s="22" t="n">
        <v>1344</v>
      </c>
      <c r="G3" s="22" t="n">
        <v>193</v>
      </c>
      <c r="H3" s="23">
        <f>E3-G3</f>
        <v/>
      </c>
    </row>
    <row r="4" ht="20" customHeight="1">
      <c r="A4" s="26" t="n">
        <v>2</v>
      </c>
      <c r="B4" s="26" t="inlineStr">
        <is>
          <t>0400101</t>
        </is>
      </c>
      <c r="C4" s="35" t="inlineStr">
        <is>
          <t>TEKNIK SIPIL</t>
        </is>
      </c>
      <c r="D4" s="26" t="inlineStr">
        <is>
          <t>S1</t>
        </is>
      </c>
      <c r="E4" s="27" t="n">
        <v>180</v>
      </c>
      <c r="F4" s="27" t="n">
        <v>1231</v>
      </c>
      <c r="G4" s="27" t="n">
        <v>154</v>
      </c>
      <c r="H4" s="23">
        <f>E4-G4</f>
        <v/>
      </c>
    </row>
    <row r="5" ht="20" customHeight="1">
      <c r="A5" s="21" t="n">
        <v>3</v>
      </c>
      <c r="B5" s="21" t="inlineStr">
        <is>
          <t>0400201</t>
        </is>
      </c>
      <c r="C5" s="34" t="inlineStr">
        <is>
          <t>TEKNIK MESIN</t>
        </is>
      </c>
      <c r="D5" s="21" t="inlineStr">
        <is>
          <t>S1</t>
        </is>
      </c>
      <c r="E5" s="22" t="n">
        <v>140</v>
      </c>
      <c r="F5" s="22" t="n">
        <v>442</v>
      </c>
      <c r="G5" s="22" t="n">
        <v>96</v>
      </c>
      <c r="H5" s="23">
        <f>E5-G5</f>
        <v/>
      </c>
    </row>
    <row r="6" ht="20" customHeight="1">
      <c r="A6" s="26" t="n">
        <v>4</v>
      </c>
      <c r="B6" s="26" t="inlineStr">
        <is>
          <t>0410301</t>
        </is>
      </c>
      <c r="C6" s="35" t="inlineStr">
        <is>
          <t>TEKNIK KIMIA</t>
        </is>
      </c>
      <c r="D6" s="26" t="inlineStr">
        <is>
          <t>S1</t>
        </is>
      </c>
      <c r="E6" s="27" t="n">
        <v>140</v>
      </c>
      <c r="F6" s="27" t="n">
        <v>344</v>
      </c>
      <c r="G6" s="27" t="n">
        <v>96</v>
      </c>
      <c r="H6" s="23">
        <f>E6-G6</f>
        <v/>
      </c>
    </row>
    <row r="7" ht="20" customHeight="1">
      <c r="A7" s="21" t="n">
        <v>5</v>
      </c>
      <c r="B7" s="21" t="inlineStr">
        <is>
          <t>0410401</t>
        </is>
      </c>
      <c r="C7" s="34" t="inlineStr">
        <is>
          <t>ARSITEKTUR</t>
        </is>
      </c>
      <c r="D7" s="21" t="inlineStr">
        <is>
          <t>S1</t>
        </is>
      </c>
      <c r="E7" s="22" t="n">
        <v>140</v>
      </c>
      <c r="F7" s="22" t="n">
        <v>720</v>
      </c>
      <c r="G7" s="22" t="n">
        <v>116</v>
      </c>
      <c r="H7" s="23">
        <f>E7-G7</f>
        <v/>
      </c>
    </row>
    <row r="8" ht="20" customHeight="1">
      <c r="A8" s="26" t="n">
        <v>6</v>
      </c>
      <c r="B8" s="26" t="inlineStr">
        <is>
          <t>0410501</t>
        </is>
      </c>
      <c r="C8" s="35" t="inlineStr">
        <is>
          <t>TEKNIK ELEKTRO</t>
        </is>
      </c>
      <c r="D8" s="26" t="inlineStr">
        <is>
          <t>S1</t>
        </is>
      </c>
      <c r="E8" s="27" t="n">
        <v>140</v>
      </c>
      <c r="F8" s="27" t="n">
        <v>449</v>
      </c>
      <c r="G8" s="27" t="n">
        <v>87</v>
      </c>
      <c r="H8" s="23">
        <f>E8-G8</f>
        <v/>
      </c>
    </row>
    <row r="9" ht="20" customHeight="1">
      <c r="A9" s="21" t="n">
        <v>7</v>
      </c>
      <c r="B9" s="21" t="inlineStr">
        <is>
          <t>0510105</t>
        </is>
      </c>
      <c r="C9" s="34" t="inlineStr">
        <is>
          <t>AGROTEKNOLOGI</t>
        </is>
      </c>
      <c r="D9" s="21" t="inlineStr">
        <is>
          <t>S1</t>
        </is>
      </c>
      <c r="E9" s="22" t="n">
        <v>120</v>
      </c>
      <c r="F9" s="22" t="n">
        <v>528</v>
      </c>
      <c r="G9" s="22" t="n">
        <v>93</v>
      </c>
      <c r="H9" s="23">
        <f>E9-G9</f>
        <v/>
      </c>
    </row>
    <row r="10" ht="20" customHeight="1">
      <c r="A10" s="26" t="n">
        <v>8</v>
      </c>
      <c r="B10" s="26" t="inlineStr">
        <is>
          <t>0510201</t>
        </is>
      </c>
      <c r="C10" s="35" t="inlineStr">
        <is>
          <t>AGRIBISNIS</t>
        </is>
      </c>
      <c r="D10" s="26" t="inlineStr">
        <is>
          <t>S1</t>
        </is>
      </c>
      <c r="E10" s="27" t="n">
        <v>110</v>
      </c>
      <c r="F10" s="27" t="n">
        <v>875</v>
      </c>
      <c r="G10" s="27" t="n">
        <v>98</v>
      </c>
      <c r="H10" s="23">
        <f>E10-G10</f>
        <v/>
      </c>
    </row>
    <row r="11" ht="20" customHeight="1">
      <c r="A11" s="21" t="n">
        <v>9</v>
      </c>
      <c r="B11" s="21" t="inlineStr">
        <is>
          <t>0510401</t>
        </is>
      </c>
      <c r="C11" s="34" t="inlineStr">
        <is>
          <t>PETERNAKAN</t>
        </is>
      </c>
      <c r="D11" s="21" t="inlineStr">
        <is>
          <t>S1</t>
        </is>
      </c>
      <c r="E11" s="22" t="n">
        <v>118</v>
      </c>
      <c r="F11" s="22" t="n">
        <v>331</v>
      </c>
      <c r="G11" s="22" t="n">
        <v>81</v>
      </c>
      <c r="H11" s="23">
        <f>E11-G11</f>
        <v/>
      </c>
    </row>
    <row r="12" ht="20" customHeight="1">
      <c r="A12" s="26" t="n">
        <v>10</v>
      </c>
      <c r="B12" s="26" t="inlineStr">
        <is>
          <t>0510501</t>
        </is>
      </c>
      <c r="C12" s="35" t="inlineStr">
        <is>
          <t>TEKNOLOGI HASIL PERTANIAN</t>
        </is>
      </c>
      <c r="D12" s="26" t="inlineStr">
        <is>
          <t>S1</t>
        </is>
      </c>
      <c r="E12" s="27" t="n">
        <v>80</v>
      </c>
      <c r="F12" s="27" t="n">
        <v>291</v>
      </c>
      <c r="G12" s="27" t="n">
        <v>52</v>
      </c>
      <c r="H12" s="23">
        <f>E12-G12</f>
        <v/>
      </c>
    </row>
    <row r="13" ht="20" customHeight="1">
      <c r="A13" s="21" t="n">
        <v>11</v>
      </c>
      <c r="B13" s="21" t="inlineStr">
        <is>
          <t>0510601</t>
        </is>
      </c>
      <c r="C13" s="34" t="inlineStr">
        <is>
          <t>TEKNIK PERTANIAN</t>
        </is>
      </c>
      <c r="D13" s="21" t="inlineStr">
        <is>
          <t>S1</t>
        </is>
      </c>
      <c r="E13" s="22" t="n">
        <v>140</v>
      </c>
      <c r="F13" s="22" t="n">
        <v>515</v>
      </c>
      <c r="G13" s="22" t="n">
        <v>93</v>
      </c>
      <c r="H13" s="23">
        <f>E13-G13</f>
        <v/>
      </c>
    </row>
    <row r="14" ht="20" customHeight="1">
      <c r="A14" s="26" t="n">
        <v>12</v>
      </c>
      <c r="B14" s="26" t="inlineStr">
        <is>
          <t>0610301</t>
        </is>
      </c>
      <c r="C14" s="35" t="inlineStr">
        <is>
          <t>PENDIDIKAN BIOLOGI</t>
        </is>
      </c>
      <c r="D14" s="26" t="inlineStr">
        <is>
          <t>S1</t>
        </is>
      </c>
      <c r="E14" s="27" t="n">
        <v>120</v>
      </c>
      <c r="F14" s="27" t="n">
        <v>550</v>
      </c>
      <c r="G14" s="27" t="n">
        <v>84</v>
      </c>
      <c r="H14" s="23">
        <f>E14-G14</f>
        <v/>
      </c>
    </row>
    <row r="15" ht="20" customHeight="1">
      <c r="A15" s="21" t="n">
        <v>13</v>
      </c>
      <c r="B15" s="21" t="inlineStr">
        <is>
          <t>0610302</t>
        </is>
      </c>
      <c r="C15" s="34" t="inlineStr">
        <is>
          <t>PENDIDIKAN MATEMATIKA</t>
        </is>
      </c>
      <c r="D15" s="21" t="inlineStr">
        <is>
          <t>S1</t>
        </is>
      </c>
      <c r="E15" s="22" t="n">
        <v>120</v>
      </c>
      <c r="F15" s="22" t="n">
        <v>473</v>
      </c>
      <c r="G15" s="22" t="n">
        <v>82</v>
      </c>
      <c r="H15" s="23">
        <f>E15-G15</f>
        <v/>
      </c>
    </row>
    <row r="16" ht="20" customHeight="1">
      <c r="A16" s="26" t="n">
        <v>14</v>
      </c>
      <c r="B16" s="26" t="inlineStr">
        <is>
          <t>0610303</t>
        </is>
      </c>
      <c r="C16" s="35" t="inlineStr">
        <is>
          <t>PENDIDIKAN FISIKA</t>
        </is>
      </c>
      <c r="D16" s="26" t="inlineStr">
        <is>
          <t>S1</t>
        </is>
      </c>
      <c r="E16" s="27" t="n">
        <v>100</v>
      </c>
      <c r="F16" s="27" t="n">
        <v>175</v>
      </c>
      <c r="G16" s="27" t="n">
        <v>65</v>
      </c>
      <c r="H16" s="23">
        <f>E16-G16</f>
        <v/>
      </c>
    </row>
    <row r="17" ht="20" customHeight="1">
      <c r="A17" s="21" t="n">
        <v>15</v>
      </c>
      <c r="B17" s="21" t="inlineStr">
        <is>
          <t>0610304</t>
        </is>
      </c>
      <c r="C17" s="34" t="inlineStr">
        <is>
          <t>PENDIDIKAN KIMIA</t>
        </is>
      </c>
      <c r="D17" s="21" t="inlineStr">
        <is>
          <t>S1</t>
        </is>
      </c>
      <c r="E17" s="22" t="n">
        <v>100</v>
      </c>
      <c r="F17" s="22" t="n">
        <v>180</v>
      </c>
      <c r="G17" s="22" t="n">
        <v>64</v>
      </c>
      <c r="H17" s="23">
        <f>E17-G17</f>
        <v/>
      </c>
    </row>
    <row r="18" ht="20" customHeight="1">
      <c r="A18" s="26" t="n">
        <v>16</v>
      </c>
      <c r="B18" s="26" t="inlineStr">
        <is>
          <t>0710101</t>
        </is>
      </c>
      <c r="C18" s="35" t="inlineStr">
        <is>
          <t>PENDIDIKAN DOKTER</t>
        </is>
      </c>
      <c r="D18" s="26" t="inlineStr">
        <is>
          <t>S1</t>
        </is>
      </c>
      <c r="E18" s="27" t="n">
        <v>250</v>
      </c>
      <c r="F18" s="27" t="n">
        <v>4092</v>
      </c>
      <c r="G18" s="27" t="n">
        <v>258</v>
      </c>
      <c r="H18" s="23">
        <f>E18-G18</f>
        <v/>
      </c>
    </row>
    <row r="19" ht="20" customHeight="1">
      <c r="A19" s="21" t="n">
        <v>17</v>
      </c>
      <c r="B19" s="21" t="inlineStr">
        <is>
          <t>1210101</t>
        </is>
      </c>
      <c r="C19" s="34" t="inlineStr">
        <is>
          <t>ILMU KEPERAWATAN</t>
        </is>
      </c>
      <c r="D19" s="21" t="inlineStr">
        <is>
          <t>S1</t>
        </is>
      </c>
      <c r="E19" s="22" t="n">
        <v>160</v>
      </c>
      <c r="F19" s="22" t="n">
        <v>2266</v>
      </c>
      <c r="G19" s="22" t="n">
        <v>127</v>
      </c>
      <c r="H19" s="23">
        <f>E19-G19</f>
        <v/>
      </c>
    </row>
    <row r="20" ht="20" customHeight="1">
      <c r="A20" s="26" t="n">
        <v>18</v>
      </c>
      <c r="B20" s="26" t="inlineStr">
        <is>
          <t>1310101</t>
        </is>
      </c>
      <c r="C20" s="35" t="inlineStr">
        <is>
          <t>PENDIDIKAN DOKTER GIGI</t>
        </is>
      </c>
      <c r="D20" s="26" t="inlineStr">
        <is>
          <t>S1</t>
        </is>
      </c>
      <c r="E20" s="27" t="n">
        <v>80</v>
      </c>
      <c r="F20" s="27" t="n">
        <v>1571</v>
      </c>
      <c r="G20" s="27" t="n">
        <v>82</v>
      </c>
      <c r="H20" s="23">
        <f>E20-G20</f>
        <v/>
      </c>
    </row>
    <row r="21" ht="20" customHeight="1">
      <c r="A21" s="21" t="n">
        <v>19</v>
      </c>
      <c r="B21" s="21" t="inlineStr">
        <is>
          <t>0810101</t>
        </is>
      </c>
      <c r="C21" s="34" t="inlineStr">
        <is>
          <t>MATEMATIKA</t>
        </is>
      </c>
      <c r="D21" s="21" t="inlineStr">
        <is>
          <t>S1</t>
        </is>
      </c>
      <c r="E21" s="22" t="n">
        <v>90</v>
      </c>
      <c r="F21" s="22" t="n">
        <v>248</v>
      </c>
      <c r="G21" s="22" t="n">
        <v>67</v>
      </c>
      <c r="H21" s="23">
        <f>E21-G21</f>
        <v/>
      </c>
    </row>
    <row r="22" ht="20" customHeight="1">
      <c r="A22" s="26" t="n">
        <v>20</v>
      </c>
      <c r="B22" s="26" t="inlineStr">
        <is>
          <t>0810201</t>
        </is>
      </c>
      <c r="C22" s="35" t="inlineStr">
        <is>
          <t>FISIKA</t>
        </is>
      </c>
      <c r="D22" s="26" t="inlineStr">
        <is>
          <t>S1</t>
        </is>
      </c>
      <c r="E22" s="27" t="n">
        <v>90</v>
      </c>
      <c r="F22" s="27" t="n">
        <v>77</v>
      </c>
      <c r="G22" s="27" t="n">
        <v>42</v>
      </c>
      <c r="H22" s="23">
        <f>E22-G22</f>
        <v/>
      </c>
    </row>
    <row r="23" ht="20" customHeight="1">
      <c r="A23" s="21" t="n">
        <v>21</v>
      </c>
      <c r="B23" s="21" t="inlineStr">
        <is>
          <t>0810301</t>
        </is>
      </c>
      <c r="C23" s="34" t="inlineStr">
        <is>
          <t>KIMIA</t>
        </is>
      </c>
      <c r="D23" s="21" t="inlineStr">
        <is>
          <t>S1</t>
        </is>
      </c>
      <c r="E23" s="22" t="n">
        <v>90</v>
      </c>
      <c r="F23" s="22" t="n">
        <v>158</v>
      </c>
      <c r="G23" s="22" t="n">
        <v>65</v>
      </c>
      <c r="H23" s="23">
        <f>E23-G23</f>
        <v/>
      </c>
    </row>
    <row r="24" ht="20" customHeight="1">
      <c r="A24" s="26" t="n">
        <v>22</v>
      </c>
      <c r="B24" s="26" t="inlineStr">
        <is>
          <t>0810401</t>
        </is>
      </c>
      <c r="C24" s="35" t="inlineStr">
        <is>
          <t>BIOLOGI</t>
        </is>
      </c>
      <c r="D24" s="26" t="inlineStr">
        <is>
          <t>S1</t>
        </is>
      </c>
      <c r="E24" s="27" t="n">
        <v>90</v>
      </c>
      <c r="F24" s="27" t="n">
        <v>374</v>
      </c>
      <c r="G24" s="27" t="n">
        <v>70</v>
      </c>
      <c r="H24" s="23">
        <f>E24-G24</f>
        <v/>
      </c>
    </row>
    <row r="25" ht="20" customHeight="1">
      <c r="A25" s="21" t="n">
        <v>23</v>
      </c>
      <c r="B25" s="21" t="inlineStr">
        <is>
          <t>1110101</t>
        </is>
      </c>
      <c r="C25" s="34" t="inlineStr">
        <is>
          <t>ILMU KELAUTAN</t>
        </is>
      </c>
      <c r="D25" s="21" t="inlineStr">
        <is>
          <t>S1</t>
        </is>
      </c>
      <c r="E25" s="22" t="n">
        <v>180</v>
      </c>
      <c r="F25" s="22" t="n">
        <v>316</v>
      </c>
      <c r="G25" s="22" t="n">
        <v>119</v>
      </c>
      <c r="H25" s="23">
        <f>E25-G25</f>
        <v/>
      </c>
    </row>
    <row r="26" ht="20" customHeight="1">
      <c r="A26" s="26" t="n">
        <v>24</v>
      </c>
      <c r="B26" s="26" t="inlineStr">
        <is>
          <t>1110201</t>
        </is>
      </c>
      <c r="C26" s="35" t="inlineStr">
        <is>
          <t>BUDIDAYA PERAIRAN</t>
        </is>
      </c>
      <c r="D26" s="26" t="inlineStr">
        <is>
          <t>S1</t>
        </is>
      </c>
      <c r="E26" s="27" t="n">
        <v>180</v>
      </c>
      <c r="F26" s="27" t="n">
        <v>188</v>
      </c>
      <c r="G26" s="27" t="n">
        <v>90</v>
      </c>
      <c r="H26" s="23">
        <f>E26-G26</f>
        <v/>
      </c>
    </row>
    <row r="27" ht="20" customHeight="1">
      <c r="A27" s="21" t="n">
        <v>25</v>
      </c>
      <c r="B27" s="21" t="inlineStr">
        <is>
          <t>0410601</t>
        </is>
      </c>
      <c r="C27" s="34" t="inlineStr">
        <is>
          <t>TEKNIK INDUSTRI</t>
        </is>
      </c>
      <c r="D27" s="21" t="inlineStr">
        <is>
          <t>S1</t>
        </is>
      </c>
      <c r="E27" s="22" t="n">
        <v>120</v>
      </c>
      <c r="F27" s="22" t="n">
        <v>660</v>
      </c>
      <c r="G27" s="22" t="n">
        <v>94</v>
      </c>
      <c r="H27" s="23">
        <f>E27-G27</f>
        <v/>
      </c>
    </row>
    <row r="28" ht="20" customHeight="1">
      <c r="A28" s="26" t="n">
        <v>26</v>
      </c>
      <c r="B28" s="26" t="inlineStr">
        <is>
          <t>0810701</t>
        </is>
      </c>
      <c r="C28" s="35" t="inlineStr">
        <is>
          <t>INFORMATIKA</t>
        </is>
      </c>
      <c r="D28" s="26" t="inlineStr">
        <is>
          <t>S1</t>
        </is>
      </c>
      <c r="E28" s="27" t="n">
        <v>90</v>
      </c>
      <c r="F28" s="27" t="n">
        <v>2200</v>
      </c>
      <c r="G28" s="27" t="n">
        <v>89</v>
      </c>
      <c r="H28" s="23">
        <f>E28-G28</f>
        <v/>
      </c>
    </row>
    <row r="29" ht="20" customHeight="1">
      <c r="A29" s="21" t="n">
        <v>27</v>
      </c>
      <c r="B29" s="21" t="inlineStr">
        <is>
          <t>0810901</t>
        </is>
      </c>
      <c r="C29" s="34" t="inlineStr">
        <is>
          <t>FARMASI</t>
        </is>
      </c>
      <c r="D29" s="21" t="inlineStr">
        <is>
          <t>S1</t>
        </is>
      </c>
      <c r="E29" s="22" t="n">
        <v>60</v>
      </c>
      <c r="F29" s="22" t="n">
        <v>3046</v>
      </c>
      <c r="G29" s="22" t="n">
        <v>59</v>
      </c>
      <c r="H29" s="23">
        <f>E29-G29</f>
        <v/>
      </c>
    </row>
    <row r="30" ht="20" customHeight="1">
      <c r="A30" s="26" t="n">
        <v>28</v>
      </c>
      <c r="B30" s="26" t="inlineStr">
        <is>
          <t>0410701</t>
        </is>
      </c>
      <c r="C30" s="35" t="inlineStr">
        <is>
          <t>TEKNIK GEOFISIKA</t>
        </is>
      </c>
      <c r="D30" s="26" t="inlineStr">
        <is>
          <t>S1</t>
        </is>
      </c>
      <c r="E30" s="27" t="n">
        <v>90</v>
      </c>
      <c r="F30" s="27" t="n">
        <v>186</v>
      </c>
      <c r="G30" s="27" t="n">
        <v>59</v>
      </c>
      <c r="H30" s="23">
        <f>E30-G30</f>
        <v/>
      </c>
    </row>
    <row r="31" ht="20" customHeight="1">
      <c r="A31" s="21" t="n">
        <v>29</v>
      </c>
      <c r="B31" s="21" t="inlineStr">
        <is>
          <t>0410801</t>
        </is>
      </c>
      <c r="C31" s="34" t="inlineStr">
        <is>
          <t>TEKNIK PERTAMBANGAN</t>
        </is>
      </c>
      <c r="D31" s="21" t="inlineStr">
        <is>
          <t>S1</t>
        </is>
      </c>
      <c r="E31" s="22" t="n">
        <v>80</v>
      </c>
      <c r="F31" s="22" t="n">
        <v>845</v>
      </c>
      <c r="G31" s="22" t="n">
        <v>76</v>
      </c>
      <c r="H31" s="23">
        <f>E31-G31</f>
        <v/>
      </c>
    </row>
    <row r="32" ht="20" customHeight="1">
      <c r="A32" s="26" t="n">
        <v>30</v>
      </c>
      <c r="B32" s="26" t="inlineStr">
        <is>
          <t>0810801</t>
        </is>
      </c>
      <c r="C32" s="35" t="inlineStr">
        <is>
          <t>STATISTIKA</t>
        </is>
      </c>
      <c r="D32" s="26" t="inlineStr">
        <is>
          <t>S1</t>
        </is>
      </c>
      <c r="E32" s="27" t="n">
        <v>90</v>
      </c>
      <c r="F32" s="27" t="n">
        <v>663</v>
      </c>
      <c r="G32" s="27" t="n">
        <v>88</v>
      </c>
      <c r="H32" s="23">
        <f>E32-G32</f>
        <v/>
      </c>
    </row>
    <row r="33" ht="20" customHeight="1">
      <c r="A33" s="21" t="n">
        <v>31</v>
      </c>
      <c r="B33" s="21" t="inlineStr">
        <is>
          <t>1110301</t>
        </is>
      </c>
      <c r="C33" s="34" t="inlineStr">
        <is>
          <t>PEMANFAATAN SUMBERDAYA PERIKANAN</t>
        </is>
      </c>
      <c r="D33" s="21" t="inlineStr">
        <is>
          <t>S1</t>
        </is>
      </c>
      <c r="E33" s="22" t="n">
        <v>120</v>
      </c>
      <c r="F33" s="22" t="n">
        <v>153</v>
      </c>
      <c r="G33" s="22" t="n">
        <v>80</v>
      </c>
      <c r="H33" s="23">
        <f>E33-G33</f>
        <v/>
      </c>
    </row>
    <row r="34" ht="20" customHeight="1">
      <c r="A34" s="26" t="n">
        <v>32</v>
      </c>
      <c r="B34" s="26" t="inlineStr">
        <is>
          <t>0510801</t>
        </is>
      </c>
      <c r="C34" s="35" t="inlineStr">
        <is>
          <t>ILMU TANAH</t>
        </is>
      </c>
      <c r="D34" s="26" t="inlineStr">
        <is>
          <t>S1</t>
        </is>
      </c>
      <c r="E34" s="27" t="n">
        <v>80</v>
      </c>
      <c r="F34" s="27" t="n">
        <v>178</v>
      </c>
      <c r="G34" s="27" t="n">
        <v>55</v>
      </c>
      <c r="H34" s="23">
        <f>E34-G34</f>
        <v/>
      </c>
    </row>
    <row r="35" ht="20" customHeight="1">
      <c r="A35" s="21" t="n">
        <v>33</v>
      </c>
      <c r="B35" s="21" t="inlineStr">
        <is>
          <t>0410901</t>
        </is>
      </c>
      <c r="C35" s="34" t="inlineStr">
        <is>
          <t>TEKNIK GEOLOGI</t>
        </is>
      </c>
      <c r="D35" s="21" t="inlineStr">
        <is>
          <t>S1</t>
        </is>
      </c>
      <c r="E35" s="22" t="n">
        <v>80</v>
      </c>
      <c r="F35" s="22" t="n">
        <v>241</v>
      </c>
      <c r="G35" s="22" t="n">
        <v>63</v>
      </c>
      <c r="H35" s="23">
        <f>E35-G35</f>
        <v/>
      </c>
    </row>
    <row r="36" ht="20" customHeight="1">
      <c r="A36" s="26" t="n">
        <v>34</v>
      </c>
      <c r="B36" s="26" t="inlineStr">
        <is>
          <t>0515001</t>
        </is>
      </c>
      <c r="C36" s="35" t="inlineStr">
        <is>
          <t>AGROTEKNOLOGI (PDD GAYO LUES)</t>
        </is>
      </c>
      <c r="D36" s="26" t="inlineStr">
        <is>
          <t>S1</t>
        </is>
      </c>
      <c r="E36" s="27" t="n">
        <v>50</v>
      </c>
      <c r="F36" s="27" t="n">
        <v>21</v>
      </c>
      <c r="G36" s="27" t="n">
        <v>9</v>
      </c>
      <c r="H36" s="23">
        <f>E36-G36</f>
        <v/>
      </c>
    </row>
    <row r="37" ht="20" customHeight="1">
      <c r="A37" s="21" t="n">
        <v>35</v>
      </c>
      <c r="B37" s="21" t="inlineStr">
        <is>
          <t>0615001</t>
        </is>
      </c>
      <c r="C37" s="34" t="inlineStr">
        <is>
          <t>PENDIDIKAN BIOLOGI  (PDD GAYO LUES)</t>
        </is>
      </c>
      <c r="D37" s="21" t="inlineStr">
        <is>
          <t>S1</t>
        </is>
      </c>
      <c r="E37" s="22" t="n">
        <v>40</v>
      </c>
      <c r="F37" s="22" t="n">
        <v>13</v>
      </c>
      <c r="G37" s="22" t="n">
        <v>2</v>
      </c>
      <c r="H37" s="23">
        <f>E37-G37</f>
        <v/>
      </c>
    </row>
    <row r="38" ht="20" customHeight="1">
      <c r="A38" s="26" t="n">
        <v>36</v>
      </c>
      <c r="B38" s="26" t="inlineStr">
        <is>
          <t>0515002</t>
        </is>
      </c>
      <c r="C38" s="35" t="inlineStr">
        <is>
          <t>KEHUTANAN (PDD GAYO LUES)</t>
        </is>
      </c>
      <c r="D38" s="26" t="inlineStr">
        <is>
          <t>S1</t>
        </is>
      </c>
      <c r="E38" s="27" t="n">
        <v>50</v>
      </c>
      <c r="F38" s="27" t="n">
        <v>37</v>
      </c>
      <c r="G38" s="27" t="n">
        <v>15</v>
      </c>
      <c r="H38" s="23">
        <f>E38-G38</f>
        <v/>
      </c>
    </row>
    <row r="39" ht="20" customHeight="1">
      <c r="A39" s="21" t="n">
        <v>37</v>
      </c>
      <c r="B39" s="21" t="inlineStr">
        <is>
          <t>0510901</t>
        </is>
      </c>
      <c r="C39" s="34" t="inlineStr">
        <is>
          <t>PROTEKSI TANAMAN</t>
        </is>
      </c>
      <c r="D39" s="21" t="inlineStr">
        <is>
          <t>S1</t>
        </is>
      </c>
      <c r="E39" s="22" t="n">
        <v>80</v>
      </c>
      <c r="F39" s="22" t="n">
        <v>109</v>
      </c>
      <c r="G39" s="22" t="n">
        <v>54</v>
      </c>
      <c r="H39" s="23">
        <f>E39-G39</f>
        <v/>
      </c>
    </row>
    <row r="40" ht="20" customHeight="1">
      <c r="A40" s="26" t="n">
        <v>38</v>
      </c>
      <c r="B40" s="26" t="inlineStr">
        <is>
          <t>0411001</t>
        </is>
      </c>
      <c r="C40" s="35" t="inlineStr">
        <is>
          <t>PERENCANAAN WILAYAH DAN KOTA</t>
        </is>
      </c>
      <c r="D40" s="26" t="inlineStr">
        <is>
          <t>S1</t>
        </is>
      </c>
      <c r="E40" s="27" t="n">
        <v>60</v>
      </c>
      <c r="F40" s="27" t="n">
        <v>637</v>
      </c>
      <c r="G40" s="27" t="n">
        <v>54</v>
      </c>
      <c r="H40" s="23">
        <f>E40-G40</f>
        <v/>
      </c>
    </row>
    <row r="41" ht="20" customHeight="1">
      <c r="A41" s="21" t="n">
        <v>39</v>
      </c>
      <c r="B41" s="21" t="inlineStr">
        <is>
          <t>0511001</t>
        </is>
      </c>
      <c r="C41" s="34" t="inlineStr">
        <is>
          <t>KEHUTANAN</t>
        </is>
      </c>
      <c r="D41" s="21" t="inlineStr">
        <is>
          <t>S1</t>
        </is>
      </c>
      <c r="E41" s="22" t="n">
        <v>80</v>
      </c>
      <c r="F41" s="22" t="n">
        <v>337</v>
      </c>
      <c r="G41" s="22" t="n">
        <v>51</v>
      </c>
      <c r="H41" s="23">
        <f>E41-G41</f>
        <v/>
      </c>
    </row>
    <row r="42" ht="20" customHeight="1">
      <c r="A42" s="26" t="n">
        <v>40</v>
      </c>
      <c r="B42" s="26" t="inlineStr">
        <is>
          <t>0411101</t>
        </is>
      </c>
      <c r="C42" s="35" t="inlineStr">
        <is>
          <t>TEKNIK KOMPUTER</t>
        </is>
      </c>
      <c r="D42" s="26" t="inlineStr">
        <is>
          <t>S1</t>
        </is>
      </c>
      <c r="E42" s="27" t="n">
        <v>100</v>
      </c>
      <c r="F42" s="27" t="n">
        <v>1565</v>
      </c>
      <c r="G42" s="27" t="n">
        <v>85</v>
      </c>
      <c r="H42" s="23">
        <f>E42-G42</f>
        <v/>
      </c>
    </row>
    <row r="43" ht="20" customHeight="1">
      <c r="A43" s="21" t="n">
        <v>41</v>
      </c>
      <c r="B43" s="21" t="inlineStr">
        <is>
          <t>0110101</t>
        </is>
      </c>
      <c r="C43" s="34" t="inlineStr">
        <is>
          <t>EKONOMI PEMBANGUNAN</t>
        </is>
      </c>
      <c r="D43" s="21" t="inlineStr">
        <is>
          <t>S1</t>
        </is>
      </c>
      <c r="E43" s="22" t="n">
        <v>215</v>
      </c>
      <c r="F43" s="22" t="n">
        <v>718</v>
      </c>
      <c r="G43" s="22" t="n">
        <v>169</v>
      </c>
      <c r="H43" s="23">
        <f>E43-G43</f>
        <v/>
      </c>
    </row>
    <row r="44" ht="20" customHeight="1">
      <c r="A44" s="26" t="n">
        <v>42</v>
      </c>
      <c r="B44" s="26" t="inlineStr">
        <is>
          <t>0110201</t>
        </is>
      </c>
      <c r="C44" s="35" t="inlineStr">
        <is>
          <t>MANAJEMEN</t>
        </is>
      </c>
      <c r="D44" s="26" t="inlineStr">
        <is>
          <t>S1</t>
        </is>
      </c>
      <c r="E44" s="27" t="n">
        <v>290</v>
      </c>
      <c r="F44" s="27" t="n">
        <v>2466</v>
      </c>
      <c r="G44" s="27" t="n">
        <v>266</v>
      </c>
      <c r="H44" s="23">
        <f>E44-G44</f>
        <v/>
      </c>
    </row>
    <row r="45" ht="20" customHeight="1">
      <c r="A45" s="21" t="n">
        <v>43</v>
      </c>
      <c r="B45" s="21" t="inlineStr">
        <is>
          <t>0100301</t>
        </is>
      </c>
      <c r="C45" s="34" t="inlineStr">
        <is>
          <t>AKUNTANSI</t>
        </is>
      </c>
      <c r="D45" s="21" t="inlineStr">
        <is>
          <t>S1</t>
        </is>
      </c>
      <c r="E45" s="22" t="n">
        <v>215</v>
      </c>
      <c r="F45" s="22" t="n">
        <v>1327</v>
      </c>
      <c r="G45" s="22" t="n">
        <v>202</v>
      </c>
      <c r="H45" s="23">
        <f>E45-G45</f>
        <v/>
      </c>
    </row>
    <row r="46" ht="20" customHeight="1">
      <c r="A46" s="26" t="n">
        <v>44</v>
      </c>
      <c r="B46" s="26" t="inlineStr">
        <is>
          <t>0310101</t>
        </is>
      </c>
      <c r="C46" s="35" t="inlineStr">
        <is>
          <t>ILMU HUKUM</t>
        </is>
      </c>
      <c r="D46" s="26" t="inlineStr">
        <is>
          <t>S1</t>
        </is>
      </c>
      <c r="E46" s="27" t="n">
        <v>440</v>
      </c>
      <c r="F46" s="27" t="n">
        <v>2532</v>
      </c>
      <c r="G46" s="27" t="n">
        <v>423</v>
      </c>
      <c r="H46" s="23">
        <f>E46-G46</f>
        <v/>
      </c>
    </row>
    <row r="47" ht="20" customHeight="1">
      <c r="A47" s="21" t="n">
        <v>45</v>
      </c>
      <c r="B47" s="21" t="inlineStr">
        <is>
          <t>0610101</t>
        </is>
      </c>
      <c r="C47" s="34" t="inlineStr">
        <is>
          <t>PENDIDIKAN PANCASILA DAN KEWARGANEGARAAN</t>
        </is>
      </c>
      <c r="D47" s="21" t="inlineStr">
        <is>
          <t>S1</t>
        </is>
      </c>
      <c r="E47" s="22" t="n">
        <v>100</v>
      </c>
      <c r="F47" s="22" t="n">
        <v>434</v>
      </c>
      <c r="G47" s="22" t="n">
        <v>77</v>
      </c>
      <c r="H47" s="23">
        <f>E47-G47</f>
        <v/>
      </c>
    </row>
    <row r="48" ht="20" customHeight="1">
      <c r="A48" s="26" t="n">
        <v>46</v>
      </c>
      <c r="B48" s="26" t="inlineStr">
        <is>
          <t>0610102</t>
        </is>
      </c>
      <c r="C48" s="35" t="inlineStr">
        <is>
          <t>PENDIDIKAN SEJARAH</t>
        </is>
      </c>
      <c r="D48" s="26" t="inlineStr">
        <is>
          <t>S1</t>
        </is>
      </c>
      <c r="E48" s="27" t="n">
        <v>100</v>
      </c>
      <c r="F48" s="27" t="n">
        <v>406</v>
      </c>
      <c r="G48" s="27" t="n">
        <v>74</v>
      </c>
      <c r="H48" s="23">
        <f>E48-G48</f>
        <v/>
      </c>
    </row>
    <row r="49" ht="20" customHeight="1">
      <c r="A49" s="21" t="n">
        <v>47</v>
      </c>
      <c r="B49" s="21" t="inlineStr">
        <is>
          <t>0610103</t>
        </is>
      </c>
      <c r="C49" s="34" t="inlineStr">
        <is>
          <t>PENDIDIKAN EKONOMI</t>
        </is>
      </c>
      <c r="D49" s="21" t="inlineStr">
        <is>
          <t>S1</t>
        </is>
      </c>
      <c r="E49" s="22" t="n">
        <v>100</v>
      </c>
      <c r="F49" s="22" t="n">
        <v>276</v>
      </c>
      <c r="G49" s="22" t="n">
        <v>79</v>
      </c>
      <c r="H49" s="23">
        <f>E49-G49</f>
        <v/>
      </c>
    </row>
    <row r="50" ht="20" customHeight="1">
      <c r="A50" s="26" t="n">
        <v>48</v>
      </c>
      <c r="B50" s="26" t="inlineStr">
        <is>
          <t>0610104</t>
        </is>
      </c>
      <c r="C50" s="35" t="inlineStr">
        <is>
          <t>PENDIDIKAN GEOGRAFI</t>
        </is>
      </c>
      <c r="D50" s="26" t="inlineStr">
        <is>
          <t>S1</t>
        </is>
      </c>
      <c r="E50" s="27" t="n">
        <v>100</v>
      </c>
      <c r="F50" s="27" t="n">
        <v>294</v>
      </c>
      <c r="G50" s="27" t="n">
        <v>71</v>
      </c>
      <c r="H50" s="23">
        <f>E50-G50</f>
        <v/>
      </c>
    </row>
    <row r="51" ht="20" customHeight="1">
      <c r="A51" s="21" t="n">
        <v>49</v>
      </c>
      <c r="B51" s="21" t="inlineStr">
        <is>
          <t>0610201</t>
        </is>
      </c>
      <c r="C51" s="34" t="inlineStr">
        <is>
          <t>PENDIDIKAN BAHASA INDONESIA</t>
        </is>
      </c>
      <c r="D51" s="21" t="inlineStr">
        <is>
          <t>S1</t>
        </is>
      </c>
      <c r="E51" s="22" t="n">
        <v>90</v>
      </c>
      <c r="F51" s="22" t="n">
        <v>501</v>
      </c>
      <c r="G51" s="22" t="n">
        <v>64</v>
      </c>
      <c r="H51" s="23">
        <f>E51-G51</f>
        <v/>
      </c>
    </row>
    <row r="52" ht="20" customHeight="1">
      <c r="A52" s="26" t="n">
        <v>50</v>
      </c>
      <c r="B52" s="26" t="inlineStr">
        <is>
          <t>0610202</t>
        </is>
      </c>
      <c r="C52" s="35" t="inlineStr">
        <is>
          <t>PENDIDIKAN BAHASA INGGRIS</t>
        </is>
      </c>
      <c r="D52" s="26" t="inlineStr">
        <is>
          <t>S1</t>
        </is>
      </c>
      <c r="E52" s="27" t="n">
        <v>120</v>
      </c>
      <c r="F52" s="27" t="n">
        <v>651</v>
      </c>
      <c r="G52" s="27" t="n">
        <v>113</v>
      </c>
      <c r="H52" s="23">
        <f>E52-G52</f>
        <v/>
      </c>
    </row>
    <row r="53" ht="20" customHeight="1">
      <c r="A53" s="21" t="n">
        <v>51</v>
      </c>
      <c r="B53" s="21" t="inlineStr">
        <is>
          <t>0610203</t>
        </is>
      </c>
      <c r="C53" s="34" t="inlineStr">
        <is>
          <t>PENDIDIKAN SENI DRAMA TARI DAN MUSIK</t>
        </is>
      </c>
      <c r="D53" s="21" t="inlineStr">
        <is>
          <t>S1</t>
        </is>
      </c>
      <c r="E53" s="22" t="n">
        <v>120</v>
      </c>
      <c r="F53" s="22" t="n">
        <v>612</v>
      </c>
      <c r="G53" s="22" t="n">
        <v>102</v>
      </c>
      <c r="H53" s="23">
        <f>E53-G53</f>
        <v/>
      </c>
    </row>
    <row r="54" ht="20" customHeight="1">
      <c r="A54" s="26" t="n">
        <v>52</v>
      </c>
      <c r="B54" s="26" t="inlineStr">
        <is>
          <t>0610401</t>
        </is>
      </c>
      <c r="C54" s="35" t="inlineStr">
        <is>
          <t>PENDIDIKAN KESEJAHTERAAN KELUARGA</t>
        </is>
      </c>
      <c r="D54" s="26" t="inlineStr">
        <is>
          <t>S1</t>
        </is>
      </c>
      <c r="E54" s="27" t="n">
        <v>100</v>
      </c>
      <c r="F54" s="27" t="n">
        <v>897</v>
      </c>
      <c r="G54" s="27" t="n">
        <v>91</v>
      </c>
      <c r="H54" s="23">
        <f>E54-G54</f>
        <v/>
      </c>
    </row>
    <row r="55" ht="20" customHeight="1">
      <c r="A55" s="21" t="n">
        <v>53</v>
      </c>
      <c r="B55" s="21" t="inlineStr">
        <is>
          <t>0610402</t>
        </is>
      </c>
      <c r="C55" s="34" t="inlineStr">
        <is>
          <t>PENDIDIKAN JASMANI KESEHATAN DAN REKREASI</t>
        </is>
      </c>
      <c r="D55" s="21" t="inlineStr">
        <is>
          <t>S1</t>
        </is>
      </c>
      <c r="E55" s="22" t="n">
        <v>120</v>
      </c>
      <c r="F55" s="22" t="n">
        <v>300</v>
      </c>
      <c r="G55" s="22" t="n">
        <v>103</v>
      </c>
      <c r="H55" s="23">
        <f>E55-G55</f>
        <v/>
      </c>
    </row>
    <row r="56" ht="20" customHeight="1">
      <c r="A56" s="26" t="n">
        <v>54</v>
      </c>
      <c r="B56" s="26" t="inlineStr">
        <is>
          <t>0610403</t>
        </is>
      </c>
      <c r="C56" s="35" t="inlineStr">
        <is>
          <t>BIMBINGAN KONSELING</t>
        </is>
      </c>
      <c r="D56" s="26" t="inlineStr">
        <is>
          <t>S1</t>
        </is>
      </c>
      <c r="E56" s="27" t="n">
        <v>100</v>
      </c>
      <c r="F56" s="27" t="n">
        <v>1160</v>
      </c>
      <c r="G56" s="27" t="n">
        <v>94</v>
      </c>
      <c r="H56" s="23">
        <f>E56-G56</f>
        <v/>
      </c>
    </row>
    <row r="57" ht="20" customHeight="1">
      <c r="A57" s="21" t="n">
        <v>55</v>
      </c>
      <c r="B57" s="21" t="inlineStr">
        <is>
          <t>0610404</t>
        </is>
      </c>
      <c r="C57" s="34" t="inlineStr">
        <is>
          <t>PENDIDIKAN GURU SEKOLAH DASAR</t>
        </is>
      </c>
      <c r="D57" s="21" t="inlineStr">
        <is>
          <t>S1</t>
        </is>
      </c>
      <c r="E57" s="22" t="n">
        <v>120</v>
      </c>
      <c r="F57" s="22" t="n">
        <v>1621</v>
      </c>
      <c r="G57" s="22" t="n">
        <v>105</v>
      </c>
      <c r="H57" s="23">
        <f>E57-G57</f>
        <v/>
      </c>
    </row>
    <row r="58" ht="20" customHeight="1">
      <c r="A58" s="26" t="n">
        <v>56</v>
      </c>
      <c r="B58" s="26" t="inlineStr">
        <is>
          <t>0710113</t>
        </is>
      </c>
      <c r="C58" s="35" t="inlineStr">
        <is>
          <t>PSIKOLOGI</t>
        </is>
      </c>
      <c r="D58" s="26" t="inlineStr">
        <is>
          <t>S1</t>
        </is>
      </c>
      <c r="E58" s="27" t="n">
        <v>80</v>
      </c>
      <c r="F58" s="27" t="n">
        <v>1147</v>
      </c>
      <c r="G58" s="27" t="n">
        <v>76</v>
      </c>
      <c r="H58" s="23">
        <f>E58-G58</f>
        <v/>
      </c>
    </row>
    <row r="59" ht="20" customHeight="1">
      <c r="A59" s="21" t="n">
        <v>57</v>
      </c>
      <c r="B59" s="21" t="inlineStr">
        <is>
          <t>1010301</t>
        </is>
      </c>
      <c r="C59" s="34" t="inlineStr">
        <is>
          <t>ILMU POLITIK</t>
        </is>
      </c>
      <c r="D59" s="21" t="inlineStr">
        <is>
          <t>S1</t>
        </is>
      </c>
      <c r="E59" s="22" t="n">
        <v>140</v>
      </c>
      <c r="F59" s="22" t="n">
        <v>448</v>
      </c>
      <c r="G59" s="22" t="n">
        <v>124</v>
      </c>
      <c r="H59" s="23">
        <f>E59-G59</f>
        <v/>
      </c>
    </row>
    <row r="60" ht="20" customHeight="1">
      <c r="A60" s="26" t="n">
        <v>58</v>
      </c>
      <c r="B60" s="26" t="inlineStr">
        <is>
          <t>1010101</t>
        </is>
      </c>
      <c r="C60" s="35" t="inlineStr">
        <is>
          <t>SOSIOLOGI</t>
        </is>
      </c>
      <c r="D60" s="26" t="inlineStr">
        <is>
          <t>S1</t>
        </is>
      </c>
      <c r="E60" s="27" t="n">
        <v>140</v>
      </c>
      <c r="F60" s="27" t="n">
        <v>484</v>
      </c>
      <c r="G60" s="27" t="n">
        <v>108</v>
      </c>
      <c r="H60" s="23">
        <f>E60-G60</f>
        <v/>
      </c>
    </row>
    <row r="61" ht="20" customHeight="1">
      <c r="A61" s="21" t="n">
        <v>59</v>
      </c>
      <c r="B61" s="21" t="inlineStr">
        <is>
          <t>1010201</t>
        </is>
      </c>
      <c r="C61" s="34" t="inlineStr">
        <is>
          <t>ILMU KOMUNIKASI</t>
        </is>
      </c>
      <c r="D61" s="21" t="inlineStr">
        <is>
          <t>S1</t>
        </is>
      </c>
      <c r="E61" s="22" t="n">
        <v>140</v>
      </c>
      <c r="F61" s="22" t="n">
        <v>1526</v>
      </c>
      <c r="G61" s="22" t="n">
        <v>140</v>
      </c>
      <c r="H61" s="23">
        <f>E61-G61</f>
        <v/>
      </c>
    </row>
    <row r="62" ht="20" customHeight="1">
      <c r="A62" s="26" t="n">
        <v>60</v>
      </c>
      <c r="B62" s="26" t="inlineStr">
        <is>
          <t>0610421</t>
        </is>
      </c>
      <c r="C62" s="35" t="inlineStr">
        <is>
          <t>PENDIDIKAN GURU PAUD</t>
        </is>
      </c>
      <c r="D62" s="26" t="inlineStr">
        <is>
          <t>S1</t>
        </is>
      </c>
      <c r="E62" s="27" t="n">
        <v>100</v>
      </c>
      <c r="F62" s="27" t="n">
        <v>586</v>
      </c>
      <c r="G62" s="27" t="n">
        <v>85</v>
      </c>
      <c r="H62" s="23">
        <f>E62-G62</f>
        <v/>
      </c>
    </row>
    <row r="63" ht="20" customHeight="1">
      <c r="A63" s="21" t="n">
        <v>61</v>
      </c>
      <c r="B63" s="21" t="inlineStr">
        <is>
          <t>1010401</t>
        </is>
      </c>
      <c r="C63" s="34" t="inlineStr">
        <is>
          <t>ILMU PEMERINTAHAN</t>
        </is>
      </c>
      <c r="D63" s="21" t="inlineStr">
        <is>
          <t>S1</t>
        </is>
      </c>
      <c r="E63" s="22" t="n">
        <v>140</v>
      </c>
      <c r="F63" s="22" t="n">
        <v>886</v>
      </c>
      <c r="G63" s="22" t="n">
        <v>132</v>
      </c>
      <c r="H63" s="23">
        <f>E63-G63</f>
        <v/>
      </c>
    </row>
    <row r="64" ht="20" customHeight="1">
      <c r="A64" s="26" t="n">
        <v>62</v>
      </c>
      <c r="B64" s="26" t="inlineStr">
        <is>
          <t>0110401</t>
        </is>
      </c>
      <c r="C64" s="35" t="inlineStr">
        <is>
          <t>EKONOMI ISLAM</t>
        </is>
      </c>
      <c r="D64" s="26" t="inlineStr">
        <is>
          <t>S1</t>
        </is>
      </c>
      <c r="E64" s="27" t="n">
        <v>215</v>
      </c>
      <c r="F64" s="27" t="n">
        <v>807</v>
      </c>
      <c r="G64" s="27" t="n">
        <v>165</v>
      </c>
      <c r="H64" s="23">
        <f>E64-G64</f>
        <v/>
      </c>
    </row>
    <row r="65" ht="20" customHeight="1">
      <c r="A65" s="21" t="n">
        <v>63</v>
      </c>
      <c r="B65" s="21" t="inlineStr">
        <is>
          <t>0115001</t>
        </is>
      </c>
      <c r="C65" s="34" t="inlineStr">
        <is>
          <t>MANAJEMEN (PDD GAYO LUES)</t>
        </is>
      </c>
      <c r="D65" s="21" t="inlineStr">
        <is>
          <t>S1</t>
        </is>
      </c>
      <c r="E65" s="22" t="n">
        <v>50</v>
      </c>
      <c r="F65" s="22" t="n">
        <v>35</v>
      </c>
      <c r="G65" s="22" t="n">
        <v>14</v>
      </c>
      <c r="H65" s="23">
        <f>E65-G65</f>
        <v/>
      </c>
    </row>
    <row r="66" ht="20" customHeight="1">
      <c r="A66" s="26" t="n">
        <v>64</v>
      </c>
      <c r="B66" s="26" t="inlineStr">
        <is>
          <t>0170301</t>
        </is>
      </c>
      <c r="C66" s="35" t="inlineStr">
        <is>
          <t>AKUNTANSI PERPAJAKAN</t>
        </is>
      </c>
      <c r="D66" s="26" t="inlineStr">
        <is>
          <t>D4</t>
        </is>
      </c>
      <c r="E66" s="27" t="n">
        <v>80</v>
      </c>
      <c r="F66" s="27" t="n">
        <v>26</v>
      </c>
      <c r="G66" s="27" t="n">
        <v>13</v>
      </c>
      <c r="H66" s="23">
        <f>E66-G66</f>
        <v/>
      </c>
    </row>
    <row r="67" ht="20" customHeight="1">
      <c r="A67" s="21" t="n">
        <v>65</v>
      </c>
      <c r="B67" s="21" t="inlineStr">
        <is>
          <t>0200101</t>
        </is>
      </c>
      <c r="C67" s="34" t="inlineStr">
        <is>
          <t>KESEHATAN HEWAN</t>
        </is>
      </c>
      <c r="D67" s="21" t="inlineStr">
        <is>
          <t>D3</t>
        </is>
      </c>
      <c r="E67" s="22" t="n">
        <v>0</v>
      </c>
      <c r="F67" s="22" t="n">
        <v>0</v>
      </c>
      <c r="G67" s="22" t="n">
        <v>0</v>
      </c>
      <c r="H67" s="23">
        <f>E67-G67</f>
        <v/>
      </c>
    </row>
    <row r="68" ht="20" customHeight="1">
      <c r="A68" s="26" t="n">
        <v>66</v>
      </c>
      <c r="B68" s="26" t="inlineStr">
        <is>
          <t>0500201</t>
        </is>
      </c>
      <c r="C68" s="35" t="inlineStr">
        <is>
          <t>MANAJEMEN AGRIBISNIS</t>
        </is>
      </c>
      <c r="D68" s="26" t="inlineStr">
        <is>
          <t>D3</t>
        </is>
      </c>
      <c r="E68" s="27" t="n">
        <v>0</v>
      </c>
      <c r="F68" s="27" t="n">
        <v>0</v>
      </c>
      <c r="G68" s="27" t="n">
        <v>0</v>
      </c>
      <c r="H68" s="23">
        <f>E68-G68</f>
        <v/>
      </c>
    </row>
    <row r="69" ht="20" customHeight="1">
      <c r="A69" s="21" t="n">
        <v>67</v>
      </c>
      <c r="B69" s="21" t="inlineStr">
        <is>
          <t>0400501</t>
        </is>
      </c>
      <c r="C69" s="34" t="inlineStr">
        <is>
          <t>TEKNIK LISTRIK</t>
        </is>
      </c>
      <c r="D69" s="21" t="inlineStr">
        <is>
          <t>D3</t>
        </is>
      </c>
      <c r="E69" s="22" t="n">
        <v>0</v>
      </c>
      <c r="F69" s="22" t="n">
        <v>0</v>
      </c>
      <c r="G69" s="22" t="n">
        <v>0</v>
      </c>
      <c r="H69" s="23">
        <f>E69-G69</f>
        <v/>
      </c>
    </row>
    <row r="70" ht="20" customHeight="1">
      <c r="A70" s="26" t="n">
        <v>68</v>
      </c>
      <c r="B70" s="26" t="inlineStr">
        <is>
          <t>0500401</t>
        </is>
      </c>
      <c r="C70" s="35" t="inlineStr">
        <is>
          <t>BUDIDAYA PETERNAKAN</t>
        </is>
      </c>
      <c r="D70" s="26" t="inlineStr">
        <is>
          <t>D3</t>
        </is>
      </c>
      <c r="E70" s="27" t="n">
        <v>0</v>
      </c>
      <c r="F70" s="27" t="n">
        <v>0</v>
      </c>
      <c r="G70" s="27" t="n">
        <v>0</v>
      </c>
      <c r="H70" s="23">
        <f>E70-G70</f>
        <v/>
      </c>
    </row>
    <row r="71" ht="20" customHeight="1">
      <c r="A71" s="21" t="n">
        <v>69</v>
      </c>
      <c r="B71" s="21" t="inlineStr">
        <is>
          <t>0400201</t>
        </is>
      </c>
      <c r="C71" s="34" t="inlineStr">
        <is>
          <t>TEKNIK MESIN</t>
        </is>
      </c>
      <c r="D71" s="21" t="inlineStr">
        <is>
          <t>D3</t>
        </is>
      </c>
      <c r="E71" s="22" t="n">
        <v>0</v>
      </c>
      <c r="F71" s="22" t="n">
        <v>0</v>
      </c>
      <c r="G71" s="22" t="n">
        <v>0</v>
      </c>
      <c r="H71" s="23">
        <f>E71-G71</f>
        <v/>
      </c>
    </row>
    <row r="72" ht="20" customHeight="1">
      <c r="A72" s="26" t="n">
        <v>70</v>
      </c>
      <c r="B72" s="26" t="inlineStr">
        <is>
          <t>0400101</t>
        </is>
      </c>
      <c r="C72" s="35" t="inlineStr">
        <is>
          <t>TEKNIK SIPIL</t>
        </is>
      </c>
      <c r="D72" s="26" t="inlineStr">
        <is>
          <t>D3</t>
        </is>
      </c>
      <c r="E72" s="27" t="n">
        <v>0</v>
      </c>
      <c r="F72" s="27" t="n">
        <v>0</v>
      </c>
      <c r="G72" s="27" t="n">
        <v>0</v>
      </c>
      <c r="H72" s="23">
        <f>E72-G72</f>
        <v/>
      </c>
    </row>
    <row r="73" ht="20" customHeight="1">
      <c r="A73" s="21" t="n">
        <v>71</v>
      </c>
      <c r="B73" s="21" t="inlineStr">
        <is>
          <t>0100202</t>
        </is>
      </c>
      <c r="C73" s="34" t="inlineStr">
        <is>
          <t>SEKRETARI</t>
        </is>
      </c>
      <c r="D73" s="21" t="inlineStr">
        <is>
          <t>D3</t>
        </is>
      </c>
      <c r="E73" s="22" t="n">
        <v>0</v>
      </c>
      <c r="F73" s="22" t="n">
        <v>0</v>
      </c>
      <c r="G73" s="22" t="n">
        <v>0</v>
      </c>
      <c r="H73" s="23">
        <f>E73-G73</f>
        <v/>
      </c>
    </row>
    <row r="74" ht="20" customHeight="1">
      <c r="A74" s="26" t="n">
        <v>72</v>
      </c>
      <c r="B74" s="26" t="inlineStr">
        <is>
          <t>0100101</t>
        </is>
      </c>
      <c r="C74" s="35" t="inlineStr">
        <is>
          <t>MANAJEMEN PERUSAHAAN</t>
        </is>
      </c>
      <c r="D74" s="26" t="inlineStr">
        <is>
          <t>D3</t>
        </is>
      </c>
      <c r="E74" s="27" t="n">
        <v>0</v>
      </c>
      <c r="F74" s="27" t="n">
        <v>0</v>
      </c>
      <c r="G74" s="27" t="n">
        <v>0</v>
      </c>
      <c r="H74" s="23">
        <f>E74-G74</f>
        <v/>
      </c>
    </row>
    <row r="75" ht="20" customHeight="1">
      <c r="A75" s="21" t="n">
        <v>73</v>
      </c>
      <c r="B75" s="21" t="inlineStr">
        <is>
          <t>0100301</t>
        </is>
      </c>
      <c r="C75" s="34" t="inlineStr">
        <is>
          <t>AKUNTANSI</t>
        </is>
      </c>
      <c r="D75" s="21" t="inlineStr">
        <is>
          <t>D3</t>
        </is>
      </c>
      <c r="E75" s="22" t="n">
        <v>0</v>
      </c>
      <c r="F75" s="22" t="n">
        <v>0</v>
      </c>
      <c r="G75" s="22" t="n">
        <v>0</v>
      </c>
      <c r="H75" s="23">
        <f>E75-G75</f>
        <v/>
      </c>
    </row>
    <row r="76" ht="20" customHeight="1">
      <c r="A76" s="26" t="n">
        <v>74</v>
      </c>
      <c r="B76" s="26" t="inlineStr">
        <is>
          <t>0100203</t>
        </is>
      </c>
      <c r="C76" s="35" t="inlineStr">
        <is>
          <t>KEUANGAN DAN PERBANKAN</t>
        </is>
      </c>
      <c r="D76" s="26" t="inlineStr">
        <is>
          <t>D3</t>
        </is>
      </c>
      <c r="E76" s="27" t="n">
        <v>0</v>
      </c>
      <c r="F76" s="27" t="n">
        <v>0</v>
      </c>
      <c r="G76" s="27" t="n">
        <v>0</v>
      </c>
      <c r="H76" s="23">
        <f>E76-G76</f>
        <v/>
      </c>
    </row>
    <row r="77" ht="20" customHeight="1">
      <c r="A77" s="21" t="n">
        <v>75</v>
      </c>
      <c r="B77" s="21" t="inlineStr">
        <is>
          <t>0800701</t>
        </is>
      </c>
      <c r="C77" s="34" t="inlineStr">
        <is>
          <t>MANAJEMEN INFORMATIKA</t>
        </is>
      </c>
      <c r="D77" s="21" t="inlineStr">
        <is>
          <t>D3</t>
        </is>
      </c>
      <c r="E77" s="22" t="n">
        <v>0</v>
      </c>
      <c r="F77" s="22" t="n">
        <v>0</v>
      </c>
      <c r="G77" s="22" t="n">
        <v>0</v>
      </c>
      <c r="H77" s="23">
        <f>E77-G77</f>
        <v/>
      </c>
    </row>
    <row r="78" ht="20" customHeight="1">
      <c r="A78" s="26" t="n">
        <v>76</v>
      </c>
      <c r="B78" s="26" t="inlineStr">
        <is>
          <t>1110401</t>
        </is>
      </c>
      <c r="C78" s="35" t="inlineStr">
        <is>
          <t>TEKNOLOGI INDUSTRI HASIL PERIKANAN</t>
        </is>
      </c>
      <c r="D78" s="26" t="inlineStr">
        <is>
          <t>S1</t>
        </is>
      </c>
      <c r="E78" s="27" t="n">
        <v>0</v>
      </c>
      <c r="F78" s="27" t="n">
        <v>0</v>
      </c>
      <c r="G78" s="27" t="n">
        <v>0</v>
      </c>
      <c r="H78" s="23">
        <f>E78-G78</f>
        <v/>
      </c>
    </row>
    <row r="79" ht="20" customHeight="1">
      <c r="A79" s="21" t="n">
        <v>77</v>
      </c>
      <c r="B79" s="21" t="inlineStr">
        <is>
          <t>0411401</t>
        </is>
      </c>
      <c r="C79" s="34" t="inlineStr">
        <is>
          <t>TEKNIK LINGKUNGAN</t>
        </is>
      </c>
      <c r="D79" s="21" t="inlineStr">
        <is>
          <t>S1</t>
        </is>
      </c>
      <c r="E79" s="22" t="n">
        <v>0</v>
      </c>
      <c r="F79" s="22" t="n">
        <v>0</v>
      </c>
      <c r="G79" s="22" t="n">
        <v>0</v>
      </c>
      <c r="H79" s="23">
        <f>E79-G79</f>
        <v/>
      </c>
    </row>
    <row r="80" ht="20" customHeight="1">
      <c r="A80" s="26" t="n">
        <v>78</v>
      </c>
      <c r="B80" s="26" t="inlineStr">
        <is>
          <t>0411501</t>
        </is>
      </c>
      <c r="C80" s="35" t="inlineStr">
        <is>
          <t>TEKNIK SUMBER DAYA AIR</t>
        </is>
      </c>
      <c r="D80" s="26" t="inlineStr">
        <is>
          <t>S1</t>
        </is>
      </c>
      <c r="E80" s="27" t="n">
        <v>0</v>
      </c>
      <c r="F80" s="27" t="n">
        <v>0</v>
      </c>
      <c r="G80" s="27" t="n">
        <v>0</v>
      </c>
      <c r="H80" s="23">
        <f>E80-G80</f>
        <v/>
      </c>
    </row>
    <row r="81" ht="20" customHeight="1">
      <c r="A81" s="21" t="n">
        <v>79</v>
      </c>
      <c r="B81" s="21" t="inlineStr">
        <is>
          <t>0110501</t>
        </is>
      </c>
      <c r="C81" s="34" t="inlineStr">
        <is>
          <t>BISNIS DIGITAL</t>
        </is>
      </c>
      <c r="D81" s="21" t="inlineStr">
        <is>
          <t>S1</t>
        </is>
      </c>
      <c r="E81" s="22" t="n">
        <v>0</v>
      </c>
      <c r="F81" s="22" t="n">
        <v>0</v>
      </c>
      <c r="G81" s="22" t="n">
        <v>0</v>
      </c>
      <c r="H81" s="23">
        <f>E81-G81</f>
        <v/>
      </c>
    </row>
    <row r="82" ht="20" customHeight="1">
      <c r="A82" s="26" t="n">
        <v>80</v>
      </c>
      <c r="B82" s="26" t="inlineStr">
        <is>
          <t>0411601</t>
        </is>
      </c>
      <c r="C82" s="35" t="inlineStr">
        <is>
          <t>TEKNIK PERMINYAKAN</t>
        </is>
      </c>
      <c r="D82" s="26" t="inlineStr">
        <is>
          <t>S1</t>
        </is>
      </c>
      <c r="E82" s="27" t="n">
        <v>0</v>
      </c>
      <c r="F82" s="27" t="n">
        <v>0</v>
      </c>
      <c r="G82" s="27" t="n">
        <v>0</v>
      </c>
      <c r="H82" s="23">
        <f>E82-G82</f>
        <v/>
      </c>
    </row>
    <row r="83" ht="20" customHeight="1">
      <c r="A83" s="21" t="n">
        <v>81</v>
      </c>
      <c r="B83" s="21" t="inlineStr">
        <is>
          <t>0910101</t>
        </is>
      </c>
      <c r="C83" s="34" t="inlineStr">
        <is>
          <t>HUBUNGAN INTERNASIONAL</t>
        </is>
      </c>
      <c r="D83" s="21" t="inlineStr">
        <is>
          <t>S1</t>
        </is>
      </c>
      <c r="E83" s="22" t="n">
        <v>0</v>
      </c>
      <c r="F83" s="22" t="n">
        <v>0</v>
      </c>
      <c r="G83" s="22" t="n">
        <v>0</v>
      </c>
      <c r="H83" s="23">
        <f>E83-G83</f>
        <v/>
      </c>
    </row>
    <row r="84" ht="24" customHeight="1">
      <c r="A84" s="30" t="inlineStr">
        <is>
          <t>TOTAL KESELURUHAN UNIVERSITAS</t>
        </is>
      </c>
      <c r="B84" s="61" t="n"/>
      <c r="C84" s="61" t="n"/>
      <c r="D84" s="61" t="n"/>
      <c r="E84" s="31">
        <f>SUM(E3:E83)</f>
        <v/>
      </c>
      <c r="F84" s="31">
        <f>SUM(F3:F83)</f>
        <v/>
      </c>
      <c r="G84" s="31">
        <f>SUM(G3:G83)</f>
        <v/>
      </c>
      <c r="H84" s="31">
        <f>SUM(H3:H83)</f>
        <v/>
      </c>
    </row>
  </sheetData>
  <mergeCells count="2">
    <mergeCell ref="A84:D84"/>
    <mergeCell ref="E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2026-10-18T17:03:39Z</dcterms:created>
  <dcterms:modified xmlns:dcterms="http://purl.org/dc/terms/" xmlns:xsi="http://www.w3.org/2001/XMLSchema-instance" xsi:type="dcterms:W3CDTF">2026-10-18T17:03:39Z</dcterms:modified>
</cp:coreProperties>
</file>